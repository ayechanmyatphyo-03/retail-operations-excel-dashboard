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cmph\Downloads\"/>
    </mc:Choice>
  </mc:AlternateContent>
  <xr:revisionPtr revIDLastSave="0" documentId="8_{F1E39C23-77F8-478F-90D9-EF45F10259B5}" xr6:coauthVersionLast="47" xr6:coauthVersionMax="47" xr10:uidLastSave="{00000000-0000-0000-0000-000000000000}"/>
  <bookViews>
    <workbookView xWindow="-108" yWindow="-108" windowWidth="23256" windowHeight="12456" tabRatio="965" firstSheet="3" activeTab="11" xr2:uid="{00000000-000D-0000-FFFF-FFFF00000000}"/>
  </bookViews>
  <sheets>
    <sheet name="README" sheetId="1" r:id="rId1"/>
    <sheet name="Products" sheetId="2" r:id="rId2"/>
    <sheet name="Customers" sheetId="3" r:id="rId3"/>
    <sheet name="Monthly_Sales" sheetId="7" r:id="rId4"/>
    <sheet name="Sales_By_Region" sheetId="9" r:id="rId5"/>
    <sheet name="Sales_By_Category" sheetId="10" r:id="rId6"/>
    <sheet name="Top_5_Products" sheetId="11" r:id="rId7"/>
    <sheet name="Sales_By_Segment" sheetId="12" r:id="rId8"/>
    <sheet name="Sales by Sales Channel" sheetId="13" r:id="rId9"/>
    <sheet name="Return Rate" sheetId="14" r:id="rId10"/>
    <sheet name="Avg_Rating_By_Channel" sheetId="15" r:id="rId11"/>
    <sheet name="Dashboard" sheetId="16" r:id="rId12"/>
    <sheet name="Sales_Data" sheetId="4" r:id="rId13"/>
    <sheet name="Practice" sheetId="5" r:id="rId14"/>
  </sheets>
  <calcPr calcId="191029"/>
  <pivotCaches>
    <pivotCache cacheId="17" r:id="rId15"/>
    <pivotCache cacheId="34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6" l="1"/>
  <c r="B6" i="16"/>
  <c r="D6" i="16"/>
  <c r="E6" i="16"/>
  <c r="F6" i="16"/>
  <c r="G6" i="16"/>
  <c r="B8" i="14"/>
  <c r="T2" i="4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131" i="4"/>
  <c r="T132" i="4"/>
  <c r="T133" i="4"/>
  <c r="T134" i="4"/>
  <c r="T135" i="4"/>
  <c r="T136" i="4"/>
  <c r="T137" i="4"/>
  <c r="T138" i="4"/>
  <c r="T139" i="4"/>
  <c r="T140" i="4"/>
  <c r="T141" i="4"/>
  <c r="T142" i="4"/>
  <c r="T143" i="4"/>
  <c r="T144" i="4"/>
  <c r="T145" i="4"/>
  <c r="T146" i="4"/>
  <c r="T147" i="4"/>
  <c r="T148" i="4"/>
  <c r="T149" i="4"/>
  <c r="T150" i="4"/>
  <c r="T151" i="4"/>
  <c r="T152" i="4"/>
  <c r="T153" i="4"/>
  <c r="T154" i="4"/>
  <c r="T155" i="4"/>
  <c r="T156" i="4"/>
  <c r="T157" i="4"/>
  <c r="T158" i="4"/>
  <c r="T159" i="4"/>
  <c r="T160" i="4"/>
  <c r="T161" i="4"/>
  <c r="T162" i="4"/>
  <c r="T163" i="4"/>
  <c r="T164" i="4"/>
  <c r="T165" i="4"/>
  <c r="T166" i="4"/>
  <c r="T167" i="4"/>
  <c r="T168" i="4"/>
  <c r="T169" i="4"/>
  <c r="T170" i="4"/>
  <c r="T171" i="4"/>
  <c r="T172" i="4"/>
  <c r="T173" i="4"/>
  <c r="T174" i="4"/>
  <c r="T175" i="4"/>
  <c r="T176" i="4"/>
  <c r="T177" i="4"/>
  <c r="T178" i="4"/>
  <c r="T179" i="4"/>
  <c r="T180" i="4"/>
  <c r="T181" i="4"/>
  <c r="T182" i="4"/>
  <c r="T183" i="4"/>
  <c r="T184" i="4"/>
  <c r="T185" i="4"/>
  <c r="T186" i="4"/>
  <c r="T187" i="4"/>
  <c r="T188" i="4"/>
  <c r="T189" i="4"/>
  <c r="T190" i="4"/>
  <c r="T191" i="4"/>
  <c r="T192" i="4"/>
  <c r="T193" i="4"/>
  <c r="T194" i="4"/>
  <c r="T195" i="4"/>
  <c r="T196" i="4"/>
  <c r="T197" i="4"/>
  <c r="T198" i="4"/>
  <c r="T199" i="4"/>
  <c r="T200" i="4"/>
  <c r="T201" i="4"/>
  <c r="T202" i="4"/>
  <c r="T203" i="4"/>
  <c r="T204" i="4"/>
  <c r="T205" i="4"/>
  <c r="T206" i="4"/>
  <c r="T207" i="4"/>
  <c r="T208" i="4"/>
  <c r="T209" i="4"/>
  <c r="T210" i="4"/>
  <c r="T211" i="4"/>
  <c r="T212" i="4"/>
  <c r="T213" i="4"/>
  <c r="T214" i="4"/>
  <c r="T215" i="4"/>
  <c r="T216" i="4"/>
  <c r="T217" i="4"/>
  <c r="T218" i="4"/>
  <c r="T219" i="4"/>
  <c r="T220" i="4"/>
  <c r="T221" i="4"/>
  <c r="T222" i="4"/>
  <c r="T223" i="4"/>
  <c r="T224" i="4"/>
  <c r="T225" i="4"/>
  <c r="T226" i="4"/>
  <c r="T227" i="4"/>
  <c r="T228" i="4"/>
  <c r="T229" i="4"/>
  <c r="T230" i="4"/>
  <c r="T231" i="4"/>
  <c r="T232" i="4"/>
  <c r="T233" i="4"/>
  <c r="T234" i="4"/>
  <c r="T235" i="4"/>
  <c r="T236" i="4"/>
  <c r="T237" i="4"/>
  <c r="T238" i="4"/>
  <c r="T239" i="4"/>
  <c r="T240" i="4"/>
  <c r="T241" i="4"/>
  <c r="T242" i="4"/>
  <c r="T243" i="4"/>
  <c r="T244" i="4"/>
  <c r="T245" i="4"/>
  <c r="T246" i="4"/>
  <c r="T247" i="4"/>
  <c r="T248" i="4"/>
  <c r="T249" i="4"/>
  <c r="T250" i="4"/>
  <c r="T251" i="4"/>
  <c r="T252" i="4"/>
  <c r="T253" i="4"/>
  <c r="T254" i="4"/>
  <c r="T255" i="4"/>
  <c r="T256" i="4"/>
  <c r="T257" i="4"/>
  <c r="T258" i="4"/>
  <c r="T259" i="4"/>
  <c r="T260" i="4"/>
  <c r="T261" i="4"/>
  <c r="T262" i="4"/>
  <c r="T263" i="4"/>
  <c r="T264" i="4"/>
  <c r="T265" i="4"/>
  <c r="T266" i="4"/>
  <c r="T267" i="4"/>
  <c r="T268" i="4"/>
  <c r="T269" i="4"/>
  <c r="T270" i="4"/>
  <c r="T271" i="4"/>
  <c r="T272" i="4"/>
  <c r="T273" i="4"/>
  <c r="T274" i="4"/>
  <c r="T275" i="4"/>
  <c r="T276" i="4"/>
  <c r="T277" i="4"/>
  <c r="T278" i="4"/>
  <c r="T279" i="4"/>
  <c r="T280" i="4"/>
  <c r="T281" i="4"/>
  <c r="T282" i="4"/>
  <c r="T283" i="4"/>
  <c r="T284" i="4"/>
  <c r="T285" i="4"/>
  <c r="T286" i="4"/>
  <c r="T287" i="4"/>
  <c r="T288" i="4"/>
  <c r="T289" i="4"/>
  <c r="T290" i="4"/>
  <c r="T291" i="4"/>
  <c r="T292" i="4"/>
  <c r="T293" i="4"/>
  <c r="T294" i="4"/>
  <c r="T295" i="4"/>
  <c r="T296" i="4"/>
  <c r="T297" i="4"/>
  <c r="T298" i="4"/>
  <c r="T299" i="4"/>
  <c r="T300" i="4"/>
  <c r="T301" i="4"/>
  <c r="T302" i="4"/>
  <c r="T303" i="4"/>
  <c r="T304" i="4"/>
  <c r="T305" i="4"/>
  <c r="T306" i="4"/>
  <c r="T307" i="4"/>
  <c r="T308" i="4"/>
  <c r="T309" i="4"/>
  <c r="T310" i="4"/>
  <c r="T311" i="4"/>
  <c r="T312" i="4"/>
  <c r="T313" i="4"/>
  <c r="T314" i="4"/>
  <c r="T315" i="4"/>
  <c r="T316" i="4"/>
  <c r="T317" i="4"/>
  <c r="T318" i="4"/>
  <c r="T319" i="4"/>
  <c r="T320" i="4"/>
  <c r="T321" i="4"/>
  <c r="T322" i="4"/>
  <c r="T323" i="4"/>
  <c r="T324" i="4"/>
  <c r="T325" i="4"/>
  <c r="T326" i="4"/>
  <c r="T327" i="4"/>
  <c r="T328" i="4"/>
  <c r="T329" i="4"/>
  <c r="T330" i="4"/>
  <c r="T331" i="4"/>
  <c r="T332" i="4"/>
  <c r="T333" i="4"/>
  <c r="T334" i="4"/>
  <c r="T335" i="4"/>
  <c r="T336" i="4"/>
  <c r="T337" i="4"/>
  <c r="T338" i="4"/>
  <c r="T339" i="4"/>
  <c r="T340" i="4"/>
  <c r="T341" i="4"/>
  <c r="T342" i="4"/>
  <c r="T343" i="4"/>
  <c r="T344" i="4"/>
  <c r="T345" i="4"/>
  <c r="T346" i="4"/>
  <c r="T347" i="4"/>
  <c r="T348" i="4"/>
  <c r="T349" i="4"/>
  <c r="T350" i="4"/>
  <c r="T351" i="4"/>
  <c r="T352" i="4"/>
  <c r="T353" i="4"/>
  <c r="T354" i="4"/>
  <c r="T355" i="4"/>
  <c r="T356" i="4"/>
  <c r="T357" i="4"/>
  <c r="T358" i="4"/>
  <c r="T359" i="4"/>
  <c r="T360" i="4"/>
  <c r="T361" i="4"/>
  <c r="T362" i="4"/>
  <c r="T363" i="4"/>
  <c r="T364" i="4"/>
  <c r="T365" i="4"/>
  <c r="T366" i="4"/>
  <c r="T367" i="4"/>
  <c r="T368" i="4"/>
  <c r="T369" i="4"/>
  <c r="T370" i="4"/>
  <c r="T371" i="4"/>
  <c r="T372" i="4"/>
  <c r="T373" i="4"/>
  <c r="T374" i="4"/>
  <c r="T375" i="4"/>
  <c r="T376" i="4"/>
  <c r="T377" i="4"/>
  <c r="T378" i="4"/>
  <c r="T379" i="4"/>
  <c r="T380" i="4"/>
  <c r="T381" i="4"/>
  <c r="T382" i="4"/>
  <c r="T383" i="4"/>
  <c r="T384" i="4"/>
  <c r="T385" i="4"/>
  <c r="T386" i="4"/>
  <c r="T387" i="4"/>
  <c r="T388" i="4"/>
  <c r="T389" i="4"/>
  <c r="T390" i="4"/>
  <c r="T391" i="4"/>
  <c r="T392" i="4"/>
  <c r="T393" i="4"/>
  <c r="T394" i="4"/>
  <c r="T395" i="4"/>
  <c r="T396" i="4"/>
  <c r="T397" i="4"/>
  <c r="T398" i="4"/>
  <c r="T399" i="4"/>
  <c r="T400" i="4"/>
  <c r="T401" i="4"/>
  <c r="T402" i="4"/>
  <c r="T403" i="4"/>
  <c r="T404" i="4"/>
  <c r="T405" i="4"/>
  <c r="T406" i="4"/>
  <c r="T407" i="4"/>
  <c r="T408" i="4"/>
  <c r="T409" i="4"/>
  <c r="T410" i="4"/>
  <c r="T411" i="4"/>
  <c r="T412" i="4"/>
  <c r="T413" i="4"/>
  <c r="T414" i="4"/>
  <c r="T415" i="4"/>
  <c r="T416" i="4"/>
  <c r="T417" i="4"/>
  <c r="T418" i="4"/>
  <c r="T419" i="4"/>
  <c r="T420" i="4"/>
  <c r="T421" i="4"/>
  <c r="T422" i="4"/>
  <c r="T423" i="4"/>
  <c r="T424" i="4"/>
  <c r="T425" i="4"/>
  <c r="T426" i="4"/>
  <c r="T427" i="4"/>
  <c r="T428" i="4"/>
  <c r="T429" i="4"/>
  <c r="T430" i="4"/>
  <c r="T431" i="4"/>
  <c r="T432" i="4"/>
  <c r="T433" i="4"/>
  <c r="T434" i="4"/>
  <c r="T435" i="4"/>
  <c r="T436" i="4"/>
  <c r="T437" i="4"/>
  <c r="T438" i="4"/>
  <c r="T439" i="4"/>
  <c r="T440" i="4"/>
  <c r="T441" i="4"/>
  <c r="T442" i="4"/>
  <c r="T443" i="4"/>
  <c r="T444" i="4"/>
  <c r="T445" i="4"/>
  <c r="T446" i="4"/>
  <c r="T447" i="4"/>
  <c r="T448" i="4"/>
  <c r="T449" i="4"/>
  <c r="T450" i="4"/>
  <c r="T451" i="4"/>
  <c r="T452" i="4"/>
  <c r="T453" i="4"/>
  <c r="T454" i="4"/>
  <c r="T455" i="4"/>
  <c r="T456" i="4"/>
  <c r="T457" i="4"/>
  <c r="T458" i="4"/>
  <c r="T459" i="4"/>
  <c r="T460" i="4"/>
  <c r="T461" i="4"/>
  <c r="T462" i="4"/>
  <c r="T463" i="4"/>
  <c r="T464" i="4"/>
  <c r="T465" i="4"/>
  <c r="T466" i="4"/>
  <c r="T467" i="4"/>
  <c r="T468" i="4"/>
  <c r="T469" i="4"/>
  <c r="T470" i="4"/>
  <c r="T471" i="4"/>
  <c r="T472" i="4"/>
  <c r="T473" i="4"/>
  <c r="T474" i="4"/>
  <c r="T475" i="4"/>
  <c r="T476" i="4"/>
  <c r="T477" i="4"/>
  <c r="T478" i="4"/>
  <c r="T479" i="4"/>
  <c r="T480" i="4"/>
  <c r="T481" i="4"/>
  <c r="T482" i="4"/>
  <c r="T483" i="4"/>
  <c r="T484" i="4"/>
  <c r="T485" i="4"/>
  <c r="T486" i="4"/>
  <c r="T487" i="4"/>
  <c r="T488" i="4"/>
  <c r="T489" i="4"/>
  <c r="T490" i="4"/>
  <c r="T491" i="4"/>
  <c r="T492" i="4"/>
  <c r="T493" i="4"/>
  <c r="T494" i="4"/>
  <c r="T495" i="4"/>
  <c r="T496" i="4"/>
  <c r="T497" i="4"/>
  <c r="T498" i="4"/>
  <c r="T499" i="4"/>
  <c r="T500" i="4"/>
  <c r="T501" i="4"/>
  <c r="T502" i="4"/>
  <c r="T503" i="4"/>
  <c r="T504" i="4"/>
  <c r="T505" i="4"/>
  <c r="T506" i="4"/>
  <c r="T507" i="4"/>
  <c r="T508" i="4"/>
  <c r="T509" i="4"/>
  <c r="T510" i="4"/>
  <c r="T511" i="4"/>
  <c r="T512" i="4"/>
  <c r="T513" i="4"/>
  <c r="T514" i="4"/>
  <c r="T515" i="4"/>
  <c r="T516" i="4"/>
  <c r="T517" i="4"/>
  <c r="T518" i="4"/>
  <c r="T519" i="4"/>
  <c r="T520" i="4"/>
  <c r="T521" i="4"/>
  <c r="T522" i="4"/>
  <c r="T523" i="4"/>
  <c r="T524" i="4"/>
  <c r="T525" i="4"/>
  <c r="T526" i="4"/>
  <c r="T527" i="4"/>
  <c r="T528" i="4"/>
  <c r="T529" i="4"/>
  <c r="T530" i="4"/>
  <c r="T531" i="4"/>
  <c r="T532" i="4"/>
  <c r="T533" i="4"/>
  <c r="T534" i="4"/>
  <c r="T535" i="4"/>
  <c r="T536" i="4"/>
  <c r="T537" i="4"/>
  <c r="T538" i="4"/>
  <c r="T539" i="4"/>
  <c r="T540" i="4"/>
  <c r="T541" i="4"/>
  <c r="T542" i="4"/>
  <c r="T543" i="4"/>
  <c r="T544" i="4"/>
  <c r="T545" i="4"/>
  <c r="T546" i="4"/>
  <c r="T547" i="4"/>
  <c r="T548" i="4"/>
  <c r="T549" i="4"/>
  <c r="T550" i="4"/>
  <c r="T551" i="4"/>
  <c r="T552" i="4"/>
  <c r="T553" i="4"/>
  <c r="T554" i="4"/>
  <c r="T555" i="4"/>
  <c r="T556" i="4"/>
  <c r="T557" i="4"/>
  <c r="T558" i="4"/>
  <c r="T559" i="4"/>
  <c r="T560" i="4"/>
  <c r="T561" i="4"/>
  <c r="T562" i="4"/>
  <c r="T563" i="4"/>
  <c r="T564" i="4"/>
  <c r="T565" i="4"/>
  <c r="T566" i="4"/>
  <c r="T567" i="4"/>
  <c r="T568" i="4"/>
  <c r="T569" i="4"/>
  <c r="T570" i="4"/>
  <c r="T571" i="4"/>
  <c r="T572" i="4"/>
  <c r="T573" i="4"/>
  <c r="T574" i="4"/>
  <c r="T575" i="4"/>
  <c r="T576" i="4"/>
  <c r="T577" i="4"/>
  <c r="T578" i="4"/>
  <c r="T579" i="4"/>
  <c r="T580" i="4"/>
  <c r="T581" i="4"/>
  <c r="T582" i="4"/>
  <c r="T583" i="4"/>
  <c r="T584" i="4"/>
  <c r="T585" i="4"/>
  <c r="T586" i="4"/>
  <c r="T587" i="4"/>
  <c r="T588" i="4"/>
  <c r="T589" i="4"/>
  <c r="T590" i="4"/>
  <c r="T591" i="4"/>
  <c r="T592" i="4"/>
  <c r="T593" i="4"/>
  <c r="T594" i="4"/>
  <c r="T595" i="4"/>
  <c r="T596" i="4"/>
  <c r="T597" i="4"/>
  <c r="T598" i="4"/>
  <c r="T599" i="4"/>
  <c r="T600" i="4"/>
  <c r="T601" i="4"/>
  <c r="T602" i="4"/>
  <c r="T603" i="4"/>
  <c r="T604" i="4"/>
  <c r="T605" i="4"/>
  <c r="T606" i="4"/>
  <c r="T607" i="4"/>
  <c r="T608" i="4"/>
  <c r="T609" i="4"/>
  <c r="T610" i="4"/>
  <c r="T611" i="4"/>
  <c r="T612" i="4"/>
  <c r="T613" i="4"/>
  <c r="T614" i="4"/>
  <c r="T615" i="4"/>
  <c r="T616" i="4"/>
  <c r="T617" i="4"/>
  <c r="T618" i="4"/>
  <c r="T619" i="4"/>
  <c r="T620" i="4"/>
  <c r="T621" i="4"/>
  <c r="T622" i="4"/>
  <c r="T623" i="4"/>
  <c r="T624" i="4"/>
  <c r="T625" i="4"/>
  <c r="T626" i="4"/>
  <c r="T627" i="4"/>
  <c r="T628" i="4"/>
  <c r="T629" i="4"/>
  <c r="T630" i="4"/>
  <c r="T631" i="4"/>
  <c r="T632" i="4"/>
  <c r="T633" i="4"/>
  <c r="T634" i="4"/>
  <c r="T635" i="4"/>
  <c r="T636" i="4"/>
  <c r="T637" i="4"/>
  <c r="T638" i="4"/>
  <c r="T639" i="4"/>
  <c r="T640" i="4"/>
  <c r="T641" i="4"/>
  <c r="T642" i="4"/>
  <c r="T643" i="4"/>
  <c r="T644" i="4"/>
  <c r="T645" i="4"/>
  <c r="T646" i="4"/>
  <c r="T647" i="4"/>
  <c r="T648" i="4"/>
  <c r="T649" i="4"/>
  <c r="T650" i="4"/>
  <c r="T651" i="4"/>
  <c r="T652" i="4"/>
  <c r="T653" i="4"/>
  <c r="T654" i="4"/>
  <c r="T655" i="4"/>
  <c r="T656" i="4"/>
  <c r="T657" i="4"/>
  <c r="T658" i="4"/>
  <c r="T659" i="4"/>
  <c r="T660" i="4"/>
  <c r="T661" i="4"/>
  <c r="T662" i="4"/>
  <c r="T663" i="4"/>
  <c r="T664" i="4"/>
  <c r="T665" i="4"/>
  <c r="T666" i="4"/>
  <c r="T667" i="4"/>
  <c r="T668" i="4"/>
  <c r="T669" i="4"/>
  <c r="T670" i="4"/>
  <c r="T671" i="4"/>
  <c r="T672" i="4"/>
  <c r="T673" i="4"/>
  <c r="T674" i="4"/>
  <c r="T675" i="4"/>
  <c r="T676" i="4"/>
  <c r="T677" i="4"/>
  <c r="T678" i="4"/>
  <c r="T679" i="4"/>
  <c r="T680" i="4"/>
  <c r="T681" i="4"/>
  <c r="T682" i="4"/>
  <c r="T683" i="4"/>
  <c r="T684" i="4"/>
  <c r="T685" i="4"/>
  <c r="T686" i="4"/>
  <c r="T687" i="4"/>
  <c r="T688" i="4"/>
  <c r="T689" i="4"/>
  <c r="T690" i="4"/>
  <c r="T691" i="4"/>
  <c r="T692" i="4"/>
  <c r="T693" i="4"/>
  <c r="T694" i="4"/>
  <c r="T695" i="4"/>
  <c r="T696" i="4"/>
  <c r="T697" i="4"/>
  <c r="T698" i="4"/>
  <c r="T699" i="4"/>
  <c r="T700" i="4"/>
  <c r="T701" i="4"/>
  <c r="T702" i="4"/>
  <c r="T703" i="4"/>
  <c r="T704" i="4"/>
  <c r="T705" i="4"/>
  <c r="T706" i="4"/>
  <c r="T707" i="4"/>
  <c r="T708" i="4"/>
  <c r="T709" i="4"/>
  <c r="T710" i="4"/>
  <c r="T711" i="4"/>
  <c r="T712" i="4"/>
  <c r="T713" i="4"/>
  <c r="T714" i="4"/>
  <c r="T715" i="4"/>
  <c r="T716" i="4"/>
  <c r="T717" i="4"/>
  <c r="T718" i="4"/>
  <c r="T719" i="4"/>
  <c r="T720" i="4"/>
  <c r="T721" i="4"/>
  <c r="T722" i="4"/>
  <c r="T723" i="4"/>
  <c r="T724" i="4"/>
  <c r="T725" i="4"/>
  <c r="T726" i="4"/>
  <c r="T727" i="4"/>
  <c r="T728" i="4"/>
  <c r="T729" i="4"/>
  <c r="T730" i="4"/>
  <c r="T731" i="4"/>
  <c r="T732" i="4"/>
  <c r="T733" i="4"/>
  <c r="T734" i="4"/>
  <c r="T735" i="4"/>
  <c r="T736" i="4"/>
  <c r="T737" i="4"/>
  <c r="T738" i="4"/>
  <c r="T739" i="4"/>
  <c r="T740" i="4"/>
  <c r="T741" i="4"/>
  <c r="T742" i="4"/>
  <c r="T743" i="4"/>
  <c r="T744" i="4"/>
  <c r="T745" i="4"/>
  <c r="T746" i="4"/>
  <c r="T747" i="4"/>
  <c r="T748" i="4"/>
  <c r="T749" i="4"/>
  <c r="T750" i="4"/>
  <c r="T751" i="4"/>
  <c r="T752" i="4"/>
  <c r="T753" i="4"/>
  <c r="T754" i="4"/>
  <c r="T755" i="4"/>
  <c r="T756" i="4"/>
  <c r="T757" i="4"/>
  <c r="T758" i="4"/>
  <c r="T759" i="4"/>
  <c r="T760" i="4"/>
  <c r="T761" i="4"/>
  <c r="T762" i="4"/>
  <c r="T763" i="4"/>
  <c r="T764" i="4"/>
  <c r="T765" i="4"/>
  <c r="T766" i="4"/>
  <c r="T767" i="4"/>
  <c r="T768" i="4"/>
  <c r="T769" i="4"/>
  <c r="T770" i="4"/>
  <c r="T771" i="4"/>
  <c r="T772" i="4"/>
  <c r="T773" i="4"/>
  <c r="T774" i="4"/>
  <c r="T775" i="4"/>
  <c r="T776" i="4"/>
  <c r="T777" i="4"/>
  <c r="T778" i="4"/>
  <c r="T779" i="4"/>
  <c r="T780" i="4"/>
  <c r="T781" i="4"/>
  <c r="T782" i="4"/>
  <c r="T783" i="4"/>
  <c r="T784" i="4"/>
  <c r="T785" i="4"/>
  <c r="T786" i="4"/>
  <c r="T787" i="4"/>
  <c r="T788" i="4"/>
  <c r="T789" i="4"/>
  <c r="T790" i="4"/>
  <c r="T791" i="4"/>
  <c r="T792" i="4"/>
  <c r="T793" i="4"/>
  <c r="T794" i="4"/>
  <c r="T795" i="4"/>
  <c r="T796" i="4"/>
  <c r="T797" i="4"/>
  <c r="T798" i="4"/>
  <c r="T799" i="4"/>
  <c r="T800" i="4"/>
  <c r="T801" i="4"/>
  <c r="T802" i="4"/>
  <c r="T803" i="4"/>
  <c r="T804" i="4"/>
  <c r="T805" i="4"/>
  <c r="T806" i="4"/>
  <c r="T807" i="4"/>
  <c r="T808" i="4"/>
  <c r="T809" i="4"/>
  <c r="T810" i="4"/>
  <c r="T811" i="4"/>
  <c r="T812" i="4"/>
  <c r="T813" i="4"/>
  <c r="T814" i="4"/>
  <c r="T815" i="4"/>
  <c r="T816" i="4"/>
  <c r="T817" i="4"/>
  <c r="T818" i="4"/>
  <c r="T819" i="4"/>
  <c r="T820" i="4"/>
  <c r="T821" i="4"/>
  <c r="T822" i="4"/>
  <c r="T823" i="4"/>
  <c r="T824" i="4"/>
  <c r="T825" i="4"/>
  <c r="T826" i="4"/>
  <c r="T827" i="4"/>
  <c r="T828" i="4"/>
  <c r="T829" i="4"/>
  <c r="T830" i="4"/>
  <c r="T831" i="4"/>
  <c r="T832" i="4"/>
  <c r="T833" i="4"/>
  <c r="T834" i="4"/>
  <c r="T835" i="4"/>
  <c r="T836" i="4"/>
  <c r="T837" i="4"/>
  <c r="T838" i="4"/>
  <c r="T839" i="4"/>
  <c r="T840" i="4"/>
  <c r="T841" i="4"/>
  <c r="T842" i="4"/>
  <c r="T843" i="4"/>
  <c r="T844" i="4"/>
  <c r="T845" i="4"/>
  <c r="T846" i="4"/>
  <c r="T847" i="4"/>
  <c r="T848" i="4"/>
  <c r="T849" i="4"/>
  <c r="T850" i="4"/>
  <c r="T851" i="4"/>
  <c r="T852" i="4"/>
  <c r="T853" i="4"/>
  <c r="T854" i="4"/>
  <c r="T855" i="4"/>
  <c r="T856" i="4"/>
  <c r="T857" i="4"/>
  <c r="T858" i="4"/>
  <c r="T859" i="4"/>
  <c r="T860" i="4"/>
  <c r="T861" i="4"/>
  <c r="T862" i="4"/>
  <c r="T863" i="4"/>
  <c r="T864" i="4"/>
  <c r="T865" i="4"/>
  <c r="T866" i="4"/>
  <c r="T867" i="4"/>
  <c r="T868" i="4"/>
  <c r="T869" i="4"/>
  <c r="T870" i="4"/>
  <c r="T871" i="4"/>
  <c r="T872" i="4"/>
  <c r="T873" i="4"/>
  <c r="T874" i="4"/>
  <c r="T875" i="4"/>
  <c r="T876" i="4"/>
  <c r="T877" i="4"/>
  <c r="T878" i="4"/>
  <c r="T879" i="4"/>
  <c r="T880" i="4"/>
  <c r="T881" i="4"/>
  <c r="T882" i="4"/>
  <c r="T883" i="4"/>
  <c r="T884" i="4"/>
  <c r="T885" i="4"/>
  <c r="T886" i="4"/>
  <c r="T887" i="4"/>
  <c r="T888" i="4"/>
  <c r="T889" i="4"/>
  <c r="T890" i="4"/>
  <c r="T891" i="4"/>
  <c r="T892" i="4"/>
  <c r="T893" i="4"/>
  <c r="T894" i="4"/>
  <c r="T895" i="4"/>
  <c r="T896" i="4"/>
  <c r="T897" i="4"/>
  <c r="T898" i="4"/>
  <c r="T899" i="4"/>
  <c r="T900" i="4"/>
  <c r="T901" i="4"/>
  <c r="T902" i="4"/>
  <c r="T903" i="4"/>
  <c r="T904" i="4"/>
  <c r="T905" i="4"/>
  <c r="T906" i="4"/>
  <c r="T907" i="4"/>
  <c r="T908" i="4"/>
  <c r="T909" i="4"/>
  <c r="T910" i="4"/>
  <c r="T911" i="4"/>
  <c r="T912" i="4"/>
  <c r="T913" i="4"/>
  <c r="T914" i="4"/>
  <c r="T915" i="4"/>
  <c r="T916" i="4"/>
  <c r="T917" i="4"/>
  <c r="T918" i="4"/>
  <c r="T919" i="4"/>
  <c r="T920" i="4"/>
  <c r="T921" i="4"/>
  <c r="T922" i="4"/>
  <c r="T923" i="4"/>
  <c r="T924" i="4"/>
  <c r="T925" i="4"/>
  <c r="T926" i="4"/>
  <c r="T927" i="4"/>
  <c r="T928" i="4"/>
  <c r="T929" i="4"/>
  <c r="T930" i="4"/>
  <c r="T931" i="4"/>
  <c r="T932" i="4"/>
  <c r="T933" i="4"/>
  <c r="T934" i="4"/>
  <c r="T935" i="4"/>
  <c r="T936" i="4"/>
  <c r="T937" i="4"/>
  <c r="T938" i="4"/>
  <c r="T939" i="4"/>
  <c r="T940" i="4"/>
  <c r="T941" i="4"/>
  <c r="T942" i="4"/>
  <c r="T943" i="4"/>
  <c r="T944" i="4"/>
  <c r="T945" i="4"/>
  <c r="T946" i="4"/>
  <c r="T947" i="4"/>
  <c r="T948" i="4"/>
  <c r="T949" i="4"/>
  <c r="T950" i="4"/>
  <c r="T951" i="4"/>
  <c r="T952" i="4"/>
  <c r="T953" i="4"/>
  <c r="T954" i="4"/>
  <c r="T955" i="4"/>
  <c r="T956" i="4"/>
  <c r="T957" i="4"/>
  <c r="T958" i="4"/>
  <c r="T959" i="4"/>
  <c r="T960" i="4"/>
  <c r="T961" i="4"/>
  <c r="T962" i="4"/>
  <c r="T963" i="4"/>
  <c r="T964" i="4"/>
  <c r="T965" i="4"/>
  <c r="T966" i="4"/>
  <c r="T967" i="4"/>
  <c r="T968" i="4"/>
  <c r="T969" i="4"/>
  <c r="T970" i="4"/>
  <c r="T971" i="4"/>
  <c r="T972" i="4"/>
  <c r="T973" i="4"/>
  <c r="T974" i="4"/>
  <c r="T975" i="4"/>
  <c r="T976" i="4"/>
  <c r="T977" i="4"/>
  <c r="T978" i="4"/>
  <c r="T979" i="4"/>
  <c r="T980" i="4"/>
  <c r="T981" i="4"/>
  <c r="T982" i="4"/>
  <c r="T983" i="4"/>
  <c r="T984" i="4"/>
  <c r="T985" i="4"/>
  <c r="T986" i="4"/>
  <c r="T987" i="4"/>
  <c r="T988" i="4"/>
  <c r="T989" i="4"/>
  <c r="T990" i="4"/>
  <c r="T991" i="4"/>
  <c r="T992" i="4"/>
  <c r="T993" i="4"/>
  <c r="T994" i="4"/>
  <c r="T995" i="4"/>
  <c r="T996" i="4"/>
  <c r="T997" i="4"/>
  <c r="T998" i="4"/>
  <c r="T999" i="4"/>
  <c r="T1000" i="4"/>
  <c r="T1001" i="4"/>
  <c r="T1002" i="4"/>
  <c r="T1003" i="4"/>
  <c r="T1004" i="4"/>
  <c r="T1005" i="4"/>
  <c r="T1006" i="4"/>
  <c r="T1007" i="4"/>
  <c r="T1008" i="4"/>
  <c r="T1009" i="4"/>
  <c r="T1010" i="4"/>
  <c r="T1011" i="4"/>
  <c r="T1012" i="4"/>
  <c r="T1013" i="4"/>
  <c r="T1014" i="4"/>
  <c r="T1015" i="4"/>
  <c r="T1016" i="4"/>
  <c r="T1017" i="4"/>
  <c r="T1018" i="4"/>
  <c r="T1019" i="4"/>
  <c r="T1020" i="4"/>
  <c r="T1021" i="4"/>
  <c r="T1022" i="4"/>
  <c r="T1023" i="4"/>
  <c r="T1024" i="4"/>
  <c r="T1025" i="4"/>
  <c r="T1026" i="4"/>
  <c r="T1027" i="4"/>
  <c r="T1028" i="4"/>
  <c r="T1029" i="4"/>
  <c r="T1030" i="4"/>
  <c r="T1031" i="4"/>
  <c r="T1032" i="4"/>
  <c r="T1033" i="4"/>
  <c r="T1034" i="4"/>
  <c r="T1035" i="4"/>
  <c r="T1036" i="4"/>
  <c r="T1037" i="4"/>
  <c r="T1038" i="4"/>
  <c r="T1039" i="4"/>
  <c r="T1040" i="4"/>
  <c r="T1041" i="4"/>
  <c r="T1042" i="4"/>
  <c r="T1043" i="4"/>
  <c r="T1044" i="4"/>
  <c r="T1045" i="4"/>
  <c r="T1046" i="4"/>
  <c r="T1047" i="4"/>
  <c r="T1048" i="4"/>
  <c r="T1049" i="4"/>
  <c r="T1050" i="4"/>
  <c r="T1051" i="4"/>
  <c r="T1052" i="4"/>
  <c r="T1053" i="4"/>
  <c r="T1054" i="4"/>
  <c r="T1055" i="4"/>
  <c r="T1056" i="4"/>
  <c r="T1057" i="4"/>
  <c r="T1058" i="4"/>
  <c r="T1059" i="4"/>
  <c r="T1060" i="4"/>
  <c r="T1061" i="4"/>
  <c r="T1062" i="4"/>
  <c r="T1063" i="4"/>
  <c r="T1064" i="4"/>
  <c r="T1065" i="4"/>
  <c r="T1066" i="4"/>
  <c r="T1067" i="4"/>
  <c r="T1068" i="4"/>
  <c r="T1069" i="4"/>
  <c r="T1070" i="4"/>
  <c r="T1071" i="4"/>
  <c r="T1072" i="4"/>
  <c r="T1073" i="4"/>
  <c r="T1074" i="4"/>
  <c r="T1075" i="4"/>
  <c r="T1076" i="4"/>
  <c r="T1077" i="4"/>
  <c r="T1078" i="4"/>
  <c r="T1079" i="4"/>
  <c r="T1080" i="4"/>
  <c r="T1081" i="4"/>
  <c r="T1082" i="4"/>
  <c r="T1083" i="4"/>
  <c r="T1084" i="4"/>
  <c r="T1085" i="4"/>
  <c r="T1086" i="4"/>
  <c r="T1087" i="4"/>
  <c r="T1088" i="4"/>
  <c r="T1089" i="4"/>
  <c r="T1090" i="4"/>
  <c r="T1091" i="4"/>
  <c r="T1092" i="4"/>
  <c r="T1093" i="4"/>
  <c r="T1094" i="4"/>
  <c r="T1095" i="4"/>
  <c r="T1096" i="4"/>
  <c r="T1097" i="4"/>
  <c r="T1098" i="4"/>
  <c r="T1099" i="4"/>
  <c r="T1100" i="4"/>
  <c r="T1101" i="4"/>
  <c r="T1102" i="4"/>
  <c r="T1103" i="4"/>
  <c r="T1104" i="4"/>
  <c r="T1105" i="4"/>
  <c r="T1106" i="4"/>
  <c r="T1107" i="4"/>
  <c r="T1108" i="4"/>
  <c r="T1109" i="4"/>
  <c r="T1110" i="4"/>
  <c r="T1111" i="4"/>
  <c r="T1112" i="4"/>
  <c r="T1113" i="4"/>
  <c r="T1114" i="4"/>
  <c r="T1115" i="4"/>
  <c r="T1116" i="4"/>
  <c r="T1117" i="4"/>
  <c r="T1118" i="4"/>
  <c r="T1119" i="4"/>
  <c r="T1120" i="4"/>
  <c r="T1121" i="4"/>
  <c r="T1122" i="4"/>
  <c r="T1123" i="4"/>
  <c r="T1124" i="4"/>
  <c r="T1125" i="4"/>
  <c r="T1126" i="4"/>
  <c r="T1127" i="4"/>
  <c r="T1128" i="4"/>
  <c r="T1129" i="4"/>
  <c r="T1130" i="4"/>
  <c r="T1131" i="4"/>
  <c r="T1132" i="4"/>
  <c r="T1133" i="4"/>
  <c r="T1134" i="4"/>
  <c r="T1135" i="4"/>
  <c r="T1136" i="4"/>
  <c r="T1137" i="4"/>
  <c r="T1138" i="4"/>
  <c r="T1139" i="4"/>
  <c r="T1140" i="4"/>
  <c r="T1141" i="4"/>
  <c r="T1142" i="4"/>
  <c r="T1143" i="4"/>
  <c r="T1144" i="4"/>
  <c r="T1145" i="4"/>
  <c r="T1146" i="4"/>
  <c r="T1147" i="4"/>
  <c r="T1148" i="4"/>
  <c r="T1149" i="4"/>
  <c r="T1150" i="4"/>
  <c r="T1151" i="4"/>
  <c r="T1152" i="4"/>
  <c r="T1153" i="4"/>
  <c r="T1154" i="4"/>
  <c r="T1155" i="4"/>
  <c r="T1156" i="4"/>
  <c r="T1157" i="4"/>
  <c r="T1158" i="4"/>
  <c r="T1159" i="4"/>
  <c r="T1160" i="4"/>
  <c r="T1161" i="4"/>
  <c r="T1162" i="4"/>
  <c r="T1163" i="4"/>
  <c r="T1164" i="4"/>
  <c r="T1165" i="4"/>
  <c r="T1166" i="4"/>
  <c r="T1167" i="4"/>
  <c r="T1168" i="4"/>
  <c r="T1169" i="4"/>
  <c r="T1170" i="4"/>
  <c r="T1171" i="4"/>
  <c r="T1172" i="4"/>
  <c r="T1173" i="4"/>
  <c r="T1174" i="4"/>
  <c r="T1175" i="4"/>
  <c r="T1176" i="4"/>
  <c r="T1177" i="4"/>
  <c r="T1178" i="4"/>
  <c r="T1179" i="4"/>
  <c r="T1180" i="4"/>
  <c r="T1181" i="4"/>
  <c r="T1182" i="4"/>
  <c r="T1183" i="4"/>
  <c r="T1184" i="4"/>
  <c r="T1185" i="4"/>
  <c r="T1186" i="4"/>
  <c r="T1187" i="4"/>
  <c r="T1188" i="4"/>
  <c r="T1189" i="4"/>
  <c r="T1190" i="4"/>
  <c r="T1191" i="4"/>
  <c r="T1192" i="4"/>
  <c r="T1193" i="4"/>
  <c r="T1194" i="4"/>
  <c r="T1195" i="4"/>
  <c r="T1196" i="4"/>
  <c r="T1197" i="4"/>
  <c r="T1198" i="4"/>
  <c r="T1199" i="4"/>
  <c r="T1200" i="4"/>
  <c r="T1201" i="4"/>
  <c r="S2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S245" i="4"/>
  <c r="S246" i="4"/>
  <c r="S247" i="4"/>
  <c r="S248" i="4"/>
  <c r="S249" i="4"/>
  <c r="S250" i="4"/>
  <c r="S251" i="4"/>
  <c r="S252" i="4"/>
  <c r="S253" i="4"/>
  <c r="S254" i="4"/>
  <c r="S255" i="4"/>
  <c r="S256" i="4"/>
  <c r="S257" i="4"/>
  <c r="S258" i="4"/>
  <c r="S259" i="4"/>
  <c r="S260" i="4"/>
  <c r="S261" i="4"/>
  <c r="S262" i="4"/>
  <c r="S263" i="4"/>
  <c r="S264" i="4"/>
  <c r="S265" i="4"/>
  <c r="S266" i="4"/>
  <c r="S267" i="4"/>
  <c r="S268" i="4"/>
  <c r="S269" i="4"/>
  <c r="S270" i="4"/>
  <c r="S271" i="4"/>
  <c r="S272" i="4"/>
  <c r="S273" i="4"/>
  <c r="S274" i="4"/>
  <c r="S275" i="4"/>
  <c r="S276" i="4"/>
  <c r="S277" i="4"/>
  <c r="S278" i="4"/>
  <c r="S279" i="4"/>
  <c r="S280" i="4"/>
  <c r="S281" i="4"/>
  <c r="S282" i="4"/>
  <c r="S283" i="4"/>
  <c r="S284" i="4"/>
  <c r="S285" i="4"/>
  <c r="S286" i="4"/>
  <c r="S287" i="4"/>
  <c r="S288" i="4"/>
  <c r="S289" i="4"/>
  <c r="S290" i="4"/>
  <c r="S291" i="4"/>
  <c r="S292" i="4"/>
  <c r="S293" i="4"/>
  <c r="S294" i="4"/>
  <c r="S295" i="4"/>
  <c r="S296" i="4"/>
  <c r="S297" i="4"/>
  <c r="S298" i="4"/>
  <c r="S299" i="4"/>
  <c r="S300" i="4"/>
  <c r="S301" i="4"/>
  <c r="S302" i="4"/>
  <c r="S303" i="4"/>
  <c r="S304" i="4"/>
  <c r="S305" i="4"/>
  <c r="S306" i="4"/>
  <c r="S307" i="4"/>
  <c r="S308" i="4"/>
  <c r="S309" i="4"/>
  <c r="S310" i="4"/>
  <c r="S311" i="4"/>
  <c r="S312" i="4"/>
  <c r="S313" i="4"/>
  <c r="S314" i="4"/>
  <c r="S315" i="4"/>
  <c r="S316" i="4"/>
  <c r="S317" i="4"/>
  <c r="S318" i="4"/>
  <c r="S319" i="4"/>
  <c r="S320" i="4"/>
  <c r="S321" i="4"/>
  <c r="S322" i="4"/>
  <c r="S323" i="4"/>
  <c r="S324" i="4"/>
  <c r="S325" i="4"/>
  <c r="S326" i="4"/>
  <c r="S327" i="4"/>
  <c r="S328" i="4"/>
  <c r="S329" i="4"/>
  <c r="S330" i="4"/>
  <c r="S331" i="4"/>
  <c r="S332" i="4"/>
  <c r="S333" i="4"/>
  <c r="S334" i="4"/>
  <c r="S335" i="4"/>
  <c r="S336" i="4"/>
  <c r="S337" i="4"/>
  <c r="S338" i="4"/>
  <c r="S339" i="4"/>
  <c r="S340" i="4"/>
  <c r="S341" i="4"/>
  <c r="S342" i="4"/>
  <c r="S343" i="4"/>
  <c r="S344" i="4"/>
  <c r="S345" i="4"/>
  <c r="S346" i="4"/>
  <c r="S347" i="4"/>
  <c r="S348" i="4"/>
  <c r="S349" i="4"/>
  <c r="S350" i="4"/>
  <c r="S351" i="4"/>
  <c r="S352" i="4"/>
  <c r="S353" i="4"/>
  <c r="S354" i="4"/>
  <c r="S355" i="4"/>
  <c r="S356" i="4"/>
  <c r="S357" i="4"/>
  <c r="S358" i="4"/>
  <c r="S359" i="4"/>
  <c r="S360" i="4"/>
  <c r="S361" i="4"/>
  <c r="S362" i="4"/>
  <c r="S363" i="4"/>
  <c r="S364" i="4"/>
  <c r="S365" i="4"/>
  <c r="S366" i="4"/>
  <c r="S367" i="4"/>
  <c r="S368" i="4"/>
  <c r="S369" i="4"/>
  <c r="S370" i="4"/>
  <c r="S371" i="4"/>
  <c r="S372" i="4"/>
  <c r="S373" i="4"/>
  <c r="S374" i="4"/>
  <c r="S375" i="4"/>
  <c r="S376" i="4"/>
  <c r="S377" i="4"/>
  <c r="S378" i="4"/>
  <c r="S379" i="4"/>
  <c r="S380" i="4"/>
  <c r="S381" i="4"/>
  <c r="S382" i="4"/>
  <c r="S383" i="4"/>
  <c r="S384" i="4"/>
  <c r="S385" i="4"/>
  <c r="S386" i="4"/>
  <c r="S387" i="4"/>
  <c r="S388" i="4"/>
  <c r="S389" i="4"/>
  <c r="S390" i="4"/>
  <c r="S391" i="4"/>
  <c r="S392" i="4"/>
  <c r="S393" i="4"/>
  <c r="S394" i="4"/>
  <c r="S395" i="4"/>
  <c r="S396" i="4"/>
  <c r="S397" i="4"/>
  <c r="S398" i="4"/>
  <c r="S399" i="4"/>
  <c r="S400" i="4"/>
  <c r="S401" i="4"/>
  <c r="S402" i="4"/>
  <c r="S403" i="4"/>
  <c r="S404" i="4"/>
  <c r="S405" i="4"/>
  <c r="S406" i="4"/>
  <c r="S407" i="4"/>
  <c r="S408" i="4"/>
  <c r="S409" i="4"/>
  <c r="S410" i="4"/>
  <c r="S411" i="4"/>
  <c r="S412" i="4"/>
  <c r="S413" i="4"/>
  <c r="S414" i="4"/>
  <c r="S415" i="4"/>
  <c r="S416" i="4"/>
  <c r="S417" i="4"/>
  <c r="S418" i="4"/>
  <c r="S419" i="4"/>
  <c r="S420" i="4"/>
  <c r="S421" i="4"/>
  <c r="S422" i="4"/>
  <c r="S423" i="4"/>
  <c r="S424" i="4"/>
  <c r="S425" i="4"/>
  <c r="S426" i="4"/>
  <c r="S427" i="4"/>
  <c r="S428" i="4"/>
  <c r="S429" i="4"/>
  <c r="S430" i="4"/>
  <c r="S431" i="4"/>
  <c r="S432" i="4"/>
  <c r="S433" i="4"/>
  <c r="S434" i="4"/>
  <c r="S435" i="4"/>
  <c r="S436" i="4"/>
  <c r="S437" i="4"/>
  <c r="S438" i="4"/>
  <c r="S439" i="4"/>
  <c r="S440" i="4"/>
  <c r="S441" i="4"/>
  <c r="S442" i="4"/>
  <c r="S443" i="4"/>
  <c r="S444" i="4"/>
  <c r="S445" i="4"/>
  <c r="S446" i="4"/>
  <c r="S447" i="4"/>
  <c r="S448" i="4"/>
  <c r="S449" i="4"/>
  <c r="S450" i="4"/>
  <c r="S451" i="4"/>
  <c r="S452" i="4"/>
  <c r="S453" i="4"/>
  <c r="S454" i="4"/>
  <c r="S455" i="4"/>
  <c r="S456" i="4"/>
  <c r="S457" i="4"/>
  <c r="S458" i="4"/>
  <c r="S459" i="4"/>
  <c r="S460" i="4"/>
  <c r="S461" i="4"/>
  <c r="S462" i="4"/>
  <c r="S463" i="4"/>
  <c r="S464" i="4"/>
  <c r="S465" i="4"/>
  <c r="S466" i="4"/>
  <c r="S467" i="4"/>
  <c r="S468" i="4"/>
  <c r="S469" i="4"/>
  <c r="S470" i="4"/>
  <c r="S471" i="4"/>
  <c r="S472" i="4"/>
  <c r="S473" i="4"/>
  <c r="S474" i="4"/>
  <c r="S475" i="4"/>
  <c r="S476" i="4"/>
  <c r="S477" i="4"/>
  <c r="S478" i="4"/>
  <c r="S479" i="4"/>
  <c r="S480" i="4"/>
  <c r="S481" i="4"/>
  <c r="S482" i="4"/>
  <c r="S483" i="4"/>
  <c r="S484" i="4"/>
  <c r="S485" i="4"/>
  <c r="S486" i="4"/>
  <c r="S487" i="4"/>
  <c r="S488" i="4"/>
  <c r="S489" i="4"/>
  <c r="S490" i="4"/>
  <c r="S491" i="4"/>
  <c r="S492" i="4"/>
  <c r="S493" i="4"/>
  <c r="S494" i="4"/>
  <c r="S495" i="4"/>
  <c r="S496" i="4"/>
  <c r="S497" i="4"/>
  <c r="S498" i="4"/>
  <c r="S499" i="4"/>
  <c r="S500" i="4"/>
  <c r="S501" i="4"/>
  <c r="S502" i="4"/>
  <c r="S503" i="4"/>
  <c r="S504" i="4"/>
  <c r="S505" i="4"/>
  <c r="S506" i="4"/>
  <c r="S507" i="4"/>
  <c r="S508" i="4"/>
  <c r="S509" i="4"/>
  <c r="S510" i="4"/>
  <c r="S511" i="4"/>
  <c r="S512" i="4"/>
  <c r="S513" i="4"/>
  <c r="S514" i="4"/>
  <c r="S515" i="4"/>
  <c r="S516" i="4"/>
  <c r="S517" i="4"/>
  <c r="S518" i="4"/>
  <c r="S519" i="4"/>
  <c r="S520" i="4"/>
  <c r="S521" i="4"/>
  <c r="S522" i="4"/>
  <c r="S523" i="4"/>
  <c r="S524" i="4"/>
  <c r="S525" i="4"/>
  <c r="S526" i="4"/>
  <c r="S527" i="4"/>
  <c r="S528" i="4"/>
  <c r="S529" i="4"/>
  <c r="S530" i="4"/>
  <c r="S531" i="4"/>
  <c r="S532" i="4"/>
  <c r="S533" i="4"/>
  <c r="S534" i="4"/>
  <c r="S535" i="4"/>
  <c r="S536" i="4"/>
  <c r="S537" i="4"/>
  <c r="S538" i="4"/>
  <c r="S539" i="4"/>
  <c r="S540" i="4"/>
  <c r="S541" i="4"/>
  <c r="S542" i="4"/>
  <c r="S543" i="4"/>
  <c r="S544" i="4"/>
  <c r="S545" i="4"/>
  <c r="S546" i="4"/>
  <c r="S547" i="4"/>
  <c r="S548" i="4"/>
  <c r="S549" i="4"/>
  <c r="S550" i="4"/>
  <c r="S551" i="4"/>
  <c r="S552" i="4"/>
  <c r="S553" i="4"/>
  <c r="S554" i="4"/>
  <c r="S555" i="4"/>
  <c r="S556" i="4"/>
  <c r="S557" i="4"/>
  <c r="S558" i="4"/>
  <c r="S559" i="4"/>
  <c r="S560" i="4"/>
  <c r="S561" i="4"/>
  <c r="S562" i="4"/>
  <c r="S563" i="4"/>
  <c r="S564" i="4"/>
  <c r="S565" i="4"/>
  <c r="S566" i="4"/>
  <c r="S567" i="4"/>
  <c r="S568" i="4"/>
  <c r="S569" i="4"/>
  <c r="S570" i="4"/>
  <c r="S571" i="4"/>
  <c r="S572" i="4"/>
  <c r="S573" i="4"/>
  <c r="S574" i="4"/>
  <c r="S575" i="4"/>
  <c r="S576" i="4"/>
  <c r="S577" i="4"/>
  <c r="S578" i="4"/>
  <c r="S579" i="4"/>
  <c r="S580" i="4"/>
  <c r="S581" i="4"/>
  <c r="S582" i="4"/>
  <c r="S583" i="4"/>
  <c r="S584" i="4"/>
  <c r="S585" i="4"/>
  <c r="S586" i="4"/>
  <c r="S587" i="4"/>
  <c r="S588" i="4"/>
  <c r="S589" i="4"/>
  <c r="S590" i="4"/>
  <c r="S591" i="4"/>
  <c r="S592" i="4"/>
  <c r="S593" i="4"/>
  <c r="S594" i="4"/>
  <c r="S595" i="4"/>
  <c r="S596" i="4"/>
  <c r="S597" i="4"/>
  <c r="S598" i="4"/>
  <c r="S599" i="4"/>
  <c r="S600" i="4"/>
  <c r="S601" i="4"/>
  <c r="S602" i="4"/>
  <c r="S603" i="4"/>
  <c r="S604" i="4"/>
  <c r="S605" i="4"/>
  <c r="S606" i="4"/>
  <c r="S607" i="4"/>
  <c r="S608" i="4"/>
  <c r="S609" i="4"/>
  <c r="S610" i="4"/>
  <c r="S611" i="4"/>
  <c r="S612" i="4"/>
  <c r="S613" i="4"/>
  <c r="S614" i="4"/>
  <c r="S615" i="4"/>
  <c r="S616" i="4"/>
  <c r="S617" i="4"/>
  <c r="S618" i="4"/>
  <c r="S619" i="4"/>
  <c r="S620" i="4"/>
  <c r="S621" i="4"/>
  <c r="S622" i="4"/>
  <c r="S623" i="4"/>
  <c r="S624" i="4"/>
  <c r="S625" i="4"/>
  <c r="S626" i="4"/>
  <c r="S627" i="4"/>
  <c r="S628" i="4"/>
  <c r="S629" i="4"/>
  <c r="S630" i="4"/>
  <c r="S631" i="4"/>
  <c r="S632" i="4"/>
  <c r="S633" i="4"/>
  <c r="S634" i="4"/>
  <c r="S635" i="4"/>
  <c r="S636" i="4"/>
  <c r="S637" i="4"/>
  <c r="S638" i="4"/>
  <c r="S639" i="4"/>
  <c r="S640" i="4"/>
  <c r="S641" i="4"/>
  <c r="S642" i="4"/>
  <c r="S643" i="4"/>
  <c r="S644" i="4"/>
  <c r="S645" i="4"/>
  <c r="S646" i="4"/>
  <c r="S647" i="4"/>
  <c r="S648" i="4"/>
  <c r="S649" i="4"/>
  <c r="S650" i="4"/>
  <c r="S651" i="4"/>
  <c r="S652" i="4"/>
  <c r="S653" i="4"/>
  <c r="S654" i="4"/>
  <c r="S655" i="4"/>
  <c r="S656" i="4"/>
  <c r="S657" i="4"/>
  <c r="S658" i="4"/>
  <c r="S659" i="4"/>
  <c r="S660" i="4"/>
  <c r="S661" i="4"/>
  <c r="S662" i="4"/>
  <c r="S663" i="4"/>
  <c r="S664" i="4"/>
  <c r="S665" i="4"/>
  <c r="S666" i="4"/>
  <c r="S667" i="4"/>
  <c r="S668" i="4"/>
  <c r="S669" i="4"/>
  <c r="S670" i="4"/>
  <c r="S671" i="4"/>
  <c r="S672" i="4"/>
  <c r="S673" i="4"/>
  <c r="S674" i="4"/>
  <c r="S675" i="4"/>
  <c r="S676" i="4"/>
  <c r="S677" i="4"/>
  <c r="S678" i="4"/>
  <c r="S679" i="4"/>
  <c r="S680" i="4"/>
  <c r="S681" i="4"/>
  <c r="S682" i="4"/>
  <c r="S683" i="4"/>
  <c r="S684" i="4"/>
  <c r="S685" i="4"/>
  <c r="S686" i="4"/>
  <c r="S687" i="4"/>
  <c r="S688" i="4"/>
  <c r="S689" i="4"/>
  <c r="S690" i="4"/>
  <c r="S691" i="4"/>
  <c r="S692" i="4"/>
  <c r="S693" i="4"/>
  <c r="S694" i="4"/>
  <c r="S695" i="4"/>
  <c r="S696" i="4"/>
  <c r="S697" i="4"/>
  <c r="S698" i="4"/>
  <c r="S699" i="4"/>
  <c r="S700" i="4"/>
  <c r="S701" i="4"/>
  <c r="S702" i="4"/>
  <c r="S703" i="4"/>
  <c r="S704" i="4"/>
  <c r="S705" i="4"/>
  <c r="S706" i="4"/>
  <c r="S707" i="4"/>
  <c r="S708" i="4"/>
  <c r="S709" i="4"/>
  <c r="S710" i="4"/>
  <c r="S711" i="4"/>
  <c r="S712" i="4"/>
  <c r="S713" i="4"/>
  <c r="S714" i="4"/>
  <c r="S715" i="4"/>
  <c r="S716" i="4"/>
  <c r="S717" i="4"/>
  <c r="S718" i="4"/>
  <c r="S719" i="4"/>
  <c r="S720" i="4"/>
  <c r="S721" i="4"/>
  <c r="S722" i="4"/>
  <c r="S723" i="4"/>
  <c r="S724" i="4"/>
  <c r="S725" i="4"/>
  <c r="S726" i="4"/>
  <c r="S727" i="4"/>
  <c r="S728" i="4"/>
  <c r="S729" i="4"/>
  <c r="S730" i="4"/>
  <c r="S731" i="4"/>
  <c r="S732" i="4"/>
  <c r="S733" i="4"/>
  <c r="S734" i="4"/>
  <c r="S735" i="4"/>
  <c r="S736" i="4"/>
  <c r="S737" i="4"/>
  <c r="S738" i="4"/>
  <c r="S739" i="4"/>
  <c r="S740" i="4"/>
  <c r="S741" i="4"/>
  <c r="S742" i="4"/>
  <c r="S743" i="4"/>
  <c r="S744" i="4"/>
  <c r="S745" i="4"/>
  <c r="S746" i="4"/>
  <c r="S747" i="4"/>
  <c r="S748" i="4"/>
  <c r="S749" i="4"/>
  <c r="S750" i="4"/>
  <c r="S751" i="4"/>
  <c r="S752" i="4"/>
  <c r="S753" i="4"/>
  <c r="S754" i="4"/>
  <c r="S755" i="4"/>
  <c r="S756" i="4"/>
  <c r="S757" i="4"/>
  <c r="S758" i="4"/>
  <c r="S759" i="4"/>
  <c r="S760" i="4"/>
  <c r="S761" i="4"/>
  <c r="S762" i="4"/>
  <c r="S763" i="4"/>
  <c r="S764" i="4"/>
  <c r="S765" i="4"/>
  <c r="S766" i="4"/>
  <c r="S767" i="4"/>
  <c r="S768" i="4"/>
  <c r="S769" i="4"/>
  <c r="S770" i="4"/>
  <c r="S771" i="4"/>
  <c r="S772" i="4"/>
  <c r="S773" i="4"/>
  <c r="S774" i="4"/>
  <c r="S775" i="4"/>
  <c r="S776" i="4"/>
  <c r="S777" i="4"/>
  <c r="S778" i="4"/>
  <c r="S779" i="4"/>
  <c r="S780" i="4"/>
  <c r="S781" i="4"/>
  <c r="S782" i="4"/>
  <c r="S783" i="4"/>
  <c r="S784" i="4"/>
  <c r="S785" i="4"/>
  <c r="S786" i="4"/>
  <c r="S787" i="4"/>
  <c r="S788" i="4"/>
  <c r="S789" i="4"/>
  <c r="S790" i="4"/>
  <c r="S791" i="4"/>
  <c r="S792" i="4"/>
  <c r="S793" i="4"/>
  <c r="S794" i="4"/>
  <c r="S795" i="4"/>
  <c r="S796" i="4"/>
  <c r="S797" i="4"/>
  <c r="S798" i="4"/>
  <c r="S799" i="4"/>
  <c r="S800" i="4"/>
  <c r="S801" i="4"/>
  <c r="S802" i="4"/>
  <c r="S803" i="4"/>
  <c r="S804" i="4"/>
  <c r="S805" i="4"/>
  <c r="S806" i="4"/>
  <c r="S807" i="4"/>
  <c r="S808" i="4"/>
  <c r="S809" i="4"/>
  <c r="S810" i="4"/>
  <c r="S811" i="4"/>
  <c r="S812" i="4"/>
  <c r="S813" i="4"/>
  <c r="S814" i="4"/>
  <c r="S815" i="4"/>
  <c r="S816" i="4"/>
  <c r="S817" i="4"/>
  <c r="S818" i="4"/>
  <c r="S819" i="4"/>
  <c r="S820" i="4"/>
  <c r="S821" i="4"/>
  <c r="S822" i="4"/>
  <c r="S823" i="4"/>
  <c r="S824" i="4"/>
  <c r="S825" i="4"/>
  <c r="S826" i="4"/>
  <c r="S827" i="4"/>
  <c r="S828" i="4"/>
  <c r="S829" i="4"/>
  <c r="S830" i="4"/>
  <c r="S831" i="4"/>
  <c r="S832" i="4"/>
  <c r="S833" i="4"/>
  <c r="S834" i="4"/>
  <c r="S835" i="4"/>
  <c r="S836" i="4"/>
  <c r="S837" i="4"/>
  <c r="S838" i="4"/>
  <c r="S839" i="4"/>
  <c r="S840" i="4"/>
  <c r="S841" i="4"/>
  <c r="S842" i="4"/>
  <c r="S843" i="4"/>
  <c r="S844" i="4"/>
  <c r="S845" i="4"/>
  <c r="S846" i="4"/>
  <c r="S847" i="4"/>
  <c r="S848" i="4"/>
  <c r="S849" i="4"/>
  <c r="S850" i="4"/>
  <c r="S851" i="4"/>
  <c r="S852" i="4"/>
  <c r="S853" i="4"/>
  <c r="S854" i="4"/>
  <c r="S855" i="4"/>
  <c r="S856" i="4"/>
  <c r="S857" i="4"/>
  <c r="S858" i="4"/>
  <c r="S859" i="4"/>
  <c r="S860" i="4"/>
  <c r="S861" i="4"/>
  <c r="S862" i="4"/>
  <c r="S863" i="4"/>
  <c r="S864" i="4"/>
  <c r="S865" i="4"/>
  <c r="S866" i="4"/>
  <c r="S867" i="4"/>
  <c r="S868" i="4"/>
  <c r="S869" i="4"/>
  <c r="S870" i="4"/>
  <c r="S871" i="4"/>
  <c r="S872" i="4"/>
  <c r="S873" i="4"/>
  <c r="S874" i="4"/>
  <c r="S875" i="4"/>
  <c r="S876" i="4"/>
  <c r="S877" i="4"/>
  <c r="S878" i="4"/>
  <c r="S879" i="4"/>
  <c r="S880" i="4"/>
  <c r="S881" i="4"/>
  <c r="S882" i="4"/>
  <c r="S883" i="4"/>
  <c r="S884" i="4"/>
  <c r="S885" i="4"/>
  <c r="S886" i="4"/>
  <c r="S887" i="4"/>
  <c r="S888" i="4"/>
  <c r="S889" i="4"/>
  <c r="S890" i="4"/>
  <c r="S891" i="4"/>
  <c r="S892" i="4"/>
  <c r="S893" i="4"/>
  <c r="S894" i="4"/>
  <c r="S895" i="4"/>
  <c r="S896" i="4"/>
  <c r="S897" i="4"/>
  <c r="S898" i="4"/>
  <c r="S899" i="4"/>
  <c r="S900" i="4"/>
  <c r="S901" i="4"/>
  <c r="S902" i="4"/>
  <c r="S903" i="4"/>
  <c r="S904" i="4"/>
  <c r="S905" i="4"/>
  <c r="S906" i="4"/>
  <c r="S907" i="4"/>
  <c r="S908" i="4"/>
  <c r="S909" i="4"/>
  <c r="S910" i="4"/>
  <c r="S911" i="4"/>
  <c r="S912" i="4"/>
  <c r="S913" i="4"/>
  <c r="S914" i="4"/>
  <c r="S915" i="4"/>
  <c r="S916" i="4"/>
  <c r="S917" i="4"/>
  <c r="S918" i="4"/>
  <c r="S919" i="4"/>
  <c r="S920" i="4"/>
  <c r="S921" i="4"/>
  <c r="S922" i="4"/>
  <c r="S923" i="4"/>
  <c r="S924" i="4"/>
  <c r="S925" i="4"/>
  <c r="S926" i="4"/>
  <c r="S927" i="4"/>
  <c r="S928" i="4"/>
  <c r="S929" i="4"/>
  <c r="S930" i="4"/>
  <c r="S931" i="4"/>
  <c r="S932" i="4"/>
  <c r="S933" i="4"/>
  <c r="S934" i="4"/>
  <c r="S935" i="4"/>
  <c r="S936" i="4"/>
  <c r="S937" i="4"/>
  <c r="S938" i="4"/>
  <c r="S939" i="4"/>
  <c r="S940" i="4"/>
  <c r="S941" i="4"/>
  <c r="S942" i="4"/>
  <c r="S943" i="4"/>
  <c r="S944" i="4"/>
  <c r="S945" i="4"/>
  <c r="S946" i="4"/>
  <c r="S947" i="4"/>
  <c r="S948" i="4"/>
  <c r="S949" i="4"/>
  <c r="S950" i="4"/>
  <c r="S951" i="4"/>
  <c r="S952" i="4"/>
  <c r="S953" i="4"/>
  <c r="S954" i="4"/>
  <c r="S955" i="4"/>
  <c r="S956" i="4"/>
  <c r="S957" i="4"/>
  <c r="S958" i="4"/>
  <c r="S959" i="4"/>
  <c r="S960" i="4"/>
  <c r="S961" i="4"/>
  <c r="S962" i="4"/>
  <c r="S963" i="4"/>
  <c r="S964" i="4"/>
  <c r="S965" i="4"/>
  <c r="S966" i="4"/>
  <c r="S967" i="4"/>
  <c r="S968" i="4"/>
  <c r="S969" i="4"/>
  <c r="S970" i="4"/>
  <c r="S971" i="4"/>
  <c r="S972" i="4"/>
  <c r="S973" i="4"/>
  <c r="S974" i="4"/>
  <c r="S975" i="4"/>
  <c r="S976" i="4"/>
  <c r="S977" i="4"/>
  <c r="S978" i="4"/>
  <c r="S979" i="4"/>
  <c r="S980" i="4"/>
  <c r="S981" i="4"/>
  <c r="S982" i="4"/>
  <c r="S983" i="4"/>
  <c r="S984" i="4"/>
  <c r="S985" i="4"/>
  <c r="S986" i="4"/>
  <c r="S987" i="4"/>
  <c r="S988" i="4"/>
  <c r="S989" i="4"/>
  <c r="S990" i="4"/>
  <c r="S991" i="4"/>
  <c r="S992" i="4"/>
  <c r="S993" i="4"/>
  <c r="S994" i="4"/>
  <c r="S995" i="4"/>
  <c r="S996" i="4"/>
  <c r="S997" i="4"/>
  <c r="S998" i="4"/>
  <c r="S999" i="4"/>
  <c r="S1000" i="4"/>
  <c r="S1001" i="4"/>
  <c r="S1002" i="4"/>
  <c r="S1003" i="4"/>
  <c r="S1004" i="4"/>
  <c r="S1005" i="4"/>
  <c r="S1006" i="4"/>
  <c r="S1007" i="4"/>
  <c r="S1008" i="4"/>
  <c r="S1009" i="4"/>
  <c r="S1010" i="4"/>
  <c r="S1011" i="4"/>
  <c r="S1012" i="4"/>
  <c r="S1013" i="4"/>
  <c r="S1014" i="4"/>
  <c r="S1015" i="4"/>
  <c r="S1016" i="4"/>
  <c r="S1017" i="4"/>
  <c r="S1018" i="4"/>
  <c r="S1019" i="4"/>
  <c r="S1020" i="4"/>
  <c r="S1021" i="4"/>
  <c r="S1022" i="4"/>
  <c r="S1023" i="4"/>
  <c r="S1024" i="4"/>
  <c r="S1025" i="4"/>
  <c r="S1026" i="4"/>
  <c r="S1027" i="4"/>
  <c r="S1028" i="4"/>
  <c r="S1029" i="4"/>
  <c r="S1030" i="4"/>
  <c r="S1031" i="4"/>
  <c r="S1032" i="4"/>
  <c r="S1033" i="4"/>
  <c r="S1034" i="4"/>
  <c r="S1035" i="4"/>
  <c r="S1036" i="4"/>
  <c r="S1037" i="4"/>
  <c r="S1038" i="4"/>
  <c r="S1039" i="4"/>
  <c r="S1040" i="4"/>
  <c r="S1041" i="4"/>
  <c r="S1042" i="4"/>
  <c r="S1043" i="4"/>
  <c r="S1044" i="4"/>
  <c r="S1045" i="4"/>
  <c r="S1046" i="4"/>
  <c r="S1047" i="4"/>
  <c r="S1048" i="4"/>
  <c r="S1049" i="4"/>
  <c r="S1050" i="4"/>
  <c r="S1051" i="4"/>
  <c r="S1052" i="4"/>
  <c r="S1053" i="4"/>
  <c r="S1054" i="4"/>
  <c r="S1055" i="4"/>
  <c r="S1056" i="4"/>
  <c r="S1057" i="4"/>
  <c r="S1058" i="4"/>
  <c r="S1059" i="4"/>
  <c r="S1060" i="4"/>
  <c r="S1061" i="4"/>
  <c r="S1062" i="4"/>
  <c r="S1063" i="4"/>
  <c r="S1064" i="4"/>
  <c r="S1065" i="4"/>
  <c r="S1066" i="4"/>
  <c r="S1067" i="4"/>
  <c r="S1068" i="4"/>
  <c r="S1069" i="4"/>
  <c r="S1070" i="4"/>
  <c r="S1071" i="4"/>
  <c r="S1072" i="4"/>
  <c r="S1073" i="4"/>
  <c r="S1074" i="4"/>
  <c r="S1075" i="4"/>
  <c r="S1076" i="4"/>
  <c r="S1077" i="4"/>
  <c r="S1078" i="4"/>
  <c r="S1079" i="4"/>
  <c r="S1080" i="4"/>
  <c r="S1081" i="4"/>
  <c r="S1082" i="4"/>
  <c r="S1083" i="4"/>
  <c r="S1084" i="4"/>
  <c r="S1085" i="4"/>
  <c r="S1086" i="4"/>
  <c r="S1087" i="4"/>
  <c r="S1088" i="4"/>
  <c r="S1089" i="4"/>
  <c r="S1090" i="4"/>
  <c r="S1091" i="4"/>
  <c r="S1092" i="4"/>
  <c r="S1093" i="4"/>
  <c r="S1094" i="4"/>
  <c r="S1095" i="4"/>
  <c r="S1096" i="4"/>
  <c r="S1097" i="4"/>
  <c r="S1098" i="4"/>
  <c r="S1099" i="4"/>
  <c r="S1100" i="4"/>
  <c r="S1101" i="4"/>
  <c r="S1102" i="4"/>
  <c r="S1103" i="4"/>
  <c r="S1104" i="4"/>
  <c r="S1105" i="4"/>
  <c r="S1106" i="4"/>
  <c r="S1107" i="4"/>
  <c r="S1108" i="4"/>
  <c r="S1109" i="4"/>
  <c r="S1110" i="4"/>
  <c r="S1111" i="4"/>
  <c r="S1112" i="4"/>
  <c r="S1113" i="4"/>
  <c r="S1114" i="4"/>
  <c r="S1115" i="4"/>
  <c r="S1116" i="4"/>
  <c r="S1117" i="4"/>
  <c r="S1118" i="4"/>
  <c r="S1119" i="4"/>
  <c r="S1120" i="4"/>
  <c r="S1121" i="4"/>
  <c r="S1122" i="4"/>
  <c r="S1123" i="4"/>
  <c r="S1124" i="4"/>
  <c r="S1125" i="4"/>
  <c r="S1126" i="4"/>
  <c r="S1127" i="4"/>
  <c r="S1128" i="4"/>
  <c r="S1129" i="4"/>
  <c r="S1130" i="4"/>
  <c r="S1131" i="4"/>
  <c r="S1132" i="4"/>
  <c r="S1133" i="4"/>
  <c r="S1134" i="4"/>
  <c r="S1135" i="4"/>
  <c r="S1136" i="4"/>
  <c r="S1137" i="4"/>
  <c r="S1138" i="4"/>
  <c r="S1139" i="4"/>
  <c r="S1140" i="4"/>
  <c r="S1141" i="4"/>
  <c r="S1142" i="4"/>
  <c r="S1143" i="4"/>
  <c r="S1144" i="4"/>
  <c r="S1145" i="4"/>
  <c r="S1146" i="4"/>
  <c r="S1147" i="4"/>
  <c r="S1148" i="4"/>
  <c r="S1149" i="4"/>
  <c r="S1150" i="4"/>
  <c r="S1151" i="4"/>
  <c r="S1152" i="4"/>
  <c r="S1153" i="4"/>
  <c r="S1154" i="4"/>
  <c r="S1155" i="4"/>
  <c r="S1156" i="4"/>
  <c r="S1157" i="4"/>
  <c r="S1158" i="4"/>
  <c r="S1159" i="4"/>
  <c r="S1160" i="4"/>
  <c r="S1161" i="4"/>
  <c r="S1162" i="4"/>
  <c r="S1163" i="4"/>
  <c r="S1164" i="4"/>
  <c r="S1165" i="4"/>
  <c r="S1166" i="4"/>
  <c r="S1167" i="4"/>
  <c r="S1168" i="4"/>
  <c r="S1169" i="4"/>
  <c r="S1170" i="4"/>
  <c r="S1171" i="4"/>
  <c r="S1172" i="4"/>
  <c r="S1173" i="4"/>
  <c r="S1174" i="4"/>
  <c r="S1175" i="4"/>
  <c r="S1176" i="4"/>
  <c r="S1177" i="4"/>
  <c r="S1178" i="4"/>
  <c r="S1179" i="4"/>
  <c r="S1180" i="4"/>
  <c r="S1181" i="4"/>
  <c r="S1182" i="4"/>
  <c r="S1183" i="4"/>
  <c r="S1184" i="4"/>
  <c r="S1185" i="4"/>
  <c r="S1186" i="4"/>
  <c r="S1187" i="4"/>
  <c r="S1188" i="4"/>
  <c r="S1189" i="4"/>
  <c r="S1190" i="4"/>
  <c r="S1191" i="4"/>
  <c r="S1192" i="4"/>
  <c r="S1193" i="4"/>
  <c r="S1194" i="4"/>
  <c r="S1195" i="4"/>
  <c r="S1196" i="4"/>
  <c r="S1197" i="4"/>
  <c r="S1198" i="4"/>
  <c r="S1199" i="4"/>
  <c r="S1200" i="4"/>
  <c r="S1201" i="4"/>
  <c r="R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R451" i="4"/>
  <c r="R452" i="4"/>
  <c r="R453" i="4"/>
  <c r="R454" i="4"/>
  <c r="R455" i="4"/>
  <c r="R456" i="4"/>
  <c r="R457" i="4"/>
  <c r="R458" i="4"/>
  <c r="R459" i="4"/>
  <c r="R460" i="4"/>
  <c r="R461" i="4"/>
  <c r="R462" i="4"/>
  <c r="R463" i="4"/>
  <c r="R464" i="4"/>
  <c r="R465" i="4"/>
  <c r="R466" i="4"/>
  <c r="R467" i="4"/>
  <c r="R468" i="4"/>
  <c r="R469" i="4"/>
  <c r="R470" i="4"/>
  <c r="R471" i="4"/>
  <c r="R472" i="4"/>
  <c r="R473" i="4"/>
  <c r="R474" i="4"/>
  <c r="R475" i="4"/>
  <c r="R476" i="4"/>
  <c r="R477" i="4"/>
  <c r="R478" i="4"/>
  <c r="R479" i="4"/>
  <c r="R480" i="4"/>
  <c r="R481" i="4"/>
  <c r="R482" i="4"/>
  <c r="R483" i="4"/>
  <c r="R484" i="4"/>
  <c r="R485" i="4"/>
  <c r="R486" i="4"/>
  <c r="R487" i="4"/>
  <c r="R488" i="4"/>
  <c r="R489" i="4"/>
  <c r="R490" i="4"/>
  <c r="R491" i="4"/>
  <c r="R492" i="4"/>
  <c r="R493" i="4"/>
  <c r="R494" i="4"/>
  <c r="R495" i="4"/>
  <c r="R496" i="4"/>
  <c r="R497" i="4"/>
  <c r="R498" i="4"/>
  <c r="R499" i="4"/>
  <c r="R500" i="4"/>
  <c r="R501" i="4"/>
  <c r="R502" i="4"/>
  <c r="R503" i="4"/>
  <c r="R504" i="4"/>
  <c r="R505" i="4"/>
  <c r="R506" i="4"/>
  <c r="R507" i="4"/>
  <c r="R508" i="4"/>
  <c r="R509" i="4"/>
  <c r="R510" i="4"/>
  <c r="R511" i="4"/>
  <c r="R512" i="4"/>
  <c r="R513" i="4"/>
  <c r="R514" i="4"/>
  <c r="R515" i="4"/>
  <c r="R516" i="4"/>
  <c r="R517" i="4"/>
  <c r="R518" i="4"/>
  <c r="R519" i="4"/>
  <c r="R520" i="4"/>
  <c r="R521" i="4"/>
  <c r="R522" i="4"/>
  <c r="R523" i="4"/>
  <c r="R524" i="4"/>
  <c r="R525" i="4"/>
  <c r="R526" i="4"/>
  <c r="R527" i="4"/>
  <c r="R528" i="4"/>
  <c r="R529" i="4"/>
  <c r="R530" i="4"/>
  <c r="R531" i="4"/>
  <c r="R532" i="4"/>
  <c r="R533" i="4"/>
  <c r="R534" i="4"/>
  <c r="R535" i="4"/>
  <c r="R536" i="4"/>
  <c r="R537" i="4"/>
  <c r="R538" i="4"/>
  <c r="R539" i="4"/>
  <c r="R540" i="4"/>
  <c r="R541" i="4"/>
  <c r="R542" i="4"/>
  <c r="R543" i="4"/>
  <c r="R544" i="4"/>
  <c r="R545" i="4"/>
  <c r="R546" i="4"/>
  <c r="R547" i="4"/>
  <c r="R548" i="4"/>
  <c r="R549" i="4"/>
  <c r="R550" i="4"/>
  <c r="R551" i="4"/>
  <c r="R552" i="4"/>
  <c r="R553" i="4"/>
  <c r="R554" i="4"/>
  <c r="R555" i="4"/>
  <c r="R556" i="4"/>
  <c r="R557" i="4"/>
  <c r="R558" i="4"/>
  <c r="R559" i="4"/>
  <c r="R560" i="4"/>
  <c r="R561" i="4"/>
  <c r="R562" i="4"/>
  <c r="R563" i="4"/>
  <c r="R564" i="4"/>
  <c r="R565" i="4"/>
  <c r="R566" i="4"/>
  <c r="R567" i="4"/>
  <c r="R568" i="4"/>
  <c r="R569" i="4"/>
  <c r="R570" i="4"/>
  <c r="R571" i="4"/>
  <c r="R572" i="4"/>
  <c r="R573" i="4"/>
  <c r="R574" i="4"/>
  <c r="R575" i="4"/>
  <c r="R576" i="4"/>
  <c r="R577" i="4"/>
  <c r="R578" i="4"/>
  <c r="R579" i="4"/>
  <c r="R580" i="4"/>
  <c r="R581" i="4"/>
  <c r="R582" i="4"/>
  <c r="R583" i="4"/>
  <c r="R584" i="4"/>
  <c r="R585" i="4"/>
  <c r="R586" i="4"/>
  <c r="R587" i="4"/>
  <c r="R588" i="4"/>
  <c r="R589" i="4"/>
  <c r="R590" i="4"/>
  <c r="R591" i="4"/>
  <c r="R592" i="4"/>
  <c r="R593" i="4"/>
  <c r="R594" i="4"/>
  <c r="R595" i="4"/>
  <c r="R596" i="4"/>
  <c r="R597" i="4"/>
  <c r="R598" i="4"/>
  <c r="R599" i="4"/>
  <c r="R600" i="4"/>
  <c r="R601" i="4"/>
  <c r="R602" i="4"/>
  <c r="R603" i="4"/>
  <c r="R604" i="4"/>
  <c r="R605" i="4"/>
  <c r="R606" i="4"/>
  <c r="R607" i="4"/>
  <c r="R608" i="4"/>
  <c r="R609" i="4"/>
  <c r="R610" i="4"/>
  <c r="R611" i="4"/>
  <c r="R612" i="4"/>
  <c r="R613" i="4"/>
  <c r="R614" i="4"/>
  <c r="R615" i="4"/>
  <c r="R616" i="4"/>
  <c r="R617" i="4"/>
  <c r="R618" i="4"/>
  <c r="R619" i="4"/>
  <c r="R620" i="4"/>
  <c r="R621" i="4"/>
  <c r="R622" i="4"/>
  <c r="R623" i="4"/>
  <c r="R624" i="4"/>
  <c r="R625" i="4"/>
  <c r="R626" i="4"/>
  <c r="R627" i="4"/>
  <c r="R628" i="4"/>
  <c r="R629" i="4"/>
  <c r="R630" i="4"/>
  <c r="R631" i="4"/>
  <c r="R632" i="4"/>
  <c r="R633" i="4"/>
  <c r="R634" i="4"/>
  <c r="R635" i="4"/>
  <c r="R636" i="4"/>
  <c r="R637" i="4"/>
  <c r="R638" i="4"/>
  <c r="R639" i="4"/>
  <c r="R640" i="4"/>
  <c r="R641" i="4"/>
  <c r="R642" i="4"/>
  <c r="R643" i="4"/>
  <c r="R644" i="4"/>
  <c r="R645" i="4"/>
  <c r="R646" i="4"/>
  <c r="R647" i="4"/>
  <c r="R648" i="4"/>
  <c r="R649" i="4"/>
  <c r="R650" i="4"/>
  <c r="R651" i="4"/>
  <c r="R652" i="4"/>
  <c r="R653" i="4"/>
  <c r="R654" i="4"/>
  <c r="R655" i="4"/>
  <c r="R656" i="4"/>
  <c r="R657" i="4"/>
  <c r="R658" i="4"/>
  <c r="R659" i="4"/>
  <c r="R660" i="4"/>
  <c r="R661" i="4"/>
  <c r="R662" i="4"/>
  <c r="R663" i="4"/>
  <c r="R664" i="4"/>
  <c r="R665" i="4"/>
  <c r="R666" i="4"/>
  <c r="R667" i="4"/>
  <c r="R668" i="4"/>
  <c r="R669" i="4"/>
  <c r="R670" i="4"/>
  <c r="R671" i="4"/>
  <c r="R672" i="4"/>
  <c r="R673" i="4"/>
  <c r="R674" i="4"/>
  <c r="R675" i="4"/>
  <c r="R676" i="4"/>
  <c r="R677" i="4"/>
  <c r="R678" i="4"/>
  <c r="R679" i="4"/>
  <c r="R680" i="4"/>
  <c r="R681" i="4"/>
  <c r="R682" i="4"/>
  <c r="R683" i="4"/>
  <c r="R684" i="4"/>
  <c r="R685" i="4"/>
  <c r="R686" i="4"/>
  <c r="R687" i="4"/>
  <c r="R688" i="4"/>
  <c r="R689" i="4"/>
  <c r="R690" i="4"/>
  <c r="R691" i="4"/>
  <c r="R692" i="4"/>
  <c r="R693" i="4"/>
  <c r="R694" i="4"/>
  <c r="R695" i="4"/>
  <c r="R696" i="4"/>
  <c r="R697" i="4"/>
  <c r="R698" i="4"/>
  <c r="R699" i="4"/>
  <c r="R700" i="4"/>
  <c r="R701" i="4"/>
  <c r="R702" i="4"/>
  <c r="R703" i="4"/>
  <c r="R704" i="4"/>
  <c r="R705" i="4"/>
  <c r="R706" i="4"/>
  <c r="R707" i="4"/>
  <c r="R708" i="4"/>
  <c r="R709" i="4"/>
  <c r="R710" i="4"/>
  <c r="R711" i="4"/>
  <c r="R712" i="4"/>
  <c r="R713" i="4"/>
  <c r="R714" i="4"/>
  <c r="R715" i="4"/>
  <c r="R716" i="4"/>
  <c r="R717" i="4"/>
  <c r="R718" i="4"/>
  <c r="R719" i="4"/>
  <c r="R720" i="4"/>
  <c r="R721" i="4"/>
  <c r="R722" i="4"/>
  <c r="R723" i="4"/>
  <c r="R724" i="4"/>
  <c r="R725" i="4"/>
  <c r="R726" i="4"/>
  <c r="R727" i="4"/>
  <c r="R728" i="4"/>
  <c r="R729" i="4"/>
  <c r="R730" i="4"/>
  <c r="R731" i="4"/>
  <c r="R732" i="4"/>
  <c r="R733" i="4"/>
  <c r="R734" i="4"/>
  <c r="R735" i="4"/>
  <c r="R736" i="4"/>
  <c r="R737" i="4"/>
  <c r="R738" i="4"/>
  <c r="R739" i="4"/>
  <c r="R740" i="4"/>
  <c r="R741" i="4"/>
  <c r="R742" i="4"/>
  <c r="R743" i="4"/>
  <c r="R744" i="4"/>
  <c r="R745" i="4"/>
  <c r="R746" i="4"/>
  <c r="R747" i="4"/>
  <c r="R748" i="4"/>
  <c r="R749" i="4"/>
  <c r="R750" i="4"/>
  <c r="R751" i="4"/>
  <c r="R752" i="4"/>
  <c r="R753" i="4"/>
  <c r="R754" i="4"/>
  <c r="R755" i="4"/>
  <c r="R756" i="4"/>
  <c r="R757" i="4"/>
  <c r="R758" i="4"/>
  <c r="R759" i="4"/>
  <c r="R760" i="4"/>
  <c r="R761" i="4"/>
  <c r="R762" i="4"/>
  <c r="R763" i="4"/>
  <c r="R764" i="4"/>
  <c r="R765" i="4"/>
  <c r="R766" i="4"/>
  <c r="R767" i="4"/>
  <c r="R768" i="4"/>
  <c r="R769" i="4"/>
  <c r="R770" i="4"/>
  <c r="R771" i="4"/>
  <c r="R772" i="4"/>
  <c r="R773" i="4"/>
  <c r="R774" i="4"/>
  <c r="R775" i="4"/>
  <c r="R776" i="4"/>
  <c r="R777" i="4"/>
  <c r="R778" i="4"/>
  <c r="R779" i="4"/>
  <c r="R780" i="4"/>
  <c r="R781" i="4"/>
  <c r="R782" i="4"/>
  <c r="R783" i="4"/>
  <c r="R784" i="4"/>
  <c r="R785" i="4"/>
  <c r="R786" i="4"/>
  <c r="R787" i="4"/>
  <c r="R788" i="4"/>
  <c r="R789" i="4"/>
  <c r="R790" i="4"/>
  <c r="R791" i="4"/>
  <c r="R792" i="4"/>
  <c r="R793" i="4"/>
  <c r="R794" i="4"/>
  <c r="R795" i="4"/>
  <c r="R796" i="4"/>
  <c r="R797" i="4"/>
  <c r="R798" i="4"/>
  <c r="R799" i="4"/>
  <c r="R800" i="4"/>
  <c r="R801" i="4"/>
  <c r="R802" i="4"/>
  <c r="R803" i="4"/>
  <c r="R804" i="4"/>
  <c r="R805" i="4"/>
  <c r="R806" i="4"/>
  <c r="R807" i="4"/>
  <c r="R808" i="4"/>
  <c r="R809" i="4"/>
  <c r="R810" i="4"/>
  <c r="R811" i="4"/>
  <c r="R812" i="4"/>
  <c r="R813" i="4"/>
  <c r="R814" i="4"/>
  <c r="R815" i="4"/>
  <c r="R816" i="4"/>
  <c r="R817" i="4"/>
  <c r="R818" i="4"/>
  <c r="R819" i="4"/>
  <c r="R820" i="4"/>
  <c r="R821" i="4"/>
  <c r="R822" i="4"/>
  <c r="R823" i="4"/>
  <c r="R824" i="4"/>
  <c r="R825" i="4"/>
  <c r="R826" i="4"/>
  <c r="R827" i="4"/>
  <c r="R828" i="4"/>
  <c r="R829" i="4"/>
  <c r="R830" i="4"/>
  <c r="R831" i="4"/>
  <c r="R832" i="4"/>
  <c r="R833" i="4"/>
  <c r="R834" i="4"/>
  <c r="R835" i="4"/>
  <c r="R836" i="4"/>
  <c r="R837" i="4"/>
  <c r="R838" i="4"/>
  <c r="R839" i="4"/>
  <c r="R840" i="4"/>
  <c r="R841" i="4"/>
  <c r="R842" i="4"/>
  <c r="R843" i="4"/>
  <c r="R844" i="4"/>
  <c r="R845" i="4"/>
  <c r="R846" i="4"/>
  <c r="R847" i="4"/>
  <c r="R848" i="4"/>
  <c r="R849" i="4"/>
  <c r="R850" i="4"/>
  <c r="R851" i="4"/>
  <c r="R852" i="4"/>
  <c r="R853" i="4"/>
  <c r="R854" i="4"/>
  <c r="R855" i="4"/>
  <c r="R856" i="4"/>
  <c r="R857" i="4"/>
  <c r="R858" i="4"/>
  <c r="R859" i="4"/>
  <c r="R860" i="4"/>
  <c r="R861" i="4"/>
  <c r="R862" i="4"/>
  <c r="R863" i="4"/>
  <c r="R864" i="4"/>
  <c r="R865" i="4"/>
  <c r="R866" i="4"/>
  <c r="R867" i="4"/>
  <c r="R868" i="4"/>
  <c r="R869" i="4"/>
  <c r="R870" i="4"/>
  <c r="R871" i="4"/>
  <c r="R872" i="4"/>
  <c r="R873" i="4"/>
  <c r="R874" i="4"/>
  <c r="R875" i="4"/>
  <c r="R876" i="4"/>
  <c r="R877" i="4"/>
  <c r="R878" i="4"/>
  <c r="R879" i="4"/>
  <c r="R880" i="4"/>
  <c r="R881" i="4"/>
  <c r="R882" i="4"/>
  <c r="R883" i="4"/>
  <c r="R884" i="4"/>
  <c r="R885" i="4"/>
  <c r="R886" i="4"/>
  <c r="R887" i="4"/>
  <c r="R888" i="4"/>
  <c r="R889" i="4"/>
  <c r="R890" i="4"/>
  <c r="R891" i="4"/>
  <c r="R892" i="4"/>
  <c r="R893" i="4"/>
  <c r="R894" i="4"/>
  <c r="R895" i="4"/>
  <c r="R896" i="4"/>
  <c r="R897" i="4"/>
  <c r="R898" i="4"/>
  <c r="R899" i="4"/>
  <c r="R900" i="4"/>
  <c r="R901" i="4"/>
  <c r="R902" i="4"/>
  <c r="R903" i="4"/>
  <c r="R904" i="4"/>
  <c r="R905" i="4"/>
  <c r="R906" i="4"/>
  <c r="R907" i="4"/>
  <c r="R908" i="4"/>
  <c r="R909" i="4"/>
  <c r="R910" i="4"/>
  <c r="R911" i="4"/>
  <c r="R912" i="4"/>
  <c r="R913" i="4"/>
  <c r="R914" i="4"/>
  <c r="R915" i="4"/>
  <c r="R916" i="4"/>
  <c r="R917" i="4"/>
  <c r="R918" i="4"/>
  <c r="R919" i="4"/>
  <c r="R920" i="4"/>
  <c r="R921" i="4"/>
  <c r="R922" i="4"/>
  <c r="R923" i="4"/>
  <c r="R924" i="4"/>
  <c r="R925" i="4"/>
  <c r="R926" i="4"/>
  <c r="R927" i="4"/>
  <c r="R928" i="4"/>
  <c r="R929" i="4"/>
  <c r="R930" i="4"/>
  <c r="R931" i="4"/>
  <c r="R932" i="4"/>
  <c r="R933" i="4"/>
  <c r="R934" i="4"/>
  <c r="R935" i="4"/>
  <c r="R936" i="4"/>
  <c r="R937" i="4"/>
  <c r="R938" i="4"/>
  <c r="R939" i="4"/>
  <c r="R940" i="4"/>
  <c r="R941" i="4"/>
  <c r="R942" i="4"/>
  <c r="R943" i="4"/>
  <c r="R944" i="4"/>
  <c r="R945" i="4"/>
  <c r="R946" i="4"/>
  <c r="R947" i="4"/>
  <c r="R948" i="4"/>
  <c r="R949" i="4"/>
  <c r="R950" i="4"/>
  <c r="R951" i="4"/>
  <c r="R952" i="4"/>
  <c r="R953" i="4"/>
  <c r="R954" i="4"/>
  <c r="R955" i="4"/>
  <c r="R956" i="4"/>
  <c r="R957" i="4"/>
  <c r="R958" i="4"/>
  <c r="R959" i="4"/>
  <c r="R960" i="4"/>
  <c r="R961" i="4"/>
  <c r="R962" i="4"/>
  <c r="R963" i="4"/>
  <c r="R964" i="4"/>
  <c r="R965" i="4"/>
  <c r="R966" i="4"/>
  <c r="R967" i="4"/>
  <c r="R968" i="4"/>
  <c r="R969" i="4"/>
  <c r="R970" i="4"/>
  <c r="R971" i="4"/>
  <c r="R972" i="4"/>
  <c r="R973" i="4"/>
  <c r="R974" i="4"/>
  <c r="R975" i="4"/>
  <c r="R976" i="4"/>
  <c r="R977" i="4"/>
  <c r="R978" i="4"/>
  <c r="R979" i="4"/>
  <c r="R980" i="4"/>
  <c r="R981" i="4"/>
  <c r="R982" i="4"/>
  <c r="R983" i="4"/>
  <c r="R984" i="4"/>
  <c r="R985" i="4"/>
  <c r="R986" i="4"/>
  <c r="R987" i="4"/>
  <c r="R988" i="4"/>
  <c r="R989" i="4"/>
  <c r="R990" i="4"/>
  <c r="R991" i="4"/>
  <c r="R992" i="4"/>
  <c r="R993" i="4"/>
  <c r="R994" i="4"/>
  <c r="R995" i="4"/>
  <c r="R996" i="4"/>
  <c r="R997" i="4"/>
  <c r="R998" i="4"/>
  <c r="R999" i="4"/>
  <c r="R1000" i="4"/>
  <c r="R1001" i="4"/>
  <c r="R1002" i="4"/>
  <c r="R1003" i="4"/>
  <c r="R1004" i="4"/>
  <c r="R1005" i="4"/>
  <c r="R1006" i="4"/>
  <c r="R1007" i="4"/>
  <c r="R1008" i="4"/>
  <c r="R1009" i="4"/>
  <c r="R1010" i="4"/>
  <c r="R1011" i="4"/>
  <c r="R1012" i="4"/>
  <c r="R1013" i="4"/>
  <c r="R1014" i="4"/>
  <c r="R1015" i="4"/>
  <c r="R1016" i="4"/>
  <c r="R1017" i="4"/>
  <c r="R1018" i="4"/>
  <c r="R1019" i="4"/>
  <c r="R1020" i="4"/>
  <c r="R1021" i="4"/>
  <c r="R1022" i="4"/>
  <c r="R1023" i="4"/>
  <c r="R1024" i="4"/>
  <c r="R1025" i="4"/>
  <c r="R1026" i="4"/>
  <c r="R1027" i="4"/>
  <c r="R1028" i="4"/>
  <c r="R1029" i="4"/>
  <c r="R1030" i="4"/>
  <c r="R1031" i="4"/>
  <c r="R1032" i="4"/>
  <c r="R1033" i="4"/>
  <c r="R1034" i="4"/>
  <c r="R1035" i="4"/>
  <c r="R1036" i="4"/>
  <c r="R1037" i="4"/>
  <c r="R1038" i="4"/>
  <c r="R1039" i="4"/>
  <c r="R1040" i="4"/>
  <c r="R1041" i="4"/>
  <c r="R1042" i="4"/>
  <c r="R1043" i="4"/>
  <c r="R1044" i="4"/>
  <c r="R1045" i="4"/>
  <c r="R1046" i="4"/>
  <c r="R1047" i="4"/>
  <c r="R1048" i="4"/>
  <c r="R1049" i="4"/>
  <c r="R1050" i="4"/>
  <c r="R1051" i="4"/>
  <c r="R1052" i="4"/>
  <c r="R1053" i="4"/>
  <c r="R1054" i="4"/>
  <c r="R1055" i="4"/>
  <c r="R1056" i="4"/>
  <c r="R1057" i="4"/>
  <c r="R1058" i="4"/>
  <c r="R1059" i="4"/>
  <c r="R1060" i="4"/>
  <c r="R1061" i="4"/>
  <c r="R1062" i="4"/>
  <c r="R1063" i="4"/>
  <c r="R1064" i="4"/>
  <c r="R1065" i="4"/>
  <c r="R1066" i="4"/>
  <c r="R1067" i="4"/>
  <c r="R1068" i="4"/>
  <c r="R1069" i="4"/>
  <c r="R1070" i="4"/>
  <c r="R1071" i="4"/>
  <c r="R1072" i="4"/>
  <c r="R1073" i="4"/>
  <c r="R1074" i="4"/>
  <c r="R1075" i="4"/>
  <c r="R1076" i="4"/>
  <c r="R1077" i="4"/>
  <c r="R1078" i="4"/>
  <c r="R1079" i="4"/>
  <c r="R1080" i="4"/>
  <c r="R1081" i="4"/>
  <c r="R1082" i="4"/>
  <c r="R1083" i="4"/>
  <c r="R1084" i="4"/>
  <c r="R1085" i="4"/>
  <c r="R1086" i="4"/>
  <c r="R1087" i="4"/>
  <c r="R1088" i="4"/>
  <c r="R1089" i="4"/>
  <c r="R1090" i="4"/>
  <c r="R1091" i="4"/>
  <c r="R1092" i="4"/>
  <c r="R1093" i="4"/>
  <c r="R1094" i="4"/>
  <c r="R1095" i="4"/>
  <c r="R1096" i="4"/>
  <c r="R1097" i="4"/>
  <c r="R1098" i="4"/>
  <c r="R1099" i="4"/>
  <c r="R1100" i="4"/>
  <c r="R1101" i="4"/>
  <c r="R1102" i="4"/>
  <c r="R1103" i="4"/>
  <c r="R1104" i="4"/>
  <c r="R1105" i="4"/>
  <c r="R1106" i="4"/>
  <c r="R1107" i="4"/>
  <c r="R1108" i="4"/>
  <c r="R1109" i="4"/>
  <c r="R1110" i="4"/>
  <c r="R1111" i="4"/>
  <c r="R1112" i="4"/>
  <c r="R1113" i="4"/>
  <c r="R1114" i="4"/>
  <c r="R1115" i="4"/>
  <c r="R1116" i="4"/>
  <c r="R1117" i="4"/>
  <c r="R1118" i="4"/>
  <c r="R1119" i="4"/>
  <c r="R1120" i="4"/>
  <c r="R1121" i="4"/>
  <c r="R1122" i="4"/>
  <c r="R1123" i="4"/>
  <c r="R1124" i="4"/>
  <c r="R1125" i="4"/>
  <c r="R1126" i="4"/>
  <c r="R1127" i="4"/>
  <c r="R1128" i="4"/>
  <c r="R1129" i="4"/>
  <c r="R1130" i="4"/>
  <c r="R1131" i="4"/>
  <c r="R1132" i="4"/>
  <c r="R1133" i="4"/>
  <c r="R1134" i="4"/>
  <c r="R1135" i="4"/>
  <c r="R1136" i="4"/>
  <c r="R1137" i="4"/>
  <c r="R1138" i="4"/>
  <c r="R1139" i="4"/>
  <c r="R1140" i="4"/>
  <c r="R1141" i="4"/>
  <c r="R1142" i="4"/>
  <c r="R1143" i="4"/>
  <c r="R1144" i="4"/>
  <c r="R1145" i="4"/>
  <c r="R1146" i="4"/>
  <c r="R1147" i="4"/>
  <c r="R1148" i="4"/>
  <c r="R1149" i="4"/>
  <c r="R1150" i="4"/>
  <c r="R1151" i="4"/>
  <c r="R1152" i="4"/>
  <c r="R1153" i="4"/>
  <c r="R1154" i="4"/>
  <c r="R1155" i="4"/>
  <c r="R1156" i="4"/>
  <c r="R1157" i="4"/>
  <c r="R1158" i="4"/>
  <c r="R1159" i="4"/>
  <c r="R1160" i="4"/>
  <c r="R1161" i="4"/>
  <c r="R1162" i="4"/>
  <c r="R1163" i="4"/>
  <c r="R1164" i="4"/>
  <c r="R1165" i="4"/>
  <c r="R1166" i="4"/>
  <c r="R1167" i="4"/>
  <c r="R1168" i="4"/>
  <c r="R1169" i="4"/>
  <c r="R1170" i="4"/>
  <c r="R1171" i="4"/>
  <c r="R1172" i="4"/>
  <c r="R1173" i="4"/>
  <c r="R1174" i="4"/>
  <c r="R1175" i="4"/>
  <c r="R1176" i="4"/>
  <c r="R1177" i="4"/>
  <c r="R1178" i="4"/>
  <c r="R1179" i="4"/>
  <c r="R1180" i="4"/>
  <c r="R1181" i="4"/>
  <c r="R1182" i="4"/>
  <c r="R1183" i="4"/>
  <c r="R1184" i="4"/>
  <c r="R1185" i="4"/>
  <c r="R1186" i="4"/>
  <c r="R1187" i="4"/>
  <c r="R1188" i="4"/>
  <c r="R1189" i="4"/>
  <c r="R1190" i="4"/>
  <c r="R1191" i="4"/>
  <c r="R1192" i="4"/>
  <c r="R1193" i="4"/>
  <c r="R1194" i="4"/>
  <c r="R1195" i="4"/>
  <c r="R1196" i="4"/>
  <c r="R1197" i="4"/>
  <c r="R1198" i="4"/>
  <c r="R1199" i="4"/>
  <c r="R1200" i="4"/>
  <c r="R1201" i="4"/>
  <c r="Q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Q557" i="4"/>
  <c r="Q558" i="4"/>
  <c r="Q559" i="4"/>
  <c r="Q560" i="4"/>
  <c r="Q561" i="4"/>
  <c r="Q562" i="4"/>
  <c r="Q563" i="4"/>
  <c r="Q564" i="4"/>
  <c r="Q565" i="4"/>
  <c r="Q566" i="4"/>
  <c r="Q567" i="4"/>
  <c r="Q568" i="4"/>
  <c r="Q569" i="4"/>
  <c r="Q570" i="4"/>
  <c r="Q571" i="4"/>
  <c r="Q572" i="4"/>
  <c r="Q573" i="4"/>
  <c r="Q574" i="4"/>
  <c r="Q575" i="4"/>
  <c r="Q576" i="4"/>
  <c r="Q577" i="4"/>
  <c r="Q578" i="4"/>
  <c r="Q579" i="4"/>
  <c r="Q580" i="4"/>
  <c r="Q581" i="4"/>
  <c r="Q582" i="4"/>
  <c r="Q583" i="4"/>
  <c r="Q584" i="4"/>
  <c r="Q585" i="4"/>
  <c r="Q586" i="4"/>
  <c r="Q587" i="4"/>
  <c r="Q588" i="4"/>
  <c r="Q589" i="4"/>
  <c r="Q590" i="4"/>
  <c r="Q591" i="4"/>
  <c r="Q592" i="4"/>
  <c r="Q593" i="4"/>
  <c r="Q594" i="4"/>
  <c r="Q595" i="4"/>
  <c r="Q596" i="4"/>
  <c r="Q597" i="4"/>
  <c r="Q598" i="4"/>
  <c r="Q599" i="4"/>
  <c r="Q600" i="4"/>
  <c r="Q601" i="4"/>
  <c r="Q602" i="4"/>
  <c r="Q603" i="4"/>
  <c r="Q604" i="4"/>
  <c r="Q605" i="4"/>
  <c r="Q606" i="4"/>
  <c r="Q607" i="4"/>
  <c r="Q608" i="4"/>
  <c r="Q609" i="4"/>
  <c r="Q610" i="4"/>
  <c r="Q611" i="4"/>
  <c r="Q612" i="4"/>
  <c r="Q613" i="4"/>
  <c r="Q614" i="4"/>
  <c r="Q615" i="4"/>
  <c r="Q616" i="4"/>
  <c r="Q617" i="4"/>
  <c r="Q618" i="4"/>
  <c r="Q619" i="4"/>
  <c r="Q620" i="4"/>
  <c r="Q621" i="4"/>
  <c r="Q622" i="4"/>
  <c r="Q623" i="4"/>
  <c r="Q624" i="4"/>
  <c r="Q625" i="4"/>
  <c r="Q626" i="4"/>
  <c r="Q627" i="4"/>
  <c r="Q628" i="4"/>
  <c r="Q629" i="4"/>
  <c r="Q630" i="4"/>
  <c r="Q631" i="4"/>
  <c r="Q632" i="4"/>
  <c r="Q633" i="4"/>
  <c r="Q634" i="4"/>
  <c r="Q635" i="4"/>
  <c r="Q636" i="4"/>
  <c r="Q637" i="4"/>
  <c r="Q638" i="4"/>
  <c r="Q639" i="4"/>
  <c r="Q640" i="4"/>
  <c r="Q641" i="4"/>
  <c r="Q642" i="4"/>
  <c r="Q643" i="4"/>
  <c r="Q644" i="4"/>
  <c r="Q645" i="4"/>
  <c r="Q646" i="4"/>
  <c r="Q647" i="4"/>
  <c r="Q648" i="4"/>
  <c r="Q649" i="4"/>
  <c r="Q650" i="4"/>
  <c r="Q651" i="4"/>
  <c r="Q652" i="4"/>
  <c r="Q653" i="4"/>
  <c r="Q654" i="4"/>
  <c r="Q655" i="4"/>
  <c r="Q656" i="4"/>
  <c r="Q657" i="4"/>
  <c r="Q658" i="4"/>
  <c r="Q659" i="4"/>
  <c r="Q660" i="4"/>
  <c r="Q661" i="4"/>
  <c r="Q662" i="4"/>
  <c r="Q663" i="4"/>
  <c r="Q664" i="4"/>
  <c r="Q665" i="4"/>
  <c r="Q666" i="4"/>
  <c r="Q667" i="4"/>
  <c r="Q668" i="4"/>
  <c r="Q669" i="4"/>
  <c r="Q670" i="4"/>
  <c r="Q671" i="4"/>
  <c r="Q672" i="4"/>
  <c r="Q673" i="4"/>
  <c r="Q674" i="4"/>
  <c r="Q675" i="4"/>
  <c r="Q676" i="4"/>
  <c r="Q677" i="4"/>
  <c r="Q678" i="4"/>
  <c r="Q679" i="4"/>
  <c r="Q680" i="4"/>
  <c r="Q681" i="4"/>
  <c r="Q682" i="4"/>
  <c r="Q683" i="4"/>
  <c r="Q684" i="4"/>
  <c r="Q685" i="4"/>
  <c r="Q686" i="4"/>
  <c r="Q687" i="4"/>
  <c r="Q688" i="4"/>
  <c r="Q689" i="4"/>
  <c r="Q690" i="4"/>
  <c r="Q691" i="4"/>
  <c r="Q692" i="4"/>
  <c r="Q693" i="4"/>
  <c r="Q694" i="4"/>
  <c r="Q695" i="4"/>
  <c r="Q696" i="4"/>
  <c r="Q697" i="4"/>
  <c r="Q698" i="4"/>
  <c r="Q699" i="4"/>
  <c r="Q700" i="4"/>
  <c r="Q701" i="4"/>
  <c r="Q702" i="4"/>
  <c r="Q703" i="4"/>
  <c r="Q704" i="4"/>
  <c r="Q705" i="4"/>
  <c r="Q706" i="4"/>
  <c r="Q707" i="4"/>
  <c r="Q708" i="4"/>
  <c r="Q709" i="4"/>
  <c r="Q710" i="4"/>
  <c r="Q711" i="4"/>
  <c r="Q712" i="4"/>
  <c r="Q713" i="4"/>
  <c r="Q714" i="4"/>
  <c r="Q715" i="4"/>
  <c r="Q716" i="4"/>
  <c r="Q717" i="4"/>
  <c r="Q718" i="4"/>
  <c r="Q719" i="4"/>
  <c r="Q720" i="4"/>
  <c r="Q721" i="4"/>
  <c r="Q722" i="4"/>
  <c r="Q723" i="4"/>
  <c r="Q724" i="4"/>
  <c r="Q725" i="4"/>
  <c r="Q726" i="4"/>
  <c r="Q727" i="4"/>
  <c r="Q728" i="4"/>
  <c r="Q729" i="4"/>
  <c r="Q730" i="4"/>
  <c r="Q731" i="4"/>
  <c r="Q732" i="4"/>
  <c r="Q733" i="4"/>
  <c r="Q734" i="4"/>
  <c r="Q735" i="4"/>
  <c r="Q736" i="4"/>
  <c r="Q737" i="4"/>
  <c r="Q738" i="4"/>
  <c r="Q739" i="4"/>
  <c r="Q740" i="4"/>
  <c r="Q741" i="4"/>
  <c r="Q742" i="4"/>
  <c r="Q743" i="4"/>
  <c r="Q744" i="4"/>
  <c r="Q745" i="4"/>
  <c r="Q746" i="4"/>
  <c r="Q747" i="4"/>
  <c r="Q748" i="4"/>
  <c r="Q749" i="4"/>
  <c r="Q750" i="4"/>
  <c r="Q751" i="4"/>
  <c r="Q752" i="4"/>
  <c r="Q753" i="4"/>
  <c r="Q754" i="4"/>
  <c r="Q755" i="4"/>
  <c r="Q756" i="4"/>
  <c r="Q757" i="4"/>
  <c r="Q758" i="4"/>
  <c r="Q759" i="4"/>
  <c r="Q760" i="4"/>
  <c r="Q761" i="4"/>
  <c r="Q762" i="4"/>
  <c r="Q763" i="4"/>
  <c r="Q764" i="4"/>
  <c r="Q765" i="4"/>
  <c r="Q766" i="4"/>
  <c r="Q767" i="4"/>
  <c r="Q768" i="4"/>
  <c r="Q769" i="4"/>
  <c r="Q770" i="4"/>
  <c r="Q771" i="4"/>
  <c r="Q772" i="4"/>
  <c r="Q773" i="4"/>
  <c r="Q774" i="4"/>
  <c r="Q775" i="4"/>
  <c r="Q776" i="4"/>
  <c r="Q777" i="4"/>
  <c r="Q778" i="4"/>
  <c r="Q779" i="4"/>
  <c r="Q780" i="4"/>
  <c r="Q781" i="4"/>
  <c r="Q782" i="4"/>
  <c r="Q783" i="4"/>
  <c r="Q784" i="4"/>
  <c r="Q785" i="4"/>
  <c r="Q786" i="4"/>
  <c r="Q787" i="4"/>
  <c r="Q788" i="4"/>
  <c r="Q789" i="4"/>
  <c r="Q790" i="4"/>
  <c r="Q791" i="4"/>
  <c r="Q792" i="4"/>
  <c r="Q793" i="4"/>
  <c r="Q794" i="4"/>
  <c r="Q795" i="4"/>
  <c r="Q796" i="4"/>
  <c r="Q797" i="4"/>
  <c r="Q798" i="4"/>
  <c r="Q799" i="4"/>
  <c r="Q800" i="4"/>
  <c r="Q801" i="4"/>
  <c r="Q802" i="4"/>
  <c r="Q803" i="4"/>
  <c r="Q804" i="4"/>
  <c r="Q805" i="4"/>
  <c r="Q806" i="4"/>
  <c r="Q807" i="4"/>
  <c r="Q808" i="4"/>
  <c r="Q809" i="4"/>
  <c r="Q810" i="4"/>
  <c r="Q811" i="4"/>
  <c r="Q812" i="4"/>
  <c r="Q813" i="4"/>
  <c r="Q814" i="4"/>
  <c r="Q815" i="4"/>
  <c r="Q816" i="4"/>
  <c r="Q817" i="4"/>
  <c r="Q818" i="4"/>
  <c r="Q819" i="4"/>
  <c r="Q820" i="4"/>
  <c r="Q821" i="4"/>
  <c r="Q822" i="4"/>
  <c r="Q823" i="4"/>
  <c r="Q824" i="4"/>
  <c r="Q825" i="4"/>
  <c r="Q826" i="4"/>
  <c r="Q827" i="4"/>
  <c r="Q828" i="4"/>
  <c r="Q829" i="4"/>
  <c r="Q830" i="4"/>
  <c r="Q831" i="4"/>
  <c r="Q832" i="4"/>
  <c r="Q833" i="4"/>
  <c r="Q834" i="4"/>
  <c r="Q835" i="4"/>
  <c r="Q836" i="4"/>
  <c r="Q837" i="4"/>
  <c r="Q838" i="4"/>
  <c r="Q839" i="4"/>
  <c r="Q840" i="4"/>
  <c r="Q841" i="4"/>
  <c r="Q842" i="4"/>
  <c r="Q843" i="4"/>
  <c r="Q844" i="4"/>
  <c r="Q845" i="4"/>
  <c r="Q846" i="4"/>
  <c r="Q847" i="4"/>
  <c r="Q848" i="4"/>
  <c r="Q849" i="4"/>
  <c r="Q850" i="4"/>
  <c r="Q851" i="4"/>
  <c r="Q852" i="4"/>
  <c r="Q853" i="4"/>
  <c r="Q854" i="4"/>
  <c r="Q855" i="4"/>
  <c r="Q856" i="4"/>
  <c r="Q857" i="4"/>
  <c r="Q858" i="4"/>
  <c r="Q859" i="4"/>
  <c r="Q860" i="4"/>
  <c r="Q861" i="4"/>
  <c r="Q862" i="4"/>
  <c r="Q863" i="4"/>
  <c r="Q864" i="4"/>
  <c r="Q865" i="4"/>
  <c r="Q866" i="4"/>
  <c r="Q867" i="4"/>
  <c r="Q868" i="4"/>
  <c r="Q869" i="4"/>
  <c r="Q870" i="4"/>
  <c r="Q871" i="4"/>
  <c r="Q872" i="4"/>
  <c r="Q873" i="4"/>
  <c r="Q874" i="4"/>
  <c r="Q875" i="4"/>
  <c r="Q876" i="4"/>
  <c r="Q877" i="4"/>
  <c r="Q878" i="4"/>
  <c r="Q879" i="4"/>
  <c r="Q880" i="4"/>
  <c r="Q881" i="4"/>
  <c r="Q882" i="4"/>
  <c r="Q883" i="4"/>
  <c r="Q884" i="4"/>
  <c r="Q885" i="4"/>
  <c r="Q886" i="4"/>
  <c r="Q887" i="4"/>
  <c r="Q888" i="4"/>
  <c r="Q889" i="4"/>
  <c r="Q890" i="4"/>
  <c r="Q891" i="4"/>
  <c r="Q892" i="4"/>
  <c r="Q893" i="4"/>
  <c r="Q894" i="4"/>
  <c r="Q895" i="4"/>
  <c r="Q896" i="4"/>
  <c r="Q897" i="4"/>
  <c r="Q898" i="4"/>
  <c r="Q899" i="4"/>
  <c r="Q900" i="4"/>
  <c r="Q901" i="4"/>
  <c r="Q902" i="4"/>
  <c r="Q903" i="4"/>
  <c r="Q904" i="4"/>
  <c r="Q905" i="4"/>
  <c r="Q906" i="4"/>
  <c r="Q907" i="4"/>
  <c r="Q908" i="4"/>
  <c r="Q909" i="4"/>
  <c r="Q910" i="4"/>
  <c r="Q911" i="4"/>
  <c r="Q912" i="4"/>
  <c r="Q913" i="4"/>
  <c r="Q914" i="4"/>
  <c r="Q915" i="4"/>
  <c r="Q916" i="4"/>
  <c r="Q917" i="4"/>
  <c r="Q918" i="4"/>
  <c r="Q919" i="4"/>
  <c r="Q920" i="4"/>
  <c r="Q921" i="4"/>
  <c r="Q922" i="4"/>
  <c r="Q923" i="4"/>
  <c r="Q924" i="4"/>
  <c r="Q925" i="4"/>
  <c r="Q926" i="4"/>
  <c r="Q927" i="4"/>
  <c r="Q928" i="4"/>
  <c r="Q929" i="4"/>
  <c r="Q930" i="4"/>
  <c r="Q931" i="4"/>
  <c r="Q932" i="4"/>
  <c r="Q933" i="4"/>
  <c r="Q934" i="4"/>
  <c r="Q935" i="4"/>
  <c r="Q936" i="4"/>
  <c r="Q937" i="4"/>
  <c r="Q938" i="4"/>
  <c r="Q939" i="4"/>
  <c r="Q940" i="4"/>
  <c r="Q941" i="4"/>
  <c r="Q942" i="4"/>
  <c r="Q943" i="4"/>
  <c r="Q944" i="4"/>
  <c r="Q945" i="4"/>
  <c r="Q946" i="4"/>
  <c r="Q947" i="4"/>
  <c r="Q948" i="4"/>
  <c r="Q949" i="4"/>
  <c r="Q950" i="4"/>
  <c r="Q951" i="4"/>
  <c r="Q952" i="4"/>
  <c r="Q953" i="4"/>
  <c r="Q954" i="4"/>
  <c r="Q955" i="4"/>
  <c r="Q956" i="4"/>
  <c r="Q957" i="4"/>
  <c r="Q958" i="4"/>
  <c r="Q959" i="4"/>
  <c r="Q960" i="4"/>
  <c r="Q961" i="4"/>
  <c r="Q962" i="4"/>
  <c r="Q963" i="4"/>
  <c r="Q964" i="4"/>
  <c r="Q965" i="4"/>
  <c r="Q966" i="4"/>
  <c r="Q967" i="4"/>
  <c r="Q968" i="4"/>
  <c r="Q969" i="4"/>
  <c r="Q970" i="4"/>
  <c r="Q971" i="4"/>
  <c r="Q972" i="4"/>
  <c r="Q973" i="4"/>
  <c r="Q974" i="4"/>
  <c r="Q975" i="4"/>
  <c r="Q976" i="4"/>
  <c r="Q977" i="4"/>
  <c r="Q978" i="4"/>
  <c r="Q979" i="4"/>
  <c r="Q980" i="4"/>
  <c r="Q981" i="4"/>
  <c r="Q982" i="4"/>
  <c r="Q983" i="4"/>
  <c r="Q984" i="4"/>
  <c r="Q985" i="4"/>
  <c r="Q986" i="4"/>
  <c r="Q987" i="4"/>
  <c r="Q988" i="4"/>
  <c r="Q989" i="4"/>
  <c r="Q990" i="4"/>
  <c r="Q991" i="4"/>
  <c r="Q992" i="4"/>
  <c r="Q993" i="4"/>
  <c r="Q994" i="4"/>
  <c r="Q995" i="4"/>
  <c r="Q996" i="4"/>
  <c r="Q997" i="4"/>
  <c r="Q998" i="4"/>
  <c r="Q999" i="4"/>
  <c r="Q1000" i="4"/>
  <c r="Q1001" i="4"/>
  <c r="Q1002" i="4"/>
  <c r="Q1003" i="4"/>
  <c r="Q1004" i="4"/>
  <c r="Q1005" i="4"/>
  <c r="Q1006" i="4"/>
  <c r="Q1007" i="4"/>
  <c r="Q1008" i="4"/>
  <c r="Q1009" i="4"/>
  <c r="Q1010" i="4"/>
  <c r="Q1011" i="4"/>
  <c r="Q1012" i="4"/>
  <c r="Q1013" i="4"/>
  <c r="Q1014" i="4"/>
  <c r="Q1015" i="4"/>
  <c r="Q1016" i="4"/>
  <c r="Q1017" i="4"/>
  <c r="Q1018" i="4"/>
  <c r="Q1019" i="4"/>
  <c r="Q1020" i="4"/>
  <c r="Q1021" i="4"/>
  <c r="Q1022" i="4"/>
  <c r="Q1023" i="4"/>
  <c r="Q1024" i="4"/>
  <c r="Q1025" i="4"/>
  <c r="Q1026" i="4"/>
  <c r="Q1027" i="4"/>
  <c r="Q1028" i="4"/>
  <c r="Q1029" i="4"/>
  <c r="Q1030" i="4"/>
  <c r="Q1031" i="4"/>
  <c r="Q1032" i="4"/>
  <c r="Q1033" i="4"/>
  <c r="Q1034" i="4"/>
  <c r="Q1035" i="4"/>
  <c r="Q1036" i="4"/>
  <c r="Q1037" i="4"/>
  <c r="Q1038" i="4"/>
  <c r="Q1039" i="4"/>
  <c r="Q1040" i="4"/>
  <c r="Q1041" i="4"/>
  <c r="Q1042" i="4"/>
  <c r="Q1043" i="4"/>
  <c r="Q1044" i="4"/>
  <c r="Q1045" i="4"/>
  <c r="Q1046" i="4"/>
  <c r="Q1047" i="4"/>
  <c r="Q1048" i="4"/>
  <c r="Q1049" i="4"/>
  <c r="Q1050" i="4"/>
  <c r="Q1051" i="4"/>
  <c r="Q1052" i="4"/>
  <c r="Q1053" i="4"/>
  <c r="Q1054" i="4"/>
  <c r="Q1055" i="4"/>
  <c r="Q1056" i="4"/>
  <c r="Q1057" i="4"/>
  <c r="Q1058" i="4"/>
  <c r="Q1059" i="4"/>
  <c r="Q1060" i="4"/>
  <c r="Q1061" i="4"/>
  <c r="Q1062" i="4"/>
  <c r="Q1063" i="4"/>
  <c r="Q1064" i="4"/>
  <c r="Q1065" i="4"/>
  <c r="Q1066" i="4"/>
  <c r="Q1067" i="4"/>
  <c r="Q1068" i="4"/>
  <c r="Q1069" i="4"/>
  <c r="Q1070" i="4"/>
  <c r="Q1071" i="4"/>
  <c r="Q1072" i="4"/>
  <c r="Q1073" i="4"/>
  <c r="Q1074" i="4"/>
  <c r="Q1075" i="4"/>
  <c r="Q1076" i="4"/>
  <c r="Q1077" i="4"/>
  <c r="Q1078" i="4"/>
  <c r="Q1079" i="4"/>
  <c r="Q1080" i="4"/>
  <c r="Q1081" i="4"/>
  <c r="Q1082" i="4"/>
  <c r="Q1083" i="4"/>
  <c r="Q1084" i="4"/>
  <c r="Q1085" i="4"/>
  <c r="Q1086" i="4"/>
  <c r="Q1087" i="4"/>
  <c r="Q1088" i="4"/>
  <c r="Q1089" i="4"/>
  <c r="Q1090" i="4"/>
  <c r="Q1091" i="4"/>
  <c r="Q1092" i="4"/>
  <c r="Q1093" i="4"/>
  <c r="Q1094" i="4"/>
  <c r="Q1095" i="4"/>
  <c r="Q1096" i="4"/>
  <c r="Q1097" i="4"/>
  <c r="Q1098" i="4"/>
  <c r="Q1099" i="4"/>
  <c r="Q1100" i="4"/>
  <c r="Q1101" i="4"/>
  <c r="Q1102" i="4"/>
  <c r="Q1103" i="4"/>
  <c r="Q1104" i="4"/>
  <c r="Q1105" i="4"/>
  <c r="Q1106" i="4"/>
  <c r="Q1107" i="4"/>
  <c r="Q1108" i="4"/>
  <c r="Q1109" i="4"/>
  <c r="Q1110" i="4"/>
  <c r="Q1111" i="4"/>
  <c r="Q1112" i="4"/>
  <c r="Q1113" i="4"/>
  <c r="Q1114" i="4"/>
  <c r="Q1115" i="4"/>
  <c r="Q1116" i="4"/>
  <c r="Q1117" i="4"/>
  <c r="Q1118" i="4"/>
  <c r="Q1119" i="4"/>
  <c r="Q1120" i="4"/>
  <c r="Q1121" i="4"/>
  <c r="Q1122" i="4"/>
  <c r="Q1123" i="4"/>
  <c r="Q1124" i="4"/>
  <c r="Q1125" i="4"/>
  <c r="Q1126" i="4"/>
  <c r="Q1127" i="4"/>
  <c r="Q1128" i="4"/>
  <c r="Q1129" i="4"/>
  <c r="Q1130" i="4"/>
  <c r="Q1131" i="4"/>
  <c r="Q1132" i="4"/>
  <c r="Q1133" i="4"/>
  <c r="Q1134" i="4"/>
  <c r="Q1135" i="4"/>
  <c r="Q1136" i="4"/>
  <c r="Q1137" i="4"/>
  <c r="Q1138" i="4"/>
  <c r="Q1139" i="4"/>
  <c r="Q1140" i="4"/>
  <c r="Q1141" i="4"/>
  <c r="Q1142" i="4"/>
  <c r="Q1143" i="4"/>
  <c r="Q1144" i="4"/>
  <c r="Q1145" i="4"/>
  <c r="Q1146" i="4"/>
  <c r="Q1147" i="4"/>
  <c r="Q1148" i="4"/>
  <c r="Q1149" i="4"/>
  <c r="Q1150" i="4"/>
  <c r="Q1151" i="4"/>
  <c r="Q1152" i="4"/>
  <c r="Q1153" i="4"/>
  <c r="Q1154" i="4"/>
  <c r="Q1155" i="4"/>
  <c r="Q1156" i="4"/>
  <c r="Q1157" i="4"/>
  <c r="Q1158" i="4"/>
  <c r="Q1159" i="4"/>
  <c r="Q1160" i="4"/>
  <c r="Q1161" i="4"/>
  <c r="Q1162" i="4"/>
  <c r="Q1163" i="4"/>
  <c r="Q1164" i="4"/>
  <c r="Q1165" i="4"/>
  <c r="Q1166" i="4"/>
  <c r="Q1167" i="4"/>
  <c r="Q1168" i="4"/>
  <c r="Q1169" i="4"/>
  <c r="Q1170" i="4"/>
  <c r="Q1171" i="4"/>
  <c r="Q1172" i="4"/>
  <c r="Q1173" i="4"/>
  <c r="Q1174" i="4"/>
  <c r="Q1175" i="4"/>
  <c r="Q1176" i="4"/>
  <c r="Q1177" i="4"/>
  <c r="Q1178" i="4"/>
  <c r="Q1179" i="4"/>
  <c r="Q1180" i="4"/>
  <c r="Q1181" i="4"/>
  <c r="Q1182" i="4"/>
  <c r="Q1183" i="4"/>
  <c r="Q1184" i="4"/>
  <c r="Q1185" i="4"/>
  <c r="Q1186" i="4"/>
  <c r="Q1187" i="4"/>
  <c r="Q1188" i="4"/>
  <c r="Q1189" i="4"/>
  <c r="Q1190" i="4"/>
  <c r="Q1191" i="4"/>
  <c r="Q1192" i="4"/>
  <c r="Q1193" i="4"/>
  <c r="Q1194" i="4"/>
  <c r="Q1195" i="4"/>
  <c r="Q1196" i="4"/>
  <c r="Q1197" i="4"/>
  <c r="Q1198" i="4"/>
  <c r="Q1199" i="4"/>
  <c r="Q1200" i="4"/>
  <c r="Q1201" i="4"/>
  <c r="P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P507" i="4"/>
  <c r="P508" i="4"/>
  <c r="P509" i="4"/>
  <c r="P510" i="4"/>
  <c r="P511" i="4"/>
  <c r="P512" i="4"/>
  <c r="P513" i="4"/>
  <c r="P514" i="4"/>
  <c r="P515" i="4"/>
  <c r="P516" i="4"/>
  <c r="P517" i="4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54" i="4"/>
  <c r="P555" i="4"/>
  <c r="P556" i="4"/>
  <c r="P557" i="4"/>
  <c r="P558" i="4"/>
  <c r="P559" i="4"/>
  <c r="P560" i="4"/>
  <c r="P561" i="4"/>
  <c r="P562" i="4"/>
  <c r="P563" i="4"/>
  <c r="P564" i="4"/>
  <c r="P565" i="4"/>
  <c r="P566" i="4"/>
  <c r="P567" i="4"/>
  <c r="P568" i="4"/>
  <c r="P569" i="4"/>
  <c r="P570" i="4"/>
  <c r="P571" i="4"/>
  <c r="P572" i="4"/>
  <c r="P573" i="4"/>
  <c r="P574" i="4"/>
  <c r="P575" i="4"/>
  <c r="P576" i="4"/>
  <c r="P577" i="4"/>
  <c r="P578" i="4"/>
  <c r="P579" i="4"/>
  <c r="P580" i="4"/>
  <c r="P581" i="4"/>
  <c r="P582" i="4"/>
  <c r="P583" i="4"/>
  <c r="P584" i="4"/>
  <c r="P585" i="4"/>
  <c r="P586" i="4"/>
  <c r="P587" i="4"/>
  <c r="P588" i="4"/>
  <c r="P589" i="4"/>
  <c r="P590" i="4"/>
  <c r="P591" i="4"/>
  <c r="P592" i="4"/>
  <c r="P593" i="4"/>
  <c r="P594" i="4"/>
  <c r="P595" i="4"/>
  <c r="P596" i="4"/>
  <c r="P597" i="4"/>
  <c r="P598" i="4"/>
  <c r="P599" i="4"/>
  <c r="P600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652" i="4"/>
  <c r="P653" i="4"/>
  <c r="P654" i="4"/>
  <c r="P655" i="4"/>
  <c r="P656" i="4"/>
  <c r="P657" i="4"/>
  <c r="P658" i="4"/>
  <c r="P659" i="4"/>
  <c r="P660" i="4"/>
  <c r="P661" i="4"/>
  <c r="P662" i="4"/>
  <c r="P663" i="4"/>
  <c r="P664" i="4"/>
  <c r="P665" i="4"/>
  <c r="P666" i="4"/>
  <c r="P667" i="4"/>
  <c r="P668" i="4"/>
  <c r="P669" i="4"/>
  <c r="P670" i="4"/>
  <c r="P671" i="4"/>
  <c r="P672" i="4"/>
  <c r="P673" i="4"/>
  <c r="P674" i="4"/>
  <c r="P675" i="4"/>
  <c r="P676" i="4"/>
  <c r="P677" i="4"/>
  <c r="P678" i="4"/>
  <c r="P679" i="4"/>
  <c r="P680" i="4"/>
  <c r="P681" i="4"/>
  <c r="P682" i="4"/>
  <c r="P683" i="4"/>
  <c r="P684" i="4"/>
  <c r="P685" i="4"/>
  <c r="P686" i="4"/>
  <c r="P687" i="4"/>
  <c r="P688" i="4"/>
  <c r="P689" i="4"/>
  <c r="P690" i="4"/>
  <c r="P691" i="4"/>
  <c r="P692" i="4"/>
  <c r="P693" i="4"/>
  <c r="P694" i="4"/>
  <c r="P695" i="4"/>
  <c r="P696" i="4"/>
  <c r="P697" i="4"/>
  <c r="P698" i="4"/>
  <c r="P699" i="4"/>
  <c r="P700" i="4"/>
  <c r="P701" i="4"/>
  <c r="P702" i="4"/>
  <c r="P703" i="4"/>
  <c r="P704" i="4"/>
  <c r="P705" i="4"/>
  <c r="P706" i="4"/>
  <c r="P707" i="4"/>
  <c r="P708" i="4"/>
  <c r="P709" i="4"/>
  <c r="P710" i="4"/>
  <c r="P711" i="4"/>
  <c r="P712" i="4"/>
  <c r="P713" i="4"/>
  <c r="P714" i="4"/>
  <c r="P715" i="4"/>
  <c r="P716" i="4"/>
  <c r="P717" i="4"/>
  <c r="P718" i="4"/>
  <c r="P719" i="4"/>
  <c r="P720" i="4"/>
  <c r="P721" i="4"/>
  <c r="P722" i="4"/>
  <c r="P723" i="4"/>
  <c r="P724" i="4"/>
  <c r="P725" i="4"/>
  <c r="P726" i="4"/>
  <c r="P727" i="4"/>
  <c r="P728" i="4"/>
  <c r="P729" i="4"/>
  <c r="P730" i="4"/>
  <c r="P731" i="4"/>
  <c r="P732" i="4"/>
  <c r="P733" i="4"/>
  <c r="P734" i="4"/>
  <c r="P735" i="4"/>
  <c r="P736" i="4"/>
  <c r="P737" i="4"/>
  <c r="P738" i="4"/>
  <c r="P739" i="4"/>
  <c r="P740" i="4"/>
  <c r="P741" i="4"/>
  <c r="P742" i="4"/>
  <c r="P743" i="4"/>
  <c r="P744" i="4"/>
  <c r="P745" i="4"/>
  <c r="P746" i="4"/>
  <c r="P747" i="4"/>
  <c r="P748" i="4"/>
  <c r="P749" i="4"/>
  <c r="P750" i="4"/>
  <c r="P751" i="4"/>
  <c r="P752" i="4"/>
  <c r="P753" i="4"/>
  <c r="P754" i="4"/>
  <c r="P755" i="4"/>
  <c r="P756" i="4"/>
  <c r="P757" i="4"/>
  <c r="P758" i="4"/>
  <c r="P759" i="4"/>
  <c r="P760" i="4"/>
  <c r="P761" i="4"/>
  <c r="P762" i="4"/>
  <c r="P763" i="4"/>
  <c r="P764" i="4"/>
  <c r="P765" i="4"/>
  <c r="P766" i="4"/>
  <c r="P767" i="4"/>
  <c r="P768" i="4"/>
  <c r="P769" i="4"/>
  <c r="P770" i="4"/>
  <c r="P771" i="4"/>
  <c r="P772" i="4"/>
  <c r="P773" i="4"/>
  <c r="P774" i="4"/>
  <c r="P775" i="4"/>
  <c r="P776" i="4"/>
  <c r="P777" i="4"/>
  <c r="P778" i="4"/>
  <c r="P779" i="4"/>
  <c r="P780" i="4"/>
  <c r="P781" i="4"/>
  <c r="P782" i="4"/>
  <c r="P783" i="4"/>
  <c r="P784" i="4"/>
  <c r="P785" i="4"/>
  <c r="P786" i="4"/>
  <c r="P787" i="4"/>
  <c r="P788" i="4"/>
  <c r="P789" i="4"/>
  <c r="P790" i="4"/>
  <c r="P791" i="4"/>
  <c r="P792" i="4"/>
  <c r="P793" i="4"/>
  <c r="P794" i="4"/>
  <c r="P795" i="4"/>
  <c r="P796" i="4"/>
  <c r="P797" i="4"/>
  <c r="P798" i="4"/>
  <c r="P799" i="4"/>
  <c r="P800" i="4"/>
  <c r="P801" i="4"/>
  <c r="P802" i="4"/>
  <c r="P803" i="4"/>
  <c r="P804" i="4"/>
  <c r="P805" i="4"/>
  <c r="P806" i="4"/>
  <c r="P807" i="4"/>
  <c r="P808" i="4"/>
  <c r="P809" i="4"/>
  <c r="P810" i="4"/>
  <c r="P811" i="4"/>
  <c r="P812" i="4"/>
  <c r="P813" i="4"/>
  <c r="P814" i="4"/>
  <c r="P815" i="4"/>
  <c r="P816" i="4"/>
  <c r="P817" i="4"/>
  <c r="P818" i="4"/>
  <c r="P819" i="4"/>
  <c r="P820" i="4"/>
  <c r="P821" i="4"/>
  <c r="P822" i="4"/>
  <c r="P823" i="4"/>
  <c r="P824" i="4"/>
  <c r="P825" i="4"/>
  <c r="P826" i="4"/>
  <c r="P827" i="4"/>
  <c r="P828" i="4"/>
  <c r="P829" i="4"/>
  <c r="P830" i="4"/>
  <c r="P831" i="4"/>
  <c r="P832" i="4"/>
  <c r="P833" i="4"/>
  <c r="P834" i="4"/>
  <c r="P835" i="4"/>
  <c r="P836" i="4"/>
  <c r="P837" i="4"/>
  <c r="P838" i="4"/>
  <c r="P839" i="4"/>
  <c r="P840" i="4"/>
  <c r="P841" i="4"/>
  <c r="P842" i="4"/>
  <c r="P843" i="4"/>
  <c r="P844" i="4"/>
  <c r="P845" i="4"/>
  <c r="P846" i="4"/>
  <c r="P847" i="4"/>
  <c r="P848" i="4"/>
  <c r="P849" i="4"/>
  <c r="P850" i="4"/>
  <c r="P851" i="4"/>
  <c r="P852" i="4"/>
  <c r="P853" i="4"/>
  <c r="P854" i="4"/>
  <c r="P855" i="4"/>
  <c r="P856" i="4"/>
  <c r="P857" i="4"/>
  <c r="P858" i="4"/>
  <c r="P859" i="4"/>
  <c r="P860" i="4"/>
  <c r="P861" i="4"/>
  <c r="P862" i="4"/>
  <c r="P863" i="4"/>
  <c r="P864" i="4"/>
  <c r="P865" i="4"/>
  <c r="P866" i="4"/>
  <c r="P867" i="4"/>
  <c r="P868" i="4"/>
  <c r="P869" i="4"/>
  <c r="P870" i="4"/>
  <c r="P871" i="4"/>
  <c r="P872" i="4"/>
  <c r="P873" i="4"/>
  <c r="P874" i="4"/>
  <c r="P875" i="4"/>
  <c r="P876" i="4"/>
  <c r="P877" i="4"/>
  <c r="P878" i="4"/>
  <c r="P879" i="4"/>
  <c r="P880" i="4"/>
  <c r="P881" i="4"/>
  <c r="P882" i="4"/>
  <c r="P883" i="4"/>
  <c r="P884" i="4"/>
  <c r="P885" i="4"/>
  <c r="P886" i="4"/>
  <c r="P887" i="4"/>
  <c r="P888" i="4"/>
  <c r="P889" i="4"/>
  <c r="P890" i="4"/>
  <c r="P891" i="4"/>
  <c r="P892" i="4"/>
  <c r="P893" i="4"/>
  <c r="P894" i="4"/>
  <c r="P895" i="4"/>
  <c r="P896" i="4"/>
  <c r="P897" i="4"/>
  <c r="P898" i="4"/>
  <c r="P899" i="4"/>
  <c r="P900" i="4"/>
  <c r="P901" i="4"/>
  <c r="P902" i="4"/>
  <c r="P903" i="4"/>
  <c r="P904" i="4"/>
  <c r="P905" i="4"/>
  <c r="P906" i="4"/>
  <c r="P907" i="4"/>
  <c r="P908" i="4"/>
  <c r="P909" i="4"/>
  <c r="P910" i="4"/>
  <c r="P911" i="4"/>
  <c r="P912" i="4"/>
  <c r="P913" i="4"/>
  <c r="P914" i="4"/>
  <c r="P915" i="4"/>
  <c r="P916" i="4"/>
  <c r="P917" i="4"/>
  <c r="P918" i="4"/>
  <c r="P919" i="4"/>
  <c r="P920" i="4"/>
  <c r="P921" i="4"/>
  <c r="P922" i="4"/>
  <c r="P923" i="4"/>
  <c r="P924" i="4"/>
  <c r="P925" i="4"/>
  <c r="P926" i="4"/>
  <c r="P927" i="4"/>
  <c r="P928" i="4"/>
  <c r="P929" i="4"/>
  <c r="P930" i="4"/>
  <c r="P931" i="4"/>
  <c r="P932" i="4"/>
  <c r="P933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7" i="4"/>
  <c r="P948" i="4"/>
  <c r="P949" i="4"/>
  <c r="P950" i="4"/>
  <c r="P951" i="4"/>
  <c r="P952" i="4"/>
  <c r="P953" i="4"/>
  <c r="P954" i="4"/>
  <c r="P955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70" i="4"/>
  <c r="P971" i="4"/>
  <c r="P972" i="4"/>
  <c r="P973" i="4"/>
  <c r="P974" i="4"/>
  <c r="P975" i="4"/>
  <c r="P976" i="4"/>
  <c r="P977" i="4"/>
  <c r="P978" i="4"/>
  <c r="P979" i="4"/>
  <c r="P980" i="4"/>
  <c r="P981" i="4"/>
  <c r="P982" i="4"/>
  <c r="P983" i="4"/>
  <c r="P984" i="4"/>
  <c r="P985" i="4"/>
  <c r="P986" i="4"/>
  <c r="P987" i="4"/>
  <c r="P988" i="4"/>
  <c r="P989" i="4"/>
  <c r="P990" i="4"/>
  <c r="P991" i="4"/>
  <c r="P992" i="4"/>
  <c r="P993" i="4"/>
  <c r="P994" i="4"/>
  <c r="P995" i="4"/>
  <c r="P996" i="4"/>
  <c r="P997" i="4"/>
  <c r="P998" i="4"/>
  <c r="P999" i="4"/>
  <c r="P1000" i="4"/>
  <c r="P1001" i="4"/>
  <c r="P1002" i="4"/>
  <c r="P1003" i="4"/>
  <c r="P1004" i="4"/>
  <c r="P1005" i="4"/>
  <c r="P1006" i="4"/>
  <c r="P1007" i="4"/>
  <c r="P1008" i="4"/>
  <c r="P1009" i="4"/>
  <c r="P1010" i="4"/>
  <c r="P1011" i="4"/>
  <c r="P1012" i="4"/>
  <c r="P1013" i="4"/>
  <c r="P1014" i="4"/>
  <c r="P1015" i="4"/>
  <c r="P1016" i="4"/>
  <c r="P1017" i="4"/>
  <c r="P1018" i="4"/>
  <c r="P1019" i="4"/>
  <c r="P1020" i="4"/>
  <c r="P1021" i="4"/>
  <c r="P1022" i="4"/>
  <c r="P1023" i="4"/>
  <c r="P1024" i="4"/>
  <c r="P1025" i="4"/>
  <c r="P1026" i="4"/>
  <c r="P1027" i="4"/>
  <c r="P1028" i="4"/>
  <c r="P1029" i="4"/>
  <c r="P1030" i="4"/>
  <c r="P1031" i="4"/>
  <c r="P1032" i="4"/>
  <c r="P1033" i="4"/>
  <c r="P1034" i="4"/>
  <c r="P1035" i="4"/>
  <c r="P1036" i="4"/>
  <c r="P1037" i="4"/>
  <c r="P1038" i="4"/>
  <c r="P1039" i="4"/>
  <c r="P1040" i="4"/>
  <c r="P1041" i="4"/>
  <c r="P1042" i="4"/>
  <c r="P1043" i="4"/>
  <c r="P1044" i="4"/>
  <c r="P1045" i="4"/>
  <c r="P1046" i="4"/>
  <c r="P1047" i="4"/>
  <c r="P1048" i="4"/>
  <c r="P1049" i="4"/>
  <c r="P1050" i="4"/>
  <c r="P1051" i="4"/>
  <c r="P1052" i="4"/>
  <c r="P1053" i="4"/>
  <c r="P1054" i="4"/>
  <c r="P1055" i="4"/>
  <c r="P1056" i="4"/>
  <c r="P1057" i="4"/>
  <c r="P1058" i="4"/>
  <c r="P1059" i="4"/>
  <c r="P1060" i="4"/>
  <c r="P1061" i="4"/>
  <c r="P1062" i="4"/>
  <c r="P1063" i="4"/>
  <c r="P1064" i="4"/>
  <c r="P1065" i="4"/>
  <c r="P1066" i="4"/>
  <c r="P1067" i="4"/>
  <c r="P1068" i="4"/>
  <c r="P1069" i="4"/>
  <c r="P1070" i="4"/>
  <c r="P1071" i="4"/>
  <c r="P1072" i="4"/>
  <c r="P1073" i="4"/>
  <c r="P1074" i="4"/>
  <c r="P1075" i="4"/>
  <c r="P1076" i="4"/>
  <c r="P1077" i="4"/>
  <c r="P1078" i="4"/>
  <c r="P1079" i="4"/>
  <c r="P1080" i="4"/>
  <c r="P1081" i="4"/>
  <c r="P1082" i="4"/>
  <c r="P1083" i="4"/>
  <c r="P1084" i="4"/>
  <c r="P1085" i="4"/>
  <c r="P1086" i="4"/>
  <c r="P1087" i="4"/>
  <c r="P1088" i="4"/>
  <c r="P1089" i="4"/>
  <c r="P1090" i="4"/>
  <c r="P1091" i="4"/>
  <c r="P1092" i="4"/>
  <c r="P1093" i="4"/>
  <c r="P1094" i="4"/>
  <c r="P1095" i="4"/>
  <c r="P1096" i="4"/>
  <c r="P1097" i="4"/>
  <c r="P1098" i="4"/>
  <c r="P1099" i="4"/>
  <c r="P1100" i="4"/>
  <c r="P1101" i="4"/>
  <c r="P1102" i="4"/>
  <c r="P1103" i="4"/>
  <c r="P1104" i="4"/>
  <c r="P1105" i="4"/>
  <c r="P1106" i="4"/>
  <c r="P1107" i="4"/>
  <c r="P1108" i="4"/>
  <c r="P1109" i="4"/>
  <c r="P1110" i="4"/>
  <c r="P1111" i="4"/>
  <c r="P1112" i="4"/>
  <c r="P1113" i="4"/>
  <c r="P1114" i="4"/>
  <c r="P1115" i="4"/>
  <c r="P1116" i="4"/>
  <c r="P1117" i="4"/>
  <c r="P1118" i="4"/>
  <c r="P1119" i="4"/>
  <c r="P1120" i="4"/>
  <c r="P1121" i="4"/>
  <c r="P1122" i="4"/>
  <c r="P1123" i="4"/>
  <c r="P1124" i="4"/>
  <c r="P1125" i="4"/>
  <c r="P1126" i="4"/>
  <c r="P1127" i="4"/>
  <c r="P1128" i="4"/>
  <c r="P1129" i="4"/>
  <c r="P1130" i="4"/>
  <c r="P1131" i="4"/>
  <c r="P1132" i="4"/>
  <c r="P1133" i="4"/>
  <c r="P1134" i="4"/>
  <c r="P1135" i="4"/>
  <c r="P1136" i="4"/>
  <c r="P1137" i="4"/>
  <c r="P1138" i="4"/>
  <c r="P1139" i="4"/>
  <c r="P1140" i="4"/>
  <c r="P1141" i="4"/>
  <c r="P1142" i="4"/>
  <c r="P1143" i="4"/>
  <c r="P1144" i="4"/>
  <c r="P1145" i="4"/>
  <c r="P1146" i="4"/>
  <c r="P1147" i="4"/>
  <c r="P1148" i="4"/>
  <c r="P1149" i="4"/>
  <c r="P1150" i="4"/>
  <c r="P1151" i="4"/>
  <c r="P1152" i="4"/>
  <c r="P1153" i="4"/>
  <c r="P1154" i="4"/>
  <c r="P1155" i="4"/>
  <c r="P1156" i="4"/>
  <c r="P1157" i="4"/>
  <c r="P1158" i="4"/>
  <c r="P1159" i="4"/>
  <c r="P1160" i="4"/>
  <c r="P1161" i="4"/>
  <c r="P1162" i="4"/>
  <c r="P1163" i="4"/>
  <c r="P1164" i="4"/>
  <c r="P1165" i="4"/>
  <c r="P1166" i="4"/>
  <c r="P1167" i="4"/>
  <c r="P1168" i="4"/>
  <c r="P1169" i="4"/>
  <c r="P1170" i="4"/>
  <c r="P1171" i="4"/>
  <c r="P1172" i="4"/>
  <c r="P1173" i="4"/>
  <c r="P1174" i="4"/>
  <c r="P1175" i="4"/>
  <c r="P1176" i="4"/>
  <c r="P1177" i="4"/>
  <c r="P1178" i="4"/>
  <c r="P1179" i="4"/>
  <c r="P1180" i="4"/>
  <c r="P1181" i="4"/>
  <c r="P1182" i="4"/>
  <c r="P1183" i="4"/>
  <c r="P1184" i="4"/>
  <c r="P1185" i="4"/>
  <c r="P1186" i="4"/>
  <c r="P1187" i="4"/>
  <c r="P1188" i="4"/>
  <c r="P1189" i="4"/>
  <c r="P1190" i="4"/>
  <c r="P1191" i="4"/>
  <c r="P1192" i="4"/>
  <c r="P1193" i="4"/>
  <c r="P1194" i="4"/>
  <c r="P1195" i="4"/>
  <c r="P1196" i="4"/>
  <c r="P1197" i="4"/>
  <c r="P1198" i="4"/>
  <c r="P1199" i="4"/>
  <c r="P1200" i="4"/>
  <c r="P1201" i="4"/>
  <c r="O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790" i="4"/>
  <c r="O791" i="4"/>
  <c r="O792" i="4"/>
  <c r="O793" i="4"/>
  <c r="O794" i="4"/>
  <c r="O795" i="4"/>
  <c r="O796" i="4"/>
  <c r="O797" i="4"/>
  <c r="O798" i="4"/>
  <c r="O799" i="4"/>
  <c r="O800" i="4"/>
  <c r="O801" i="4"/>
  <c r="O802" i="4"/>
  <c r="O803" i="4"/>
  <c r="O804" i="4"/>
  <c r="O805" i="4"/>
  <c r="O806" i="4"/>
  <c r="O807" i="4"/>
  <c r="O808" i="4"/>
  <c r="O809" i="4"/>
  <c r="O810" i="4"/>
  <c r="O811" i="4"/>
  <c r="O812" i="4"/>
  <c r="O813" i="4"/>
  <c r="O814" i="4"/>
  <c r="O815" i="4"/>
  <c r="O816" i="4"/>
  <c r="O817" i="4"/>
  <c r="O818" i="4"/>
  <c r="O819" i="4"/>
  <c r="O820" i="4"/>
  <c r="O821" i="4"/>
  <c r="O822" i="4"/>
  <c r="O823" i="4"/>
  <c r="O824" i="4"/>
  <c r="O825" i="4"/>
  <c r="O826" i="4"/>
  <c r="O827" i="4"/>
  <c r="O828" i="4"/>
  <c r="O829" i="4"/>
  <c r="O830" i="4"/>
  <c r="O831" i="4"/>
  <c r="O832" i="4"/>
  <c r="O833" i="4"/>
  <c r="O834" i="4"/>
  <c r="O835" i="4"/>
  <c r="O836" i="4"/>
  <c r="O837" i="4"/>
  <c r="O838" i="4"/>
  <c r="O839" i="4"/>
  <c r="O840" i="4"/>
  <c r="O841" i="4"/>
  <c r="O842" i="4"/>
  <c r="O843" i="4"/>
  <c r="O844" i="4"/>
  <c r="O845" i="4"/>
  <c r="O846" i="4"/>
  <c r="O847" i="4"/>
  <c r="O848" i="4"/>
  <c r="O849" i="4"/>
  <c r="O850" i="4"/>
  <c r="O851" i="4"/>
  <c r="O852" i="4"/>
  <c r="O853" i="4"/>
  <c r="O854" i="4"/>
  <c r="O855" i="4"/>
  <c r="O856" i="4"/>
  <c r="O857" i="4"/>
  <c r="O858" i="4"/>
  <c r="O859" i="4"/>
  <c r="O860" i="4"/>
  <c r="O861" i="4"/>
  <c r="O862" i="4"/>
  <c r="O863" i="4"/>
  <c r="O864" i="4"/>
  <c r="O865" i="4"/>
  <c r="O866" i="4"/>
  <c r="O867" i="4"/>
  <c r="O868" i="4"/>
  <c r="O869" i="4"/>
  <c r="O870" i="4"/>
  <c r="O871" i="4"/>
  <c r="O872" i="4"/>
  <c r="O873" i="4"/>
  <c r="O874" i="4"/>
  <c r="O875" i="4"/>
  <c r="O876" i="4"/>
  <c r="O877" i="4"/>
  <c r="O878" i="4"/>
  <c r="O879" i="4"/>
  <c r="O880" i="4"/>
  <c r="O881" i="4"/>
  <c r="O882" i="4"/>
  <c r="O883" i="4"/>
  <c r="O884" i="4"/>
  <c r="O885" i="4"/>
  <c r="O886" i="4"/>
  <c r="O887" i="4"/>
  <c r="O888" i="4"/>
  <c r="O889" i="4"/>
  <c r="O890" i="4"/>
  <c r="O891" i="4"/>
  <c r="O892" i="4"/>
  <c r="O893" i="4"/>
  <c r="O894" i="4"/>
  <c r="O895" i="4"/>
  <c r="O896" i="4"/>
  <c r="O897" i="4"/>
  <c r="O898" i="4"/>
  <c r="O899" i="4"/>
  <c r="O900" i="4"/>
  <c r="O901" i="4"/>
  <c r="O902" i="4"/>
  <c r="O903" i="4"/>
  <c r="O904" i="4"/>
  <c r="O905" i="4"/>
  <c r="O906" i="4"/>
  <c r="O907" i="4"/>
  <c r="O908" i="4"/>
  <c r="O909" i="4"/>
  <c r="O910" i="4"/>
  <c r="O911" i="4"/>
  <c r="O912" i="4"/>
  <c r="O913" i="4"/>
  <c r="O914" i="4"/>
  <c r="O915" i="4"/>
  <c r="O916" i="4"/>
  <c r="O917" i="4"/>
  <c r="O918" i="4"/>
  <c r="O919" i="4"/>
  <c r="O920" i="4"/>
  <c r="O921" i="4"/>
  <c r="O922" i="4"/>
  <c r="O923" i="4"/>
  <c r="O924" i="4"/>
  <c r="O925" i="4"/>
  <c r="O926" i="4"/>
  <c r="O927" i="4"/>
  <c r="O928" i="4"/>
  <c r="O929" i="4"/>
  <c r="O930" i="4"/>
  <c r="O931" i="4"/>
  <c r="O932" i="4"/>
  <c r="O933" i="4"/>
  <c r="O934" i="4"/>
  <c r="O935" i="4"/>
  <c r="O936" i="4"/>
  <c r="O937" i="4"/>
  <c r="O938" i="4"/>
  <c r="O939" i="4"/>
  <c r="O940" i="4"/>
  <c r="O941" i="4"/>
  <c r="O942" i="4"/>
  <c r="O943" i="4"/>
  <c r="O944" i="4"/>
  <c r="O945" i="4"/>
  <c r="O946" i="4"/>
  <c r="O947" i="4"/>
  <c r="O948" i="4"/>
  <c r="O949" i="4"/>
  <c r="O950" i="4"/>
  <c r="O951" i="4"/>
  <c r="O952" i="4"/>
  <c r="O953" i="4"/>
  <c r="O954" i="4"/>
  <c r="O955" i="4"/>
  <c r="O956" i="4"/>
  <c r="O957" i="4"/>
  <c r="O958" i="4"/>
  <c r="O959" i="4"/>
  <c r="O960" i="4"/>
  <c r="O961" i="4"/>
  <c r="O962" i="4"/>
  <c r="O963" i="4"/>
  <c r="O964" i="4"/>
  <c r="O965" i="4"/>
  <c r="O966" i="4"/>
  <c r="O967" i="4"/>
  <c r="O968" i="4"/>
  <c r="O969" i="4"/>
  <c r="O970" i="4"/>
  <c r="O971" i="4"/>
  <c r="O972" i="4"/>
  <c r="O973" i="4"/>
  <c r="O974" i="4"/>
  <c r="O975" i="4"/>
  <c r="O976" i="4"/>
  <c r="O977" i="4"/>
  <c r="O978" i="4"/>
  <c r="O979" i="4"/>
  <c r="O980" i="4"/>
  <c r="O981" i="4"/>
  <c r="O982" i="4"/>
  <c r="O983" i="4"/>
  <c r="O984" i="4"/>
  <c r="O985" i="4"/>
  <c r="O986" i="4"/>
  <c r="O987" i="4"/>
  <c r="O988" i="4"/>
  <c r="O989" i="4"/>
  <c r="O990" i="4"/>
  <c r="O991" i="4"/>
  <c r="O992" i="4"/>
  <c r="O993" i="4"/>
  <c r="O994" i="4"/>
  <c r="O995" i="4"/>
  <c r="O996" i="4"/>
  <c r="O997" i="4"/>
  <c r="O998" i="4"/>
  <c r="O999" i="4"/>
  <c r="O1000" i="4"/>
  <c r="O1001" i="4"/>
  <c r="O1002" i="4"/>
  <c r="O1003" i="4"/>
  <c r="O1004" i="4"/>
  <c r="O1005" i="4"/>
  <c r="O1006" i="4"/>
  <c r="O1007" i="4"/>
  <c r="O1008" i="4"/>
  <c r="O1009" i="4"/>
  <c r="O1010" i="4"/>
  <c r="O1011" i="4"/>
  <c r="O1012" i="4"/>
  <c r="O1013" i="4"/>
  <c r="O1014" i="4"/>
  <c r="O1015" i="4"/>
  <c r="O1016" i="4"/>
  <c r="O1017" i="4"/>
  <c r="O1018" i="4"/>
  <c r="O1019" i="4"/>
  <c r="O1020" i="4"/>
  <c r="O1021" i="4"/>
  <c r="O1022" i="4"/>
  <c r="O1023" i="4"/>
  <c r="O1024" i="4"/>
  <c r="O1025" i="4"/>
  <c r="O1026" i="4"/>
  <c r="O1027" i="4"/>
  <c r="O1028" i="4"/>
  <c r="O1029" i="4"/>
  <c r="O1030" i="4"/>
  <c r="O1031" i="4"/>
  <c r="O1032" i="4"/>
  <c r="O1033" i="4"/>
  <c r="O1034" i="4"/>
  <c r="O1035" i="4"/>
  <c r="O1036" i="4"/>
  <c r="O1037" i="4"/>
  <c r="O1038" i="4"/>
  <c r="O1039" i="4"/>
  <c r="O1040" i="4"/>
  <c r="O1041" i="4"/>
  <c r="O1042" i="4"/>
  <c r="O1043" i="4"/>
  <c r="O1044" i="4"/>
  <c r="O1045" i="4"/>
  <c r="O1046" i="4"/>
  <c r="O1047" i="4"/>
  <c r="O1048" i="4"/>
  <c r="O1049" i="4"/>
  <c r="O1050" i="4"/>
  <c r="O1051" i="4"/>
  <c r="O1052" i="4"/>
  <c r="O1053" i="4"/>
  <c r="O1054" i="4"/>
  <c r="O1055" i="4"/>
  <c r="O1056" i="4"/>
  <c r="O1057" i="4"/>
  <c r="O1058" i="4"/>
  <c r="O1059" i="4"/>
  <c r="O1060" i="4"/>
  <c r="O1061" i="4"/>
  <c r="O1062" i="4"/>
  <c r="O1063" i="4"/>
  <c r="O1064" i="4"/>
  <c r="O1065" i="4"/>
  <c r="O1066" i="4"/>
  <c r="O1067" i="4"/>
  <c r="O1068" i="4"/>
  <c r="O1069" i="4"/>
  <c r="O1070" i="4"/>
  <c r="O1071" i="4"/>
  <c r="O1072" i="4"/>
  <c r="O1073" i="4"/>
  <c r="O1074" i="4"/>
  <c r="O1075" i="4"/>
  <c r="O1076" i="4"/>
  <c r="O1077" i="4"/>
  <c r="O1078" i="4"/>
  <c r="O1079" i="4"/>
  <c r="O1080" i="4"/>
  <c r="O1081" i="4"/>
  <c r="O1082" i="4"/>
  <c r="O1083" i="4"/>
  <c r="O1084" i="4"/>
  <c r="O1085" i="4"/>
  <c r="O1086" i="4"/>
  <c r="O1087" i="4"/>
  <c r="O1088" i="4"/>
  <c r="O1089" i="4"/>
  <c r="O1090" i="4"/>
  <c r="O1091" i="4"/>
  <c r="O1092" i="4"/>
  <c r="O1093" i="4"/>
  <c r="O1094" i="4"/>
  <c r="O1095" i="4"/>
  <c r="O1096" i="4"/>
  <c r="O1097" i="4"/>
  <c r="O1098" i="4"/>
  <c r="O1099" i="4"/>
  <c r="O1100" i="4"/>
  <c r="O1101" i="4"/>
  <c r="O1102" i="4"/>
  <c r="O1103" i="4"/>
  <c r="O1104" i="4"/>
  <c r="O1105" i="4"/>
  <c r="O1106" i="4"/>
  <c r="O1107" i="4"/>
  <c r="O1108" i="4"/>
  <c r="O1109" i="4"/>
  <c r="O1110" i="4"/>
  <c r="O1111" i="4"/>
  <c r="O1112" i="4"/>
  <c r="O1113" i="4"/>
  <c r="O1114" i="4"/>
  <c r="O1115" i="4"/>
  <c r="O1116" i="4"/>
  <c r="O1117" i="4"/>
  <c r="O1118" i="4"/>
  <c r="O1119" i="4"/>
  <c r="O1120" i="4"/>
  <c r="O1121" i="4"/>
  <c r="O1122" i="4"/>
  <c r="O1123" i="4"/>
  <c r="O1124" i="4"/>
  <c r="O1125" i="4"/>
  <c r="O1126" i="4"/>
  <c r="O1127" i="4"/>
  <c r="O1128" i="4"/>
  <c r="O1129" i="4"/>
  <c r="O1130" i="4"/>
  <c r="O1131" i="4"/>
  <c r="O1132" i="4"/>
  <c r="O1133" i="4"/>
  <c r="O1134" i="4"/>
  <c r="O1135" i="4"/>
  <c r="O1136" i="4"/>
  <c r="O1137" i="4"/>
  <c r="O1138" i="4"/>
  <c r="O1139" i="4"/>
  <c r="O1140" i="4"/>
  <c r="O1141" i="4"/>
  <c r="O1142" i="4"/>
  <c r="O1143" i="4"/>
  <c r="O1144" i="4"/>
  <c r="O1145" i="4"/>
  <c r="O1146" i="4"/>
  <c r="O1147" i="4"/>
  <c r="O1148" i="4"/>
  <c r="O1149" i="4"/>
  <c r="O1150" i="4"/>
  <c r="O1151" i="4"/>
  <c r="O1152" i="4"/>
  <c r="O1153" i="4"/>
  <c r="O1154" i="4"/>
  <c r="O1155" i="4"/>
  <c r="O1156" i="4"/>
  <c r="O1157" i="4"/>
  <c r="O1158" i="4"/>
  <c r="O1159" i="4"/>
  <c r="O1160" i="4"/>
  <c r="O1161" i="4"/>
  <c r="O1162" i="4"/>
  <c r="O1163" i="4"/>
  <c r="O1164" i="4"/>
  <c r="O1165" i="4"/>
  <c r="O1166" i="4"/>
  <c r="O1167" i="4"/>
  <c r="O1168" i="4"/>
  <c r="O1169" i="4"/>
  <c r="O1170" i="4"/>
  <c r="O1171" i="4"/>
  <c r="O1172" i="4"/>
  <c r="O1173" i="4"/>
  <c r="O1174" i="4"/>
  <c r="O1175" i="4"/>
  <c r="O1176" i="4"/>
  <c r="O1177" i="4"/>
  <c r="O1178" i="4"/>
  <c r="O1179" i="4"/>
  <c r="O1180" i="4"/>
  <c r="O1181" i="4"/>
  <c r="O1182" i="4"/>
  <c r="O1183" i="4"/>
  <c r="O1184" i="4"/>
  <c r="O1185" i="4"/>
  <c r="O1186" i="4"/>
  <c r="O1187" i="4"/>
  <c r="O1188" i="4"/>
  <c r="O1189" i="4"/>
  <c r="O1190" i="4"/>
  <c r="O1191" i="4"/>
  <c r="O1192" i="4"/>
  <c r="O1193" i="4"/>
  <c r="O1194" i="4"/>
  <c r="O1195" i="4"/>
  <c r="O1196" i="4"/>
  <c r="O1197" i="4"/>
  <c r="O1198" i="4"/>
  <c r="O1199" i="4"/>
  <c r="O1200" i="4"/>
  <c r="O1201" i="4"/>
  <c r="N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602" i="4"/>
  <c r="N603" i="4"/>
  <c r="N604" i="4"/>
  <c r="N605" i="4"/>
  <c r="N606" i="4"/>
  <c r="N607" i="4"/>
  <c r="N608" i="4"/>
  <c r="N609" i="4"/>
  <c r="N610" i="4"/>
  <c r="N611" i="4"/>
  <c r="N612" i="4"/>
  <c r="N613" i="4"/>
  <c r="N614" i="4"/>
  <c r="N615" i="4"/>
  <c r="N616" i="4"/>
  <c r="N617" i="4"/>
  <c r="N618" i="4"/>
  <c r="N619" i="4"/>
  <c r="N620" i="4"/>
  <c r="N621" i="4"/>
  <c r="N622" i="4"/>
  <c r="N623" i="4"/>
  <c r="N624" i="4"/>
  <c r="N625" i="4"/>
  <c r="N626" i="4"/>
  <c r="N627" i="4"/>
  <c r="N628" i="4"/>
  <c r="N629" i="4"/>
  <c r="N630" i="4"/>
  <c r="N631" i="4"/>
  <c r="N632" i="4"/>
  <c r="N633" i="4"/>
  <c r="N634" i="4"/>
  <c r="N635" i="4"/>
  <c r="N636" i="4"/>
  <c r="N637" i="4"/>
  <c r="N638" i="4"/>
  <c r="N639" i="4"/>
  <c r="N640" i="4"/>
  <c r="N641" i="4"/>
  <c r="N642" i="4"/>
  <c r="N643" i="4"/>
  <c r="N644" i="4"/>
  <c r="N645" i="4"/>
  <c r="N646" i="4"/>
  <c r="N647" i="4"/>
  <c r="N648" i="4"/>
  <c r="N649" i="4"/>
  <c r="N650" i="4"/>
  <c r="N651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N783" i="4"/>
  <c r="N784" i="4"/>
  <c r="N785" i="4"/>
  <c r="N786" i="4"/>
  <c r="N787" i="4"/>
  <c r="N788" i="4"/>
  <c r="N789" i="4"/>
  <c r="N790" i="4"/>
  <c r="N791" i="4"/>
  <c r="N792" i="4"/>
  <c r="N793" i="4"/>
  <c r="N794" i="4"/>
  <c r="N795" i="4"/>
  <c r="N796" i="4"/>
  <c r="N797" i="4"/>
  <c r="N798" i="4"/>
  <c r="N799" i="4"/>
  <c r="N800" i="4"/>
  <c r="N801" i="4"/>
  <c r="N802" i="4"/>
  <c r="N803" i="4"/>
  <c r="N804" i="4"/>
  <c r="N805" i="4"/>
  <c r="N806" i="4"/>
  <c r="N807" i="4"/>
  <c r="N808" i="4"/>
  <c r="N809" i="4"/>
  <c r="N810" i="4"/>
  <c r="N811" i="4"/>
  <c r="N812" i="4"/>
  <c r="N813" i="4"/>
  <c r="N814" i="4"/>
  <c r="N815" i="4"/>
  <c r="N816" i="4"/>
  <c r="N817" i="4"/>
  <c r="N818" i="4"/>
  <c r="N819" i="4"/>
  <c r="N820" i="4"/>
  <c r="N821" i="4"/>
  <c r="N822" i="4"/>
  <c r="N823" i="4"/>
  <c r="N824" i="4"/>
  <c r="N825" i="4"/>
  <c r="N826" i="4"/>
  <c r="N827" i="4"/>
  <c r="N828" i="4"/>
  <c r="N829" i="4"/>
  <c r="N830" i="4"/>
  <c r="N831" i="4"/>
  <c r="N832" i="4"/>
  <c r="N833" i="4"/>
  <c r="N834" i="4"/>
  <c r="N835" i="4"/>
  <c r="N836" i="4"/>
  <c r="N837" i="4"/>
  <c r="N838" i="4"/>
  <c r="N839" i="4"/>
  <c r="N840" i="4"/>
  <c r="N841" i="4"/>
  <c r="N842" i="4"/>
  <c r="N843" i="4"/>
  <c r="N844" i="4"/>
  <c r="N845" i="4"/>
  <c r="N846" i="4"/>
  <c r="N847" i="4"/>
  <c r="N848" i="4"/>
  <c r="N849" i="4"/>
  <c r="N850" i="4"/>
  <c r="N851" i="4"/>
  <c r="N852" i="4"/>
  <c r="N853" i="4"/>
  <c r="N854" i="4"/>
  <c r="N855" i="4"/>
  <c r="N856" i="4"/>
  <c r="N857" i="4"/>
  <c r="N858" i="4"/>
  <c r="N859" i="4"/>
  <c r="N860" i="4"/>
  <c r="N861" i="4"/>
  <c r="N862" i="4"/>
  <c r="N863" i="4"/>
  <c r="N864" i="4"/>
  <c r="N865" i="4"/>
  <c r="N866" i="4"/>
  <c r="N867" i="4"/>
  <c r="N868" i="4"/>
  <c r="N869" i="4"/>
  <c r="N870" i="4"/>
  <c r="N871" i="4"/>
  <c r="N872" i="4"/>
  <c r="N873" i="4"/>
  <c r="N874" i="4"/>
  <c r="N875" i="4"/>
  <c r="N876" i="4"/>
  <c r="N877" i="4"/>
  <c r="N878" i="4"/>
  <c r="N879" i="4"/>
  <c r="N880" i="4"/>
  <c r="N881" i="4"/>
  <c r="N882" i="4"/>
  <c r="N883" i="4"/>
  <c r="N884" i="4"/>
  <c r="N885" i="4"/>
  <c r="N886" i="4"/>
  <c r="N887" i="4"/>
  <c r="N888" i="4"/>
  <c r="N889" i="4"/>
  <c r="N890" i="4"/>
  <c r="N891" i="4"/>
  <c r="N892" i="4"/>
  <c r="N893" i="4"/>
  <c r="N894" i="4"/>
  <c r="N895" i="4"/>
  <c r="N896" i="4"/>
  <c r="N897" i="4"/>
  <c r="N898" i="4"/>
  <c r="N899" i="4"/>
  <c r="N900" i="4"/>
  <c r="N901" i="4"/>
  <c r="N902" i="4"/>
  <c r="N903" i="4"/>
  <c r="N904" i="4"/>
  <c r="N905" i="4"/>
  <c r="N906" i="4"/>
  <c r="N907" i="4"/>
  <c r="N908" i="4"/>
  <c r="N909" i="4"/>
  <c r="N910" i="4"/>
  <c r="N911" i="4"/>
  <c r="N912" i="4"/>
  <c r="N913" i="4"/>
  <c r="N914" i="4"/>
  <c r="N915" i="4"/>
  <c r="N916" i="4"/>
  <c r="N917" i="4"/>
  <c r="N918" i="4"/>
  <c r="N919" i="4"/>
  <c r="N920" i="4"/>
  <c r="N921" i="4"/>
  <c r="N922" i="4"/>
  <c r="N923" i="4"/>
  <c r="N924" i="4"/>
  <c r="N925" i="4"/>
  <c r="N926" i="4"/>
  <c r="N927" i="4"/>
  <c r="N928" i="4"/>
  <c r="N929" i="4"/>
  <c r="N930" i="4"/>
  <c r="N931" i="4"/>
  <c r="N932" i="4"/>
  <c r="N933" i="4"/>
  <c r="N934" i="4"/>
  <c r="N935" i="4"/>
  <c r="N936" i="4"/>
  <c r="N937" i="4"/>
  <c r="N938" i="4"/>
  <c r="N939" i="4"/>
  <c r="N940" i="4"/>
  <c r="N941" i="4"/>
  <c r="N942" i="4"/>
  <c r="N943" i="4"/>
  <c r="N944" i="4"/>
  <c r="N945" i="4"/>
  <c r="N946" i="4"/>
  <c r="N947" i="4"/>
  <c r="N948" i="4"/>
  <c r="N949" i="4"/>
  <c r="N950" i="4"/>
  <c r="N951" i="4"/>
  <c r="N952" i="4"/>
  <c r="N953" i="4"/>
  <c r="N954" i="4"/>
  <c r="N955" i="4"/>
  <c r="N956" i="4"/>
  <c r="N957" i="4"/>
  <c r="N958" i="4"/>
  <c r="N959" i="4"/>
  <c r="N960" i="4"/>
  <c r="N961" i="4"/>
  <c r="N962" i="4"/>
  <c r="N963" i="4"/>
  <c r="N964" i="4"/>
  <c r="N965" i="4"/>
  <c r="N966" i="4"/>
  <c r="N967" i="4"/>
  <c r="N968" i="4"/>
  <c r="N969" i="4"/>
  <c r="N970" i="4"/>
  <c r="N971" i="4"/>
  <c r="N972" i="4"/>
  <c r="N973" i="4"/>
  <c r="N974" i="4"/>
  <c r="N975" i="4"/>
  <c r="N976" i="4"/>
  <c r="N977" i="4"/>
  <c r="N978" i="4"/>
  <c r="N979" i="4"/>
  <c r="N980" i="4"/>
  <c r="N981" i="4"/>
  <c r="N982" i="4"/>
  <c r="N983" i="4"/>
  <c r="N984" i="4"/>
  <c r="N985" i="4"/>
  <c r="N986" i="4"/>
  <c r="N987" i="4"/>
  <c r="N988" i="4"/>
  <c r="N989" i="4"/>
  <c r="N990" i="4"/>
  <c r="N991" i="4"/>
  <c r="N992" i="4"/>
  <c r="N993" i="4"/>
  <c r="N994" i="4"/>
  <c r="N995" i="4"/>
  <c r="N996" i="4"/>
  <c r="N997" i="4"/>
  <c r="N998" i="4"/>
  <c r="N999" i="4"/>
  <c r="N1000" i="4"/>
  <c r="N1001" i="4"/>
  <c r="N1002" i="4"/>
  <c r="N1003" i="4"/>
  <c r="N1004" i="4"/>
  <c r="N1005" i="4"/>
  <c r="N1006" i="4"/>
  <c r="N1007" i="4"/>
  <c r="N1008" i="4"/>
  <c r="N1009" i="4"/>
  <c r="N1010" i="4"/>
  <c r="N1011" i="4"/>
  <c r="N1012" i="4"/>
  <c r="N1013" i="4"/>
  <c r="N1014" i="4"/>
  <c r="N1015" i="4"/>
  <c r="N1016" i="4"/>
  <c r="N1017" i="4"/>
  <c r="N1018" i="4"/>
  <c r="N1019" i="4"/>
  <c r="N1020" i="4"/>
  <c r="N1021" i="4"/>
  <c r="N1022" i="4"/>
  <c r="N1023" i="4"/>
  <c r="N1024" i="4"/>
  <c r="N1025" i="4"/>
  <c r="N1026" i="4"/>
  <c r="N1027" i="4"/>
  <c r="N1028" i="4"/>
  <c r="N1029" i="4"/>
  <c r="N1030" i="4"/>
  <c r="N1031" i="4"/>
  <c r="N1032" i="4"/>
  <c r="N1033" i="4"/>
  <c r="N1034" i="4"/>
  <c r="N1035" i="4"/>
  <c r="N1036" i="4"/>
  <c r="N1037" i="4"/>
  <c r="N1038" i="4"/>
  <c r="N1039" i="4"/>
  <c r="N1040" i="4"/>
  <c r="N1041" i="4"/>
  <c r="N1042" i="4"/>
  <c r="N1043" i="4"/>
  <c r="N1044" i="4"/>
  <c r="N1045" i="4"/>
  <c r="N1046" i="4"/>
  <c r="N1047" i="4"/>
  <c r="N1048" i="4"/>
  <c r="N1049" i="4"/>
  <c r="N1050" i="4"/>
  <c r="N1051" i="4"/>
  <c r="N1052" i="4"/>
  <c r="N1053" i="4"/>
  <c r="N1054" i="4"/>
  <c r="N1055" i="4"/>
  <c r="N1056" i="4"/>
  <c r="N1057" i="4"/>
  <c r="N1058" i="4"/>
  <c r="N1059" i="4"/>
  <c r="N1060" i="4"/>
  <c r="N1061" i="4"/>
  <c r="N1062" i="4"/>
  <c r="N1063" i="4"/>
  <c r="N1064" i="4"/>
  <c r="N1065" i="4"/>
  <c r="N1066" i="4"/>
  <c r="N1067" i="4"/>
  <c r="N1068" i="4"/>
  <c r="N1069" i="4"/>
  <c r="N1070" i="4"/>
  <c r="N1071" i="4"/>
  <c r="N1072" i="4"/>
  <c r="N1073" i="4"/>
  <c r="N1074" i="4"/>
  <c r="N1075" i="4"/>
  <c r="N1076" i="4"/>
  <c r="N1077" i="4"/>
  <c r="N1078" i="4"/>
  <c r="N1079" i="4"/>
  <c r="N1080" i="4"/>
  <c r="N1081" i="4"/>
  <c r="N1082" i="4"/>
  <c r="N1083" i="4"/>
  <c r="N1084" i="4"/>
  <c r="N1085" i="4"/>
  <c r="N1086" i="4"/>
  <c r="N1087" i="4"/>
  <c r="N1088" i="4"/>
  <c r="N1089" i="4"/>
  <c r="N1090" i="4"/>
  <c r="N1091" i="4"/>
  <c r="N1092" i="4"/>
  <c r="N1093" i="4"/>
  <c r="N1094" i="4"/>
  <c r="N1095" i="4"/>
  <c r="N1096" i="4"/>
  <c r="N1097" i="4"/>
  <c r="N1098" i="4"/>
  <c r="N1099" i="4"/>
  <c r="N1100" i="4"/>
  <c r="N1101" i="4"/>
  <c r="N1102" i="4"/>
  <c r="N1103" i="4"/>
  <c r="N1104" i="4"/>
  <c r="N1105" i="4"/>
  <c r="N1106" i="4"/>
  <c r="N1107" i="4"/>
  <c r="N1108" i="4"/>
  <c r="N1109" i="4"/>
  <c r="N1110" i="4"/>
  <c r="N1111" i="4"/>
  <c r="N1112" i="4"/>
  <c r="N1113" i="4"/>
  <c r="N1114" i="4"/>
  <c r="N1115" i="4"/>
  <c r="N1116" i="4"/>
  <c r="N1117" i="4"/>
  <c r="N1118" i="4"/>
  <c r="N1119" i="4"/>
  <c r="N1120" i="4"/>
  <c r="N1121" i="4"/>
  <c r="N1122" i="4"/>
  <c r="N1123" i="4"/>
  <c r="N1124" i="4"/>
  <c r="N1125" i="4"/>
  <c r="N1126" i="4"/>
  <c r="N1127" i="4"/>
  <c r="N1128" i="4"/>
  <c r="N1129" i="4"/>
  <c r="N1130" i="4"/>
  <c r="N1131" i="4"/>
  <c r="N1132" i="4"/>
  <c r="N1133" i="4"/>
  <c r="N1134" i="4"/>
  <c r="N1135" i="4"/>
  <c r="N1136" i="4"/>
  <c r="N1137" i="4"/>
  <c r="N1138" i="4"/>
  <c r="N1139" i="4"/>
  <c r="N1140" i="4"/>
  <c r="N1141" i="4"/>
  <c r="N1142" i="4"/>
  <c r="N1143" i="4"/>
  <c r="N1144" i="4"/>
  <c r="N1145" i="4"/>
  <c r="N1146" i="4"/>
  <c r="N1147" i="4"/>
  <c r="N1148" i="4"/>
  <c r="N1149" i="4"/>
  <c r="N1150" i="4"/>
  <c r="N1151" i="4"/>
  <c r="N1152" i="4"/>
  <c r="N1153" i="4"/>
  <c r="N1154" i="4"/>
  <c r="N1155" i="4"/>
  <c r="N1156" i="4"/>
  <c r="N1157" i="4"/>
  <c r="N1158" i="4"/>
  <c r="N1159" i="4"/>
  <c r="N1160" i="4"/>
  <c r="N1161" i="4"/>
  <c r="N1162" i="4"/>
  <c r="N1163" i="4"/>
  <c r="N1164" i="4"/>
  <c r="N1165" i="4"/>
  <c r="N1166" i="4"/>
  <c r="N1167" i="4"/>
  <c r="N1168" i="4"/>
  <c r="N1169" i="4"/>
  <c r="N1170" i="4"/>
  <c r="N1171" i="4"/>
  <c r="N1172" i="4"/>
  <c r="N1173" i="4"/>
  <c r="N1174" i="4"/>
  <c r="N1175" i="4"/>
  <c r="N1176" i="4"/>
  <c r="N1177" i="4"/>
  <c r="N1178" i="4"/>
  <c r="N1179" i="4"/>
  <c r="N1180" i="4"/>
  <c r="N1181" i="4"/>
  <c r="N1182" i="4"/>
  <c r="N1183" i="4"/>
  <c r="N1184" i="4"/>
  <c r="N1185" i="4"/>
  <c r="N1186" i="4"/>
  <c r="N1187" i="4"/>
  <c r="N1188" i="4"/>
  <c r="N1189" i="4"/>
  <c r="N1190" i="4"/>
  <c r="N1191" i="4"/>
  <c r="N1192" i="4"/>
  <c r="N1193" i="4"/>
  <c r="N1194" i="4"/>
  <c r="N1195" i="4"/>
  <c r="N1196" i="4"/>
  <c r="N1197" i="4"/>
  <c r="N1198" i="4"/>
  <c r="N1199" i="4"/>
  <c r="N1200" i="4"/>
  <c r="N1201" i="4"/>
  <c r="M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  <c r="M1028" i="4"/>
  <c r="M1029" i="4"/>
  <c r="M1030" i="4"/>
  <c r="M1031" i="4"/>
  <c r="M1032" i="4"/>
  <c r="M1033" i="4"/>
  <c r="M1034" i="4"/>
  <c r="M1035" i="4"/>
  <c r="M1036" i="4"/>
  <c r="M1037" i="4"/>
  <c r="M1038" i="4"/>
  <c r="M1039" i="4"/>
  <c r="M1040" i="4"/>
  <c r="M1041" i="4"/>
  <c r="M1042" i="4"/>
  <c r="M1043" i="4"/>
  <c r="M1044" i="4"/>
  <c r="M1045" i="4"/>
  <c r="M1046" i="4"/>
  <c r="M1047" i="4"/>
  <c r="M1048" i="4"/>
  <c r="M1049" i="4"/>
  <c r="M1050" i="4"/>
  <c r="M1051" i="4"/>
  <c r="M1052" i="4"/>
  <c r="M1053" i="4"/>
  <c r="M1054" i="4"/>
  <c r="M1055" i="4"/>
  <c r="M1056" i="4"/>
  <c r="M1057" i="4"/>
  <c r="M1058" i="4"/>
  <c r="M1059" i="4"/>
  <c r="M1060" i="4"/>
  <c r="M1061" i="4"/>
  <c r="M1062" i="4"/>
  <c r="M1063" i="4"/>
  <c r="M1064" i="4"/>
  <c r="M1065" i="4"/>
  <c r="M1066" i="4"/>
  <c r="M1067" i="4"/>
  <c r="M1068" i="4"/>
  <c r="M1069" i="4"/>
  <c r="M1070" i="4"/>
  <c r="M1071" i="4"/>
  <c r="M1072" i="4"/>
  <c r="M1073" i="4"/>
  <c r="M1074" i="4"/>
  <c r="M1075" i="4"/>
  <c r="M1076" i="4"/>
  <c r="M1077" i="4"/>
  <c r="M1078" i="4"/>
  <c r="M1079" i="4"/>
  <c r="M1080" i="4"/>
  <c r="M1081" i="4"/>
  <c r="M1082" i="4"/>
  <c r="M1083" i="4"/>
  <c r="M1084" i="4"/>
  <c r="M1085" i="4"/>
  <c r="M1086" i="4"/>
  <c r="M1087" i="4"/>
  <c r="M1088" i="4"/>
  <c r="M1089" i="4"/>
  <c r="M1090" i="4"/>
  <c r="M1091" i="4"/>
  <c r="M1092" i="4"/>
  <c r="M1093" i="4"/>
  <c r="M1094" i="4"/>
  <c r="M1095" i="4"/>
  <c r="M1096" i="4"/>
  <c r="M1097" i="4"/>
  <c r="M1098" i="4"/>
  <c r="M1099" i="4"/>
  <c r="M1100" i="4"/>
  <c r="M1101" i="4"/>
  <c r="M1102" i="4"/>
  <c r="M1103" i="4"/>
  <c r="M1104" i="4"/>
  <c r="M1105" i="4"/>
  <c r="M1106" i="4"/>
  <c r="M1107" i="4"/>
  <c r="M1108" i="4"/>
  <c r="M1109" i="4"/>
  <c r="M1110" i="4"/>
  <c r="M1111" i="4"/>
  <c r="M1112" i="4"/>
  <c r="M1113" i="4"/>
  <c r="M1114" i="4"/>
  <c r="M1115" i="4"/>
  <c r="M1116" i="4"/>
  <c r="M1117" i="4"/>
  <c r="M1118" i="4"/>
  <c r="M1119" i="4"/>
  <c r="M1120" i="4"/>
  <c r="M1121" i="4"/>
  <c r="M1122" i="4"/>
  <c r="M1123" i="4"/>
  <c r="M1124" i="4"/>
  <c r="M1125" i="4"/>
  <c r="M1126" i="4"/>
  <c r="M1127" i="4"/>
  <c r="M1128" i="4"/>
  <c r="M1129" i="4"/>
  <c r="M1130" i="4"/>
  <c r="M1131" i="4"/>
  <c r="M1132" i="4"/>
  <c r="M1133" i="4"/>
  <c r="M1134" i="4"/>
  <c r="M1135" i="4"/>
  <c r="M1136" i="4"/>
  <c r="M1137" i="4"/>
  <c r="M1138" i="4"/>
  <c r="M1139" i="4"/>
  <c r="M1140" i="4"/>
  <c r="M1141" i="4"/>
  <c r="M1142" i="4"/>
  <c r="M1143" i="4"/>
  <c r="M1144" i="4"/>
  <c r="M1145" i="4"/>
  <c r="M1146" i="4"/>
  <c r="M1147" i="4"/>
  <c r="M1148" i="4"/>
  <c r="M1149" i="4"/>
  <c r="M1150" i="4"/>
  <c r="M1151" i="4"/>
  <c r="M1152" i="4"/>
  <c r="M1153" i="4"/>
  <c r="M1154" i="4"/>
  <c r="M1155" i="4"/>
  <c r="M1156" i="4"/>
  <c r="M1157" i="4"/>
  <c r="M1158" i="4"/>
  <c r="M1159" i="4"/>
  <c r="M1160" i="4"/>
  <c r="M1161" i="4"/>
  <c r="M1162" i="4"/>
  <c r="M1163" i="4"/>
  <c r="M1164" i="4"/>
  <c r="M1165" i="4"/>
  <c r="M1166" i="4"/>
  <c r="M1167" i="4"/>
  <c r="M1168" i="4"/>
  <c r="M1169" i="4"/>
  <c r="M1170" i="4"/>
  <c r="M1171" i="4"/>
  <c r="M1172" i="4"/>
  <c r="M1173" i="4"/>
  <c r="M1174" i="4"/>
  <c r="M1175" i="4"/>
  <c r="M1176" i="4"/>
  <c r="M1177" i="4"/>
  <c r="M1178" i="4"/>
  <c r="M1179" i="4"/>
  <c r="M1180" i="4"/>
  <c r="M1181" i="4"/>
  <c r="M1182" i="4"/>
  <c r="M1183" i="4"/>
  <c r="M1184" i="4"/>
  <c r="M1185" i="4"/>
  <c r="M1186" i="4"/>
  <c r="M1187" i="4"/>
  <c r="M1188" i="4"/>
  <c r="M1189" i="4"/>
  <c r="M1190" i="4"/>
  <c r="M1191" i="4"/>
  <c r="M1192" i="4"/>
  <c r="M1193" i="4"/>
  <c r="M1194" i="4"/>
  <c r="M1195" i="4"/>
  <c r="M1196" i="4"/>
  <c r="M1197" i="4"/>
  <c r="M1198" i="4"/>
  <c r="M1199" i="4"/>
  <c r="M1200" i="4"/>
  <c r="M1201" i="4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1016" i="4"/>
  <c r="L1017" i="4"/>
  <c r="L1018" i="4"/>
  <c r="L1019" i="4"/>
  <c r="L1020" i="4"/>
  <c r="L1021" i="4"/>
  <c r="L1022" i="4"/>
  <c r="L1023" i="4"/>
  <c r="L1024" i="4"/>
  <c r="L1025" i="4"/>
  <c r="L1026" i="4"/>
  <c r="L1027" i="4"/>
  <c r="L1028" i="4"/>
  <c r="L1029" i="4"/>
  <c r="L1030" i="4"/>
  <c r="L1031" i="4"/>
  <c r="L1032" i="4"/>
  <c r="L1033" i="4"/>
  <c r="L1034" i="4"/>
  <c r="L1035" i="4"/>
  <c r="L1036" i="4"/>
  <c r="L1037" i="4"/>
  <c r="L1038" i="4"/>
  <c r="L1039" i="4"/>
  <c r="L1040" i="4"/>
  <c r="L1041" i="4"/>
  <c r="L1042" i="4"/>
  <c r="L1043" i="4"/>
  <c r="L1044" i="4"/>
  <c r="L1045" i="4"/>
  <c r="L1046" i="4"/>
  <c r="L1047" i="4"/>
  <c r="L1048" i="4"/>
  <c r="L1049" i="4"/>
  <c r="L1050" i="4"/>
  <c r="L1051" i="4"/>
  <c r="L1052" i="4"/>
  <c r="L1053" i="4"/>
  <c r="L1054" i="4"/>
  <c r="L1055" i="4"/>
  <c r="L1056" i="4"/>
  <c r="L1057" i="4"/>
  <c r="L1058" i="4"/>
  <c r="L1059" i="4"/>
  <c r="L1060" i="4"/>
  <c r="L1061" i="4"/>
  <c r="L1062" i="4"/>
  <c r="L1063" i="4"/>
  <c r="L1064" i="4"/>
  <c r="L1065" i="4"/>
  <c r="L1066" i="4"/>
  <c r="L1067" i="4"/>
  <c r="L1068" i="4"/>
  <c r="L1069" i="4"/>
  <c r="L1070" i="4"/>
  <c r="L1071" i="4"/>
  <c r="L1072" i="4"/>
  <c r="L1073" i="4"/>
  <c r="L1074" i="4"/>
  <c r="L1075" i="4"/>
  <c r="L1076" i="4"/>
  <c r="L1077" i="4"/>
  <c r="L1078" i="4"/>
  <c r="L1079" i="4"/>
  <c r="L1080" i="4"/>
  <c r="L1081" i="4"/>
  <c r="L1082" i="4"/>
  <c r="L1083" i="4"/>
  <c r="L1084" i="4"/>
  <c r="L1085" i="4"/>
  <c r="L1086" i="4"/>
  <c r="L1087" i="4"/>
  <c r="L1088" i="4"/>
  <c r="L1089" i="4"/>
  <c r="L1090" i="4"/>
  <c r="L1091" i="4"/>
  <c r="L1092" i="4"/>
  <c r="L1093" i="4"/>
  <c r="L1094" i="4"/>
  <c r="L1095" i="4"/>
  <c r="L1096" i="4"/>
  <c r="L1097" i="4"/>
  <c r="L1098" i="4"/>
  <c r="L1099" i="4"/>
  <c r="L1100" i="4"/>
  <c r="L1101" i="4"/>
  <c r="L1102" i="4"/>
  <c r="L1103" i="4"/>
  <c r="L1104" i="4"/>
  <c r="L1105" i="4"/>
  <c r="L1106" i="4"/>
  <c r="L1107" i="4"/>
  <c r="L1108" i="4"/>
  <c r="L1109" i="4"/>
  <c r="L1110" i="4"/>
  <c r="L1111" i="4"/>
  <c r="L1112" i="4"/>
  <c r="L1113" i="4"/>
  <c r="L1114" i="4"/>
  <c r="L1115" i="4"/>
  <c r="L1116" i="4"/>
  <c r="L1117" i="4"/>
  <c r="L1118" i="4"/>
  <c r="L1119" i="4"/>
  <c r="L1120" i="4"/>
  <c r="L1121" i="4"/>
  <c r="L1122" i="4"/>
  <c r="L1123" i="4"/>
  <c r="L1124" i="4"/>
  <c r="L1125" i="4"/>
  <c r="L1126" i="4"/>
  <c r="L1127" i="4"/>
  <c r="L1128" i="4"/>
  <c r="L1129" i="4"/>
  <c r="L1130" i="4"/>
  <c r="L1131" i="4"/>
  <c r="L1132" i="4"/>
  <c r="L1133" i="4"/>
  <c r="L1134" i="4"/>
  <c r="L1135" i="4"/>
  <c r="L1136" i="4"/>
  <c r="L1137" i="4"/>
  <c r="L1138" i="4"/>
  <c r="L1139" i="4"/>
  <c r="L1140" i="4"/>
  <c r="L1141" i="4"/>
  <c r="L1142" i="4"/>
  <c r="L1143" i="4"/>
  <c r="L1144" i="4"/>
  <c r="L1145" i="4"/>
  <c r="L1146" i="4"/>
  <c r="L1147" i="4"/>
  <c r="L1148" i="4"/>
  <c r="L1149" i="4"/>
  <c r="L1150" i="4"/>
  <c r="L1151" i="4"/>
  <c r="L1152" i="4"/>
  <c r="L1153" i="4"/>
  <c r="L1154" i="4"/>
  <c r="L1155" i="4"/>
  <c r="L1156" i="4"/>
  <c r="L1157" i="4"/>
  <c r="L1158" i="4"/>
  <c r="L1159" i="4"/>
  <c r="L1160" i="4"/>
  <c r="L1161" i="4"/>
  <c r="L1162" i="4"/>
  <c r="L1163" i="4"/>
  <c r="L1164" i="4"/>
  <c r="L1165" i="4"/>
  <c r="L1166" i="4"/>
  <c r="L1167" i="4"/>
  <c r="L1168" i="4"/>
  <c r="L1169" i="4"/>
  <c r="L1170" i="4"/>
  <c r="L1171" i="4"/>
  <c r="L1172" i="4"/>
  <c r="L1173" i="4"/>
  <c r="L1174" i="4"/>
  <c r="L1175" i="4"/>
  <c r="L1176" i="4"/>
  <c r="L1177" i="4"/>
  <c r="L1178" i="4"/>
  <c r="L1179" i="4"/>
  <c r="L1180" i="4"/>
  <c r="L1181" i="4"/>
  <c r="L1182" i="4"/>
  <c r="L1183" i="4"/>
  <c r="L1184" i="4"/>
  <c r="L1185" i="4"/>
  <c r="L1186" i="4"/>
  <c r="L1187" i="4"/>
  <c r="L1188" i="4"/>
  <c r="L1189" i="4"/>
  <c r="L1190" i="4"/>
  <c r="L1191" i="4"/>
  <c r="L1192" i="4"/>
  <c r="L1193" i="4"/>
  <c r="L1194" i="4"/>
  <c r="L1195" i="4"/>
  <c r="L1196" i="4"/>
  <c r="L1197" i="4"/>
  <c r="L1198" i="4"/>
  <c r="L1199" i="4"/>
  <c r="L1200" i="4"/>
  <c r="L1201" i="4"/>
</calcChain>
</file>

<file path=xl/sharedStrings.xml><?xml version="1.0" encoding="utf-8"?>
<sst xmlns="http://schemas.openxmlformats.org/spreadsheetml/2006/main" count="8320" uniqueCount="1953">
  <si>
    <t>Excel Business Analysis Portfolio Project</t>
  </si>
  <si>
    <t>Project</t>
  </si>
  <si>
    <t>Retail &amp; Operations Performance Analysis</t>
  </si>
  <si>
    <t>Goal</t>
  </si>
  <si>
    <t>Build an Excel dashboard using PivotTables, XLOOKUP, SUMIFS, data validation and charts.</t>
  </si>
  <si>
    <t>Main dataset</t>
  </si>
  <si>
    <t>Sales_Data</t>
  </si>
  <si>
    <t>Lookup table 1</t>
  </si>
  <si>
    <t>Products</t>
  </si>
  <si>
    <t>Lookup table 2</t>
  </si>
  <si>
    <t>Customers</t>
  </si>
  <si>
    <t>Recommended tools</t>
  </si>
  <si>
    <t>Excel Tables, XLOOKUP, PivotTables, PivotCharts, Slicers, Conditional Formatting</t>
  </si>
  <si>
    <t>Portfolio focus</t>
  </si>
  <si>
    <t>Sales, profit, returns, customer segments, regions and operational performance</t>
  </si>
  <si>
    <t>Rows</t>
  </si>
  <si>
    <t>1,200 transactions</t>
  </si>
  <si>
    <t>Period</t>
  </si>
  <si>
    <t>Jan 2025 - Aug 2026</t>
  </si>
  <si>
    <t>Suggested business questions</t>
  </si>
  <si>
    <t>1</t>
  </si>
  <si>
    <t>What are total sales, total profit, total orders and profit margin?</t>
  </si>
  <si>
    <t>2</t>
  </si>
  <si>
    <t>Which months have the highest and lowest sales?</t>
  </si>
  <si>
    <t>3</t>
  </si>
  <si>
    <t>Which regions generate the most sales and profit?</t>
  </si>
  <si>
    <t>4</t>
  </si>
  <si>
    <t>Which product categories perform best?</t>
  </si>
  <si>
    <t>5</t>
  </si>
  <si>
    <t>What are the top 5 products by sales?</t>
  </si>
  <si>
    <t>6</t>
  </si>
  <si>
    <t>Which customer segment contributes the most revenue?</t>
  </si>
  <si>
    <t>7</t>
  </si>
  <si>
    <t>Which sales channel performs best?</t>
  </si>
  <si>
    <t>8</t>
  </si>
  <si>
    <t>What is the return rate by category and region?</t>
  </si>
  <si>
    <t>9</t>
  </si>
  <si>
    <t>How does customer satisfaction vary by channel?</t>
  </si>
  <si>
    <t>10</t>
  </si>
  <si>
    <t>Which orders have unusually long processing times?</t>
  </si>
  <si>
    <t>Product ID</t>
  </si>
  <si>
    <t>Product Name</t>
  </si>
  <si>
    <t>Category</t>
  </si>
  <si>
    <t>Unit Price</t>
  </si>
  <si>
    <t>Unit Cost</t>
  </si>
  <si>
    <t>PROD-001</t>
  </si>
  <si>
    <t>Laptop</t>
  </si>
  <si>
    <t>Technology</t>
  </si>
  <si>
    <t>PROD-002</t>
  </si>
  <si>
    <t>Monitor</t>
  </si>
  <si>
    <t>PROD-003</t>
  </si>
  <si>
    <t>Keyboard</t>
  </si>
  <si>
    <t>PROD-004</t>
  </si>
  <si>
    <t>Mouse</t>
  </si>
  <si>
    <t>PROD-005</t>
  </si>
  <si>
    <t>Webcam</t>
  </si>
  <si>
    <t>PROD-006</t>
  </si>
  <si>
    <t>Headset</t>
  </si>
  <si>
    <t>PROD-007</t>
  </si>
  <si>
    <t>Standing Desk</t>
  </si>
  <si>
    <t>Furniture</t>
  </si>
  <si>
    <t>PROD-008</t>
  </si>
  <si>
    <t>Office Chair</t>
  </si>
  <si>
    <t>PROD-009</t>
  </si>
  <si>
    <t>Bookshelf</t>
  </si>
  <si>
    <t>PROD-010</t>
  </si>
  <si>
    <t>Laptop Stand</t>
  </si>
  <si>
    <t>Accessories</t>
  </si>
  <si>
    <t>PROD-011</t>
  </si>
  <si>
    <t>Backpack</t>
  </si>
  <si>
    <t>PROD-012</t>
  </si>
  <si>
    <t>USB-C Hub</t>
  </si>
  <si>
    <t>PROD-013</t>
  </si>
  <si>
    <t>Phone Charger</t>
  </si>
  <si>
    <t>PROD-014</t>
  </si>
  <si>
    <t>Printer Paper</t>
  </si>
  <si>
    <t>Office Supplies</t>
  </si>
  <si>
    <t>PROD-015</t>
  </si>
  <si>
    <t>File Folder Pack</t>
  </si>
  <si>
    <t>PROD-016</t>
  </si>
  <si>
    <t>Desk Organiser</t>
  </si>
  <si>
    <t>Customer ID</t>
  </si>
  <si>
    <t>Customer Name</t>
  </si>
  <si>
    <t>Customer Segment</t>
  </si>
  <si>
    <t>CUST-0001</t>
  </si>
  <si>
    <t>Customer 1</t>
  </si>
  <si>
    <t>Corporate</t>
  </si>
  <si>
    <t>CUST-0002</t>
  </si>
  <si>
    <t>Customer 2</t>
  </si>
  <si>
    <t>Consumer</t>
  </si>
  <si>
    <t>CUST-0003</t>
  </si>
  <si>
    <t>Customer 3</t>
  </si>
  <si>
    <t>CUST-0004</t>
  </si>
  <si>
    <t>Customer 4</t>
  </si>
  <si>
    <t>CUST-0005</t>
  </si>
  <si>
    <t>Customer 5</t>
  </si>
  <si>
    <t>CUST-0006</t>
  </si>
  <si>
    <t>Customer 6</t>
  </si>
  <si>
    <t>CUST-0007</t>
  </si>
  <si>
    <t>Customer 7</t>
  </si>
  <si>
    <t>Small Business</t>
  </si>
  <si>
    <t>CUST-0008</t>
  </si>
  <si>
    <t>Customer 8</t>
  </si>
  <si>
    <t>CUST-0009</t>
  </si>
  <si>
    <t>Customer 9</t>
  </si>
  <si>
    <t>CUST-0010</t>
  </si>
  <si>
    <t>Customer 10</t>
  </si>
  <si>
    <t>CUST-0011</t>
  </si>
  <si>
    <t>Customer 11</t>
  </si>
  <si>
    <t>CUST-0012</t>
  </si>
  <si>
    <t>Customer 12</t>
  </si>
  <si>
    <t>CUST-0013</t>
  </si>
  <si>
    <t>Customer 13</t>
  </si>
  <si>
    <t>CUST-0014</t>
  </si>
  <si>
    <t>Customer 14</t>
  </si>
  <si>
    <t>CUST-0015</t>
  </si>
  <si>
    <t>Customer 15</t>
  </si>
  <si>
    <t>CUST-0016</t>
  </si>
  <si>
    <t>Customer 16</t>
  </si>
  <si>
    <t>CUST-0017</t>
  </si>
  <si>
    <t>Customer 17</t>
  </si>
  <si>
    <t>CUST-0018</t>
  </si>
  <si>
    <t>Customer 18</t>
  </si>
  <si>
    <t>CUST-0019</t>
  </si>
  <si>
    <t>Customer 19</t>
  </si>
  <si>
    <t>CUST-0020</t>
  </si>
  <si>
    <t>Customer 20</t>
  </si>
  <si>
    <t>CUST-0021</t>
  </si>
  <si>
    <t>Customer 21</t>
  </si>
  <si>
    <t>CUST-0022</t>
  </si>
  <si>
    <t>Customer 22</t>
  </si>
  <si>
    <t>CUST-0023</t>
  </si>
  <si>
    <t>Customer 23</t>
  </si>
  <si>
    <t>CUST-0024</t>
  </si>
  <si>
    <t>Customer 24</t>
  </si>
  <si>
    <t>CUST-0025</t>
  </si>
  <si>
    <t>Customer 25</t>
  </si>
  <si>
    <t>CUST-0026</t>
  </si>
  <si>
    <t>Customer 26</t>
  </si>
  <si>
    <t>CUST-0027</t>
  </si>
  <si>
    <t>Customer 27</t>
  </si>
  <si>
    <t>CUST-0028</t>
  </si>
  <si>
    <t>Customer 28</t>
  </si>
  <si>
    <t>CUST-0029</t>
  </si>
  <si>
    <t>Customer 29</t>
  </si>
  <si>
    <t>CUST-0030</t>
  </si>
  <si>
    <t>Customer 30</t>
  </si>
  <si>
    <t>CUST-0031</t>
  </si>
  <si>
    <t>Customer 31</t>
  </si>
  <si>
    <t>CUST-0032</t>
  </si>
  <si>
    <t>Customer 32</t>
  </si>
  <si>
    <t>CUST-0033</t>
  </si>
  <si>
    <t>Customer 33</t>
  </si>
  <si>
    <t>CUST-0034</t>
  </si>
  <si>
    <t>Customer 34</t>
  </si>
  <si>
    <t>CUST-0035</t>
  </si>
  <si>
    <t>Customer 35</t>
  </si>
  <si>
    <t>CUST-0036</t>
  </si>
  <si>
    <t>Customer 36</t>
  </si>
  <si>
    <t>CUST-0037</t>
  </si>
  <si>
    <t>Customer 37</t>
  </si>
  <si>
    <t>CUST-0038</t>
  </si>
  <si>
    <t>Customer 38</t>
  </si>
  <si>
    <t>CUST-0039</t>
  </si>
  <si>
    <t>Customer 39</t>
  </si>
  <si>
    <t>CUST-0040</t>
  </si>
  <si>
    <t>Customer 40</t>
  </si>
  <si>
    <t>CUST-0041</t>
  </si>
  <si>
    <t>Customer 41</t>
  </si>
  <si>
    <t>CUST-0042</t>
  </si>
  <si>
    <t>Customer 42</t>
  </si>
  <si>
    <t>CUST-0043</t>
  </si>
  <si>
    <t>Customer 43</t>
  </si>
  <si>
    <t>CUST-0044</t>
  </si>
  <si>
    <t>Customer 44</t>
  </si>
  <si>
    <t>CUST-0045</t>
  </si>
  <si>
    <t>Customer 45</t>
  </si>
  <si>
    <t>CUST-0046</t>
  </si>
  <si>
    <t>Customer 46</t>
  </si>
  <si>
    <t>CUST-0047</t>
  </si>
  <si>
    <t>Customer 47</t>
  </si>
  <si>
    <t>CUST-0048</t>
  </si>
  <si>
    <t>Customer 48</t>
  </si>
  <si>
    <t>CUST-0049</t>
  </si>
  <si>
    <t>Customer 49</t>
  </si>
  <si>
    <t>CUST-0050</t>
  </si>
  <si>
    <t>Customer 50</t>
  </si>
  <si>
    <t>CUST-0051</t>
  </si>
  <si>
    <t>Customer 51</t>
  </si>
  <si>
    <t>CUST-0052</t>
  </si>
  <si>
    <t>Customer 52</t>
  </si>
  <si>
    <t>CUST-0053</t>
  </si>
  <si>
    <t>Customer 53</t>
  </si>
  <si>
    <t>CUST-0054</t>
  </si>
  <si>
    <t>Customer 54</t>
  </si>
  <si>
    <t>CUST-0055</t>
  </si>
  <si>
    <t>Customer 55</t>
  </si>
  <si>
    <t>CUST-0056</t>
  </si>
  <si>
    <t>Customer 56</t>
  </si>
  <si>
    <t>CUST-0057</t>
  </si>
  <si>
    <t>Customer 57</t>
  </si>
  <si>
    <t>CUST-0058</t>
  </si>
  <si>
    <t>Customer 58</t>
  </si>
  <si>
    <t>CUST-0059</t>
  </si>
  <si>
    <t>Customer 59</t>
  </si>
  <si>
    <t>CUST-0060</t>
  </si>
  <si>
    <t>Customer 60</t>
  </si>
  <si>
    <t>CUST-0061</t>
  </si>
  <si>
    <t>Customer 61</t>
  </si>
  <si>
    <t>CUST-0062</t>
  </si>
  <si>
    <t>Customer 62</t>
  </si>
  <si>
    <t>CUST-0063</t>
  </si>
  <si>
    <t>Customer 63</t>
  </si>
  <si>
    <t>CUST-0064</t>
  </si>
  <si>
    <t>Customer 64</t>
  </si>
  <si>
    <t>CUST-0065</t>
  </si>
  <si>
    <t>Customer 65</t>
  </si>
  <si>
    <t>CUST-0066</t>
  </si>
  <si>
    <t>Customer 66</t>
  </si>
  <si>
    <t>CUST-0067</t>
  </si>
  <si>
    <t>Customer 67</t>
  </si>
  <si>
    <t>CUST-0068</t>
  </si>
  <si>
    <t>Customer 68</t>
  </si>
  <si>
    <t>CUST-0069</t>
  </si>
  <si>
    <t>Customer 69</t>
  </si>
  <si>
    <t>CUST-0070</t>
  </si>
  <si>
    <t>Customer 70</t>
  </si>
  <si>
    <t>CUST-0071</t>
  </si>
  <si>
    <t>Customer 71</t>
  </si>
  <si>
    <t>CUST-0072</t>
  </si>
  <si>
    <t>Customer 72</t>
  </si>
  <si>
    <t>CUST-0073</t>
  </si>
  <si>
    <t>Customer 73</t>
  </si>
  <si>
    <t>CUST-0074</t>
  </si>
  <si>
    <t>Customer 74</t>
  </si>
  <si>
    <t>CUST-0075</t>
  </si>
  <si>
    <t>Customer 75</t>
  </si>
  <si>
    <t>CUST-0076</t>
  </si>
  <si>
    <t>Customer 76</t>
  </si>
  <si>
    <t>CUST-0077</t>
  </si>
  <si>
    <t>Customer 77</t>
  </si>
  <si>
    <t>CUST-0078</t>
  </si>
  <si>
    <t>Customer 78</t>
  </si>
  <si>
    <t>CUST-0079</t>
  </si>
  <si>
    <t>Customer 79</t>
  </si>
  <si>
    <t>CUST-0080</t>
  </si>
  <si>
    <t>Customer 80</t>
  </si>
  <si>
    <t>CUST-0081</t>
  </si>
  <si>
    <t>Customer 81</t>
  </si>
  <si>
    <t>CUST-0082</t>
  </si>
  <si>
    <t>Customer 82</t>
  </si>
  <si>
    <t>CUST-0083</t>
  </si>
  <si>
    <t>Customer 83</t>
  </si>
  <si>
    <t>CUST-0084</t>
  </si>
  <si>
    <t>Customer 84</t>
  </si>
  <si>
    <t>CUST-0085</t>
  </si>
  <si>
    <t>Customer 85</t>
  </si>
  <si>
    <t>CUST-0086</t>
  </si>
  <si>
    <t>Customer 86</t>
  </si>
  <si>
    <t>CUST-0087</t>
  </si>
  <si>
    <t>Customer 87</t>
  </si>
  <si>
    <t>CUST-0088</t>
  </si>
  <si>
    <t>Customer 88</t>
  </si>
  <si>
    <t>CUST-0089</t>
  </si>
  <si>
    <t>Customer 89</t>
  </si>
  <si>
    <t>CUST-0090</t>
  </si>
  <si>
    <t>Customer 90</t>
  </si>
  <si>
    <t>CUST-0091</t>
  </si>
  <si>
    <t>Customer 91</t>
  </si>
  <si>
    <t>CUST-0092</t>
  </si>
  <si>
    <t>Customer 92</t>
  </si>
  <si>
    <t>CUST-0093</t>
  </si>
  <si>
    <t>Customer 93</t>
  </si>
  <si>
    <t>CUST-0094</t>
  </si>
  <si>
    <t>Customer 94</t>
  </si>
  <si>
    <t>CUST-0095</t>
  </si>
  <si>
    <t>Customer 95</t>
  </si>
  <si>
    <t>CUST-0096</t>
  </si>
  <si>
    <t>Customer 96</t>
  </si>
  <si>
    <t>CUST-0097</t>
  </si>
  <si>
    <t>Customer 97</t>
  </si>
  <si>
    <t>CUST-0098</t>
  </si>
  <si>
    <t>Customer 98</t>
  </si>
  <si>
    <t>CUST-0099</t>
  </si>
  <si>
    <t>Customer 99</t>
  </si>
  <si>
    <t>CUST-0100</t>
  </si>
  <si>
    <t>Customer 100</t>
  </si>
  <si>
    <t>CUST-0101</t>
  </si>
  <si>
    <t>Customer 101</t>
  </si>
  <si>
    <t>CUST-0102</t>
  </si>
  <si>
    <t>Customer 102</t>
  </si>
  <si>
    <t>CUST-0103</t>
  </si>
  <si>
    <t>Customer 103</t>
  </si>
  <si>
    <t>CUST-0104</t>
  </si>
  <si>
    <t>Customer 104</t>
  </si>
  <si>
    <t>CUST-0105</t>
  </si>
  <si>
    <t>Customer 105</t>
  </si>
  <si>
    <t>CUST-0106</t>
  </si>
  <si>
    <t>Customer 106</t>
  </si>
  <si>
    <t>CUST-0107</t>
  </si>
  <si>
    <t>Customer 107</t>
  </si>
  <si>
    <t>CUST-0108</t>
  </si>
  <si>
    <t>Customer 108</t>
  </si>
  <si>
    <t>CUST-0109</t>
  </si>
  <si>
    <t>Customer 109</t>
  </si>
  <si>
    <t>CUST-0110</t>
  </si>
  <si>
    <t>Customer 110</t>
  </si>
  <si>
    <t>CUST-0111</t>
  </si>
  <si>
    <t>Customer 111</t>
  </si>
  <si>
    <t>CUST-0112</t>
  </si>
  <si>
    <t>Customer 112</t>
  </si>
  <si>
    <t>CUST-0113</t>
  </si>
  <si>
    <t>Customer 113</t>
  </si>
  <si>
    <t>CUST-0114</t>
  </si>
  <si>
    <t>Customer 114</t>
  </si>
  <si>
    <t>CUST-0115</t>
  </si>
  <si>
    <t>Customer 115</t>
  </si>
  <si>
    <t>CUST-0116</t>
  </si>
  <si>
    <t>Customer 116</t>
  </si>
  <si>
    <t>CUST-0117</t>
  </si>
  <si>
    <t>Customer 117</t>
  </si>
  <si>
    <t>CUST-0118</t>
  </si>
  <si>
    <t>Customer 118</t>
  </si>
  <si>
    <t>CUST-0119</t>
  </si>
  <si>
    <t>Customer 119</t>
  </si>
  <si>
    <t>CUST-0120</t>
  </si>
  <si>
    <t>Customer 120</t>
  </si>
  <si>
    <t>CUST-0121</t>
  </si>
  <si>
    <t>Customer 121</t>
  </si>
  <si>
    <t>CUST-0122</t>
  </si>
  <si>
    <t>Customer 122</t>
  </si>
  <si>
    <t>CUST-0123</t>
  </si>
  <si>
    <t>Customer 123</t>
  </si>
  <si>
    <t>CUST-0124</t>
  </si>
  <si>
    <t>Customer 124</t>
  </si>
  <si>
    <t>CUST-0125</t>
  </si>
  <si>
    <t>Customer 125</t>
  </si>
  <si>
    <t>CUST-0126</t>
  </si>
  <si>
    <t>Customer 126</t>
  </si>
  <si>
    <t>CUST-0127</t>
  </si>
  <si>
    <t>Customer 127</t>
  </si>
  <si>
    <t>CUST-0128</t>
  </si>
  <si>
    <t>Customer 128</t>
  </si>
  <si>
    <t>CUST-0129</t>
  </si>
  <si>
    <t>Customer 129</t>
  </si>
  <si>
    <t>CUST-0130</t>
  </si>
  <si>
    <t>Customer 130</t>
  </si>
  <si>
    <t>CUST-0131</t>
  </si>
  <si>
    <t>Customer 131</t>
  </si>
  <si>
    <t>CUST-0132</t>
  </si>
  <si>
    <t>Customer 132</t>
  </si>
  <si>
    <t>CUST-0133</t>
  </si>
  <si>
    <t>Customer 133</t>
  </si>
  <si>
    <t>CUST-0134</t>
  </si>
  <si>
    <t>Customer 134</t>
  </si>
  <si>
    <t>CUST-0135</t>
  </si>
  <si>
    <t>Customer 135</t>
  </si>
  <si>
    <t>CUST-0136</t>
  </si>
  <si>
    <t>Customer 136</t>
  </si>
  <si>
    <t>CUST-0137</t>
  </si>
  <si>
    <t>Customer 137</t>
  </si>
  <si>
    <t>CUST-0138</t>
  </si>
  <si>
    <t>Customer 138</t>
  </si>
  <si>
    <t>CUST-0139</t>
  </si>
  <si>
    <t>Customer 139</t>
  </si>
  <si>
    <t>CUST-0140</t>
  </si>
  <si>
    <t>Customer 140</t>
  </si>
  <si>
    <t>CUST-0141</t>
  </si>
  <si>
    <t>Customer 141</t>
  </si>
  <si>
    <t>CUST-0142</t>
  </si>
  <si>
    <t>Customer 142</t>
  </si>
  <si>
    <t>CUST-0143</t>
  </si>
  <si>
    <t>Customer 143</t>
  </si>
  <si>
    <t>CUST-0144</t>
  </si>
  <si>
    <t>Customer 144</t>
  </si>
  <si>
    <t>CUST-0145</t>
  </si>
  <si>
    <t>Customer 145</t>
  </si>
  <si>
    <t>CUST-0146</t>
  </si>
  <si>
    <t>Customer 146</t>
  </si>
  <si>
    <t>CUST-0147</t>
  </si>
  <si>
    <t>Customer 147</t>
  </si>
  <si>
    <t>CUST-0148</t>
  </si>
  <si>
    <t>Customer 148</t>
  </si>
  <si>
    <t>CUST-0149</t>
  </si>
  <si>
    <t>Customer 149</t>
  </si>
  <si>
    <t>CUST-0150</t>
  </si>
  <si>
    <t>Customer 150</t>
  </si>
  <si>
    <t>CUST-0151</t>
  </si>
  <si>
    <t>Customer 151</t>
  </si>
  <si>
    <t>CUST-0152</t>
  </si>
  <si>
    <t>Customer 152</t>
  </si>
  <si>
    <t>CUST-0153</t>
  </si>
  <si>
    <t>Customer 153</t>
  </si>
  <si>
    <t>CUST-0154</t>
  </si>
  <si>
    <t>Customer 154</t>
  </si>
  <si>
    <t>CUST-0155</t>
  </si>
  <si>
    <t>Customer 155</t>
  </si>
  <si>
    <t>CUST-0156</t>
  </si>
  <si>
    <t>Customer 156</t>
  </si>
  <si>
    <t>CUST-0157</t>
  </si>
  <si>
    <t>Customer 157</t>
  </si>
  <si>
    <t>CUST-0158</t>
  </si>
  <si>
    <t>Customer 158</t>
  </si>
  <si>
    <t>CUST-0159</t>
  </si>
  <si>
    <t>Customer 159</t>
  </si>
  <si>
    <t>CUST-0160</t>
  </si>
  <si>
    <t>Customer 160</t>
  </si>
  <si>
    <t>CUST-0161</t>
  </si>
  <si>
    <t>Customer 161</t>
  </si>
  <si>
    <t>CUST-0162</t>
  </si>
  <si>
    <t>Customer 162</t>
  </si>
  <si>
    <t>CUST-0163</t>
  </si>
  <si>
    <t>Customer 163</t>
  </si>
  <si>
    <t>CUST-0164</t>
  </si>
  <si>
    <t>Customer 164</t>
  </si>
  <si>
    <t>CUST-0165</t>
  </si>
  <si>
    <t>Customer 165</t>
  </si>
  <si>
    <t>CUST-0166</t>
  </si>
  <si>
    <t>Customer 166</t>
  </si>
  <si>
    <t>CUST-0167</t>
  </si>
  <si>
    <t>Customer 167</t>
  </si>
  <si>
    <t>CUST-0168</t>
  </si>
  <si>
    <t>Customer 168</t>
  </si>
  <si>
    <t>CUST-0169</t>
  </si>
  <si>
    <t>Customer 169</t>
  </si>
  <si>
    <t>CUST-0170</t>
  </si>
  <si>
    <t>Customer 170</t>
  </si>
  <si>
    <t>CUST-0171</t>
  </si>
  <si>
    <t>Customer 171</t>
  </si>
  <si>
    <t>CUST-0172</t>
  </si>
  <si>
    <t>Customer 172</t>
  </si>
  <si>
    <t>CUST-0173</t>
  </si>
  <si>
    <t>Customer 173</t>
  </si>
  <si>
    <t>CUST-0174</t>
  </si>
  <si>
    <t>Customer 174</t>
  </si>
  <si>
    <t>CUST-0175</t>
  </si>
  <si>
    <t>Customer 175</t>
  </si>
  <si>
    <t>CUST-0176</t>
  </si>
  <si>
    <t>Customer 176</t>
  </si>
  <si>
    <t>CUST-0177</t>
  </si>
  <si>
    <t>Customer 177</t>
  </si>
  <si>
    <t>CUST-0178</t>
  </si>
  <si>
    <t>Customer 178</t>
  </si>
  <si>
    <t>CUST-0179</t>
  </si>
  <si>
    <t>Customer 179</t>
  </si>
  <si>
    <t>CUST-0180</t>
  </si>
  <si>
    <t>Customer 180</t>
  </si>
  <si>
    <t>CUST-0181</t>
  </si>
  <si>
    <t>Customer 181</t>
  </si>
  <si>
    <t>CUST-0182</t>
  </si>
  <si>
    <t>Customer 182</t>
  </si>
  <si>
    <t>CUST-0183</t>
  </si>
  <si>
    <t>Customer 183</t>
  </si>
  <si>
    <t>CUST-0184</t>
  </si>
  <si>
    <t>Customer 184</t>
  </si>
  <si>
    <t>CUST-0185</t>
  </si>
  <si>
    <t>Customer 185</t>
  </si>
  <si>
    <t>CUST-0186</t>
  </si>
  <si>
    <t>Customer 186</t>
  </si>
  <si>
    <t>CUST-0187</t>
  </si>
  <si>
    <t>Customer 187</t>
  </si>
  <si>
    <t>CUST-0188</t>
  </si>
  <si>
    <t>Customer 188</t>
  </si>
  <si>
    <t>CUST-0189</t>
  </si>
  <si>
    <t>Customer 189</t>
  </si>
  <si>
    <t>CUST-0190</t>
  </si>
  <si>
    <t>Customer 190</t>
  </si>
  <si>
    <t>CUST-0191</t>
  </si>
  <si>
    <t>Customer 191</t>
  </si>
  <si>
    <t>CUST-0192</t>
  </si>
  <si>
    <t>Customer 192</t>
  </si>
  <si>
    <t>CUST-0193</t>
  </si>
  <si>
    <t>Customer 193</t>
  </si>
  <si>
    <t>CUST-0194</t>
  </si>
  <si>
    <t>Customer 194</t>
  </si>
  <si>
    <t>CUST-0195</t>
  </si>
  <si>
    <t>Customer 195</t>
  </si>
  <si>
    <t>CUST-0196</t>
  </si>
  <si>
    <t>Customer 196</t>
  </si>
  <si>
    <t>CUST-0197</t>
  </si>
  <si>
    <t>Customer 197</t>
  </si>
  <si>
    <t>CUST-0198</t>
  </si>
  <si>
    <t>Customer 198</t>
  </si>
  <si>
    <t>CUST-0199</t>
  </si>
  <si>
    <t>Customer 199</t>
  </si>
  <si>
    <t>CUST-0200</t>
  </si>
  <si>
    <t>Customer 200</t>
  </si>
  <si>
    <t>CUST-0201</t>
  </si>
  <si>
    <t>Customer 201</t>
  </si>
  <si>
    <t>CUST-0202</t>
  </si>
  <si>
    <t>Customer 202</t>
  </si>
  <si>
    <t>CUST-0203</t>
  </si>
  <si>
    <t>Customer 203</t>
  </si>
  <si>
    <t>CUST-0204</t>
  </si>
  <si>
    <t>Customer 204</t>
  </si>
  <si>
    <t>CUST-0205</t>
  </si>
  <si>
    <t>Customer 205</t>
  </si>
  <si>
    <t>CUST-0206</t>
  </si>
  <si>
    <t>Customer 206</t>
  </si>
  <si>
    <t>CUST-0207</t>
  </si>
  <si>
    <t>Customer 207</t>
  </si>
  <si>
    <t>CUST-0208</t>
  </si>
  <si>
    <t>Customer 208</t>
  </si>
  <si>
    <t>CUST-0209</t>
  </si>
  <si>
    <t>Customer 209</t>
  </si>
  <si>
    <t>CUST-0210</t>
  </si>
  <si>
    <t>Customer 210</t>
  </si>
  <si>
    <t>CUST-0211</t>
  </si>
  <si>
    <t>Customer 211</t>
  </si>
  <si>
    <t>CUST-0212</t>
  </si>
  <si>
    <t>Customer 212</t>
  </si>
  <si>
    <t>CUST-0213</t>
  </si>
  <si>
    <t>Customer 213</t>
  </si>
  <si>
    <t>CUST-0214</t>
  </si>
  <si>
    <t>Customer 214</t>
  </si>
  <si>
    <t>CUST-0215</t>
  </si>
  <si>
    <t>Customer 215</t>
  </si>
  <si>
    <t>CUST-0216</t>
  </si>
  <si>
    <t>Customer 216</t>
  </si>
  <si>
    <t>CUST-0217</t>
  </si>
  <si>
    <t>Customer 217</t>
  </si>
  <si>
    <t>CUST-0218</t>
  </si>
  <si>
    <t>Customer 218</t>
  </si>
  <si>
    <t>CUST-0219</t>
  </si>
  <si>
    <t>Customer 219</t>
  </si>
  <si>
    <t>CUST-0220</t>
  </si>
  <si>
    <t>Customer 220</t>
  </si>
  <si>
    <t>CUST-0221</t>
  </si>
  <si>
    <t>Customer 221</t>
  </si>
  <si>
    <t>CUST-0222</t>
  </si>
  <si>
    <t>Customer 222</t>
  </si>
  <si>
    <t>CUST-0223</t>
  </si>
  <si>
    <t>Customer 223</t>
  </si>
  <si>
    <t>CUST-0224</t>
  </si>
  <si>
    <t>Customer 224</t>
  </si>
  <si>
    <t>CUST-0225</t>
  </si>
  <si>
    <t>Customer 225</t>
  </si>
  <si>
    <t>CUST-0226</t>
  </si>
  <si>
    <t>Customer 226</t>
  </si>
  <si>
    <t>CUST-0227</t>
  </si>
  <si>
    <t>Customer 227</t>
  </si>
  <si>
    <t>CUST-0228</t>
  </si>
  <si>
    <t>Customer 228</t>
  </si>
  <si>
    <t>CUST-0229</t>
  </si>
  <si>
    <t>Customer 229</t>
  </si>
  <si>
    <t>CUST-0230</t>
  </si>
  <si>
    <t>Customer 230</t>
  </si>
  <si>
    <t>CUST-0231</t>
  </si>
  <si>
    <t>Customer 231</t>
  </si>
  <si>
    <t>CUST-0232</t>
  </si>
  <si>
    <t>Customer 232</t>
  </si>
  <si>
    <t>CUST-0233</t>
  </si>
  <si>
    <t>Customer 233</t>
  </si>
  <si>
    <t>CUST-0234</t>
  </si>
  <si>
    <t>Customer 234</t>
  </si>
  <si>
    <t>CUST-0235</t>
  </si>
  <si>
    <t>Customer 235</t>
  </si>
  <si>
    <t>CUST-0236</t>
  </si>
  <si>
    <t>Customer 236</t>
  </si>
  <si>
    <t>CUST-0237</t>
  </si>
  <si>
    <t>Customer 237</t>
  </si>
  <si>
    <t>CUST-0238</t>
  </si>
  <si>
    <t>Customer 238</t>
  </si>
  <si>
    <t>CUST-0239</t>
  </si>
  <si>
    <t>Customer 239</t>
  </si>
  <si>
    <t>CUST-0240</t>
  </si>
  <si>
    <t>Customer 240</t>
  </si>
  <si>
    <t>CUST-0241</t>
  </si>
  <si>
    <t>Customer 241</t>
  </si>
  <si>
    <t>CUST-0242</t>
  </si>
  <si>
    <t>Customer 242</t>
  </si>
  <si>
    <t>CUST-0243</t>
  </si>
  <si>
    <t>Customer 243</t>
  </si>
  <si>
    <t>CUST-0244</t>
  </si>
  <si>
    <t>Customer 244</t>
  </si>
  <si>
    <t>CUST-0245</t>
  </si>
  <si>
    <t>Customer 245</t>
  </si>
  <si>
    <t>CUST-0246</t>
  </si>
  <si>
    <t>Customer 246</t>
  </si>
  <si>
    <t>CUST-0247</t>
  </si>
  <si>
    <t>Customer 247</t>
  </si>
  <si>
    <t>CUST-0248</t>
  </si>
  <si>
    <t>Customer 248</t>
  </si>
  <si>
    <t>CUST-0249</t>
  </si>
  <si>
    <t>Customer 249</t>
  </si>
  <si>
    <t>CUST-0250</t>
  </si>
  <si>
    <t>Customer 250</t>
  </si>
  <si>
    <t>CUST-0251</t>
  </si>
  <si>
    <t>Customer 251</t>
  </si>
  <si>
    <t>CUST-0252</t>
  </si>
  <si>
    <t>Customer 252</t>
  </si>
  <si>
    <t>CUST-0253</t>
  </si>
  <si>
    <t>Customer 253</t>
  </si>
  <si>
    <t>CUST-0254</t>
  </si>
  <si>
    <t>Customer 254</t>
  </si>
  <si>
    <t>CUST-0255</t>
  </si>
  <si>
    <t>Customer 255</t>
  </si>
  <si>
    <t>CUST-0256</t>
  </si>
  <si>
    <t>Customer 256</t>
  </si>
  <si>
    <t>CUST-0257</t>
  </si>
  <si>
    <t>Customer 257</t>
  </si>
  <si>
    <t>CUST-0258</t>
  </si>
  <si>
    <t>Customer 258</t>
  </si>
  <si>
    <t>CUST-0259</t>
  </si>
  <si>
    <t>Customer 259</t>
  </si>
  <si>
    <t>CUST-0260</t>
  </si>
  <si>
    <t>Customer 260</t>
  </si>
  <si>
    <t>CUST-0261</t>
  </si>
  <si>
    <t>Customer 261</t>
  </si>
  <si>
    <t>CUST-0262</t>
  </si>
  <si>
    <t>Customer 262</t>
  </si>
  <si>
    <t>CUST-0263</t>
  </si>
  <si>
    <t>Customer 263</t>
  </si>
  <si>
    <t>CUST-0264</t>
  </si>
  <si>
    <t>Customer 264</t>
  </si>
  <si>
    <t>CUST-0265</t>
  </si>
  <si>
    <t>Customer 265</t>
  </si>
  <si>
    <t>CUST-0266</t>
  </si>
  <si>
    <t>Customer 266</t>
  </si>
  <si>
    <t>CUST-0267</t>
  </si>
  <si>
    <t>Customer 267</t>
  </si>
  <si>
    <t>CUST-0268</t>
  </si>
  <si>
    <t>Customer 268</t>
  </si>
  <si>
    <t>CUST-0269</t>
  </si>
  <si>
    <t>Customer 269</t>
  </si>
  <si>
    <t>CUST-0270</t>
  </si>
  <si>
    <t>Customer 270</t>
  </si>
  <si>
    <t>CUST-0271</t>
  </si>
  <si>
    <t>Customer 271</t>
  </si>
  <si>
    <t>CUST-0272</t>
  </si>
  <si>
    <t>Customer 272</t>
  </si>
  <si>
    <t>CUST-0273</t>
  </si>
  <si>
    <t>Customer 273</t>
  </si>
  <si>
    <t>CUST-0274</t>
  </si>
  <si>
    <t>Customer 274</t>
  </si>
  <si>
    <t>CUST-0275</t>
  </si>
  <si>
    <t>Customer 275</t>
  </si>
  <si>
    <t>CUST-0276</t>
  </si>
  <si>
    <t>Customer 276</t>
  </si>
  <si>
    <t>CUST-0277</t>
  </si>
  <si>
    <t>Customer 277</t>
  </si>
  <si>
    <t>CUST-0278</t>
  </si>
  <si>
    <t>Customer 278</t>
  </si>
  <si>
    <t>CUST-0279</t>
  </si>
  <si>
    <t>Customer 279</t>
  </si>
  <si>
    <t>CUST-0280</t>
  </si>
  <si>
    <t>Customer 280</t>
  </si>
  <si>
    <t>CUST-0281</t>
  </si>
  <si>
    <t>Customer 281</t>
  </si>
  <si>
    <t>CUST-0282</t>
  </si>
  <si>
    <t>Customer 282</t>
  </si>
  <si>
    <t>CUST-0283</t>
  </si>
  <si>
    <t>Customer 283</t>
  </si>
  <si>
    <t>CUST-0284</t>
  </si>
  <si>
    <t>Customer 284</t>
  </si>
  <si>
    <t>CUST-0285</t>
  </si>
  <si>
    <t>Customer 285</t>
  </si>
  <si>
    <t>CUST-0286</t>
  </si>
  <si>
    <t>Customer 286</t>
  </si>
  <si>
    <t>CUST-0287</t>
  </si>
  <si>
    <t>Customer 287</t>
  </si>
  <si>
    <t>CUST-0288</t>
  </si>
  <si>
    <t>Customer 288</t>
  </si>
  <si>
    <t>CUST-0289</t>
  </si>
  <si>
    <t>Customer 289</t>
  </si>
  <si>
    <t>CUST-0290</t>
  </si>
  <si>
    <t>Customer 290</t>
  </si>
  <si>
    <t>CUST-0291</t>
  </si>
  <si>
    <t>Customer 291</t>
  </si>
  <si>
    <t>CUST-0292</t>
  </si>
  <si>
    <t>Customer 292</t>
  </si>
  <si>
    <t>CUST-0293</t>
  </si>
  <si>
    <t>Customer 293</t>
  </si>
  <si>
    <t>CUST-0294</t>
  </si>
  <si>
    <t>Customer 294</t>
  </si>
  <si>
    <t>CUST-0295</t>
  </si>
  <si>
    <t>Customer 295</t>
  </si>
  <si>
    <t>CUST-0296</t>
  </si>
  <si>
    <t>Customer 296</t>
  </si>
  <si>
    <t>CUST-0297</t>
  </si>
  <si>
    <t>Customer 297</t>
  </si>
  <si>
    <t>CUST-0298</t>
  </si>
  <si>
    <t>Customer 298</t>
  </si>
  <si>
    <t>CUST-0299</t>
  </si>
  <si>
    <t>Customer 299</t>
  </si>
  <si>
    <t>CUST-0300</t>
  </si>
  <si>
    <t>Customer 300</t>
  </si>
  <si>
    <t>Order ID</t>
  </si>
  <si>
    <t>Order Date</t>
  </si>
  <si>
    <t>Region</t>
  </si>
  <si>
    <t>Sales Channel</t>
  </si>
  <si>
    <t>Quantity</t>
  </si>
  <si>
    <t>Discount</t>
  </si>
  <si>
    <t>Returned</t>
  </si>
  <si>
    <t>Customer Rating</t>
  </si>
  <si>
    <t>Processing Days</t>
  </si>
  <si>
    <t>ORD-10001</t>
  </si>
  <si>
    <t>West</t>
  </si>
  <si>
    <t>Retail Store</t>
  </si>
  <si>
    <t>No</t>
  </si>
  <si>
    <t>ORD-10002</t>
  </si>
  <si>
    <t>North-East</t>
  </si>
  <si>
    <t>Online</t>
  </si>
  <si>
    <t>Yes</t>
  </si>
  <si>
    <t>ORD-10003</t>
  </si>
  <si>
    <t>Central</t>
  </si>
  <si>
    <t>B2B Sales</t>
  </si>
  <si>
    <t>ORD-10004</t>
  </si>
  <si>
    <t>East</t>
  </si>
  <si>
    <t>ORD-10005</t>
  </si>
  <si>
    <t>ORD-10006</t>
  </si>
  <si>
    <t>ORD-10007</t>
  </si>
  <si>
    <t>ORD-10008</t>
  </si>
  <si>
    <t>ORD-10009</t>
  </si>
  <si>
    <t>ORD-10010</t>
  </si>
  <si>
    <t>North</t>
  </si>
  <si>
    <t>ORD-10011</t>
  </si>
  <si>
    <t>ORD-10012</t>
  </si>
  <si>
    <t>ORD-10013</t>
  </si>
  <si>
    <t>ORD-10014</t>
  </si>
  <si>
    <t>ORD-10015</t>
  </si>
  <si>
    <t>ORD-10016</t>
  </si>
  <si>
    <t>ORD-10017</t>
  </si>
  <si>
    <t>ORD-10018</t>
  </si>
  <si>
    <t>ORD-10019</t>
  </si>
  <si>
    <t>ORD-10020</t>
  </si>
  <si>
    <t>ORD-10021</t>
  </si>
  <si>
    <t>ORD-10022</t>
  </si>
  <si>
    <t>ORD-10023</t>
  </si>
  <si>
    <t>ORD-10024</t>
  </si>
  <si>
    <t>ORD-10025</t>
  </si>
  <si>
    <t>ORD-10026</t>
  </si>
  <si>
    <t>ORD-10027</t>
  </si>
  <si>
    <t>ORD-10028</t>
  </si>
  <si>
    <t>ORD-10029</t>
  </si>
  <si>
    <t>ORD-10030</t>
  </si>
  <si>
    <t>ORD-10031</t>
  </si>
  <si>
    <t>ORD-10032</t>
  </si>
  <si>
    <t>ORD-10033</t>
  </si>
  <si>
    <t>ORD-10034</t>
  </si>
  <si>
    <t>ORD-10035</t>
  </si>
  <si>
    <t>ORD-10036</t>
  </si>
  <si>
    <t>ORD-10037</t>
  </si>
  <si>
    <t>ORD-10038</t>
  </si>
  <si>
    <t>ORD-10039</t>
  </si>
  <si>
    <t>ORD-10040</t>
  </si>
  <si>
    <t>ORD-10041</t>
  </si>
  <si>
    <t>ORD-10042</t>
  </si>
  <si>
    <t>ORD-10043</t>
  </si>
  <si>
    <t>ORD-10044</t>
  </si>
  <si>
    <t>ORD-10045</t>
  </si>
  <si>
    <t>ORD-10046</t>
  </si>
  <si>
    <t>ORD-10047</t>
  </si>
  <si>
    <t>ORD-10048</t>
  </si>
  <si>
    <t>ORD-10049</t>
  </si>
  <si>
    <t>ORD-10050</t>
  </si>
  <si>
    <t>ORD-10051</t>
  </si>
  <si>
    <t>ORD-10052</t>
  </si>
  <si>
    <t>ORD-10053</t>
  </si>
  <si>
    <t>ORD-10054</t>
  </si>
  <si>
    <t>ORD-10055</t>
  </si>
  <si>
    <t>ORD-10056</t>
  </si>
  <si>
    <t>ORD-10057</t>
  </si>
  <si>
    <t>ORD-10058</t>
  </si>
  <si>
    <t>ORD-10059</t>
  </si>
  <si>
    <t>ORD-10060</t>
  </si>
  <si>
    <t>ORD-10061</t>
  </si>
  <si>
    <t>ORD-10062</t>
  </si>
  <si>
    <t>ORD-10063</t>
  </si>
  <si>
    <t>ORD-10064</t>
  </si>
  <si>
    <t>ORD-10065</t>
  </si>
  <si>
    <t>ORD-10066</t>
  </si>
  <si>
    <t>ORD-10067</t>
  </si>
  <si>
    <t>ORD-10068</t>
  </si>
  <si>
    <t>ORD-10069</t>
  </si>
  <si>
    <t>ORD-10070</t>
  </si>
  <si>
    <t>ORD-10071</t>
  </si>
  <si>
    <t>ORD-10072</t>
  </si>
  <si>
    <t>ORD-10073</t>
  </si>
  <si>
    <t>ORD-10074</t>
  </si>
  <si>
    <t>ORD-10075</t>
  </si>
  <si>
    <t>ORD-10076</t>
  </si>
  <si>
    <t>ORD-10077</t>
  </si>
  <si>
    <t>ORD-10078</t>
  </si>
  <si>
    <t>ORD-10079</t>
  </si>
  <si>
    <t>ORD-10080</t>
  </si>
  <si>
    <t>ORD-10081</t>
  </si>
  <si>
    <t>ORD-10082</t>
  </si>
  <si>
    <t>ORD-10083</t>
  </si>
  <si>
    <t>ORD-10084</t>
  </si>
  <si>
    <t>ORD-10085</t>
  </si>
  <si>
    <t>ORD-10086</t>
  </si>
  <si>
    <t>ORD-10087</t>
  </si>
  <si>
    <t>ORD-10088</t>
  </si>
  <si>
    <t>ORD-10089</t>
  </si>
  <si>
    <t>ORD-10090</t>
  </si>
  <si>
    <t>ORD-10091</t>
  </si>
  <si>
    <t>ORD-10092</t>
  </si>
  <si>
    <t>ORD-10093</t>
  </si>
  <si>
    <t>ORD-10094</t>
  </si>
  <si>
    <t>ORD-10095</t>
  </si>
  <si>
    <t>ORD-10096</t>
  </si>
  <si>
    <t>ORD-10097</t>
  </si>
  <si>
    <t>ORD-10098</t>
  </si>
  <si>
    <t>ORD-10099</t>
  </si>
  <si>
    <t>ORD-10100</t>
  </si>
  <si>
    <t>ORD-10101</t>
  </si>
  <si>
    <t>ORD-10102</t>
  </si>
  <si>
    <t>ORD-10103</t>
  </si>
  <si>
    <t>ORD-10104</t>
  </si>
  <si>
    <t>ORD-10105</t>
  </si>
  <si>
    <t>ORD-10106</t>
  </si>
  <si>
    <t>ORD-10107</t>
  </si>
  <si>
    <t>ORD-10108</t>
  </si>
  <si>
    <t>ORD-10109</t>
  </si>
  <si>
    <t>ORD-10110</t>
  </si>
  <si>
    <t>ORD-10111</t>
  </si>
  <si>
    <t>ORD-10112</t>
  </si>
  <si>
    <t>ORD-10113</t>
  </si>
  <si>
    <t>ORD-10114</t>
  </si>
  <si>
    <t>ORD-10115</t>
  </si>
  <si>
    <t>ORD-10116</t>
  </si>
  <si>
    <t>ORD-10117</t>
  </si>
  <si>
    <t>ORD-10118</t>
  </si>
  <si>
    <t>ORD-10119</t>
  </si>
  <si>
    <t>ORD-10120</t>
  </si>
  <si>
    <t>ORD-10121</t>
  </si>
  <si>
    <t>ORD-10122</t>
  </si>
  <si>
    <t>ORD-10123</t>
  </si>
  <si>
    <t>ORD-10124</t>
  </si>
  <si>
    <t>ORD-10125</t>
  </si>
  <si>
    <t>ORD-10126</t>
  </si>
  <si>
    <t>ORD-10127</t>
  </si>
  <si>
    <t>ORD-10128</t>
  </si>
  <si>
    <t>ORD-10129</t>
  </si>
  <si>
    <t>ORD-10130</t>
  </si>
  <si>
    <t>ORD-10131</t>
  </si>
  <si>
    <t>ORD-10132</t>
  </si>
  <si>
    <t>ORD-10133</t>
  </si>
  <si>
    <t>ORD-10134</t>
  </si>
  <si>
    <t>ORD-10135</t>
  </si>
  <si>
    <t>ORD-10136</t>
  </si>
  <si>
    <t>ORD-10137</t>
  </si>
  <si>
    <t>ORD-10138</t>
  </si>
  <si>
    <t>ORD-10139</t>
  </si>
  <si>
    <t>ORD-10140</t>
  </si>
  <si>
    <t>ORD-10141</t>
  </si>
  <si>
    <t>ORD-10142</t>
  </si>
  <si>
    <t>ORD-10143</t>
  </si>
  <si>
    <t>ORD-10144</t>
  </si>
  <si>
    <t>ORD-10145</t>
  </si>
  <si>
    <t>ORD-10146</t>
  </si>
  <si>
    <t>ORD-10147</t>
  </si>
  <si>
    <t>ORD-10148</t>
  </si>
  <si>
    <t>ORD-10149</t>
  </si>
  <si>
    <t>ORD-10150</t>
  </si>
  <si>
    <t>ORD-10151</t>
  </si>
  <si>
    <t>ORD-10152</t>
  </si>
  <si>
    <t>ORD-10153</t>
  </si>
  <si>
    <t>ORD-10154</t>
  </si>
  <si>
    <t>ORD-10155</t>
  </si>
  <si>
    <t>ORD-10156</t>
  </si>
  <si>
    <t>ORD-10157</t>
  </si>
  <si>
    <t>ORD-10158</t>
  </si>
  <si>
    <t>ORD-10159</t>
  </si>
  <si>
    <t>ORD-10160</t>
  </si>
  <si>
    <t>ORD-10161</t>
  </si>
  <si>
    <t>ORD-10162</t>
  </si>
  <si>
    <t>ORD-10163</t>
  </si>
  <si>
    <t>ORD-10164</t>
  </si>
  <si>
    <t>ORD-10165</t>
  </si>
  <si>
    <t>ORD-10166</t>
  </si>
  <si>
    <t>ORD-10167</t>
  </si>
  <si>
    <t>ORD-10168</t>
  </si>
  <si>
    <t>ORD-10169</t>
  </si>
  <si>
    <t>ORD-10170</t>
  </si>
  <si>
    <t>ORD-10171</t>
  </si>
  <si>
    <t>ORD-10172</t>
  </si>
  <si>
    <t>ORD-10173</t>
  </si>
  <si>
    <t>ORD-10174</t>
  </si>
  <si>
    <t>ORD-10175</t>
  </si>
  <si>
    <t>ORD-10176</t>
  </si>
  <si>
    <t>ORD-10177</t>
  </si>
  <si>
    <t>ORD-10178</t>
  </si>
  <si>
    <t>ORD-10179</t>
  </si>
  <si>
    <t>ORD-10180</t>
  </si>
  <si>
    <t>ORD-10181</t>
  </si>
  <si>
    <t>ORD-10182</t>
  </si>
  <si>
    <t>ORD-10183</t>
  </si>
  <si>
    <t>ORD-10184</t>
  </si>
  <si>
    <t>ORD-10185</t>
  </si>
  <si>
    <t>ORD-10186</t>
  </si>
  <si>
    <t>ORD-10187</t>
  </si>
  <si>
    <t>ORD-10188</t>
  </si>
  <si>
    <t>ORD-10189</t>
  </si>
  <si>
    <t>ORD-10190</t>
  </si>
  <si>
    <t>ORD-10191</t>
  </si>
  <si>
    <t>ORD-10192</t>
  </si>
  <si>
    <t>ORD-10193</t>
  </si>
  <si>
    <t>ORD-10194</t>
  </si>
  <si>
    <t>ORD-10195</t>
  </si>
  <si>
    <t>ORD-10196</t>
  </si>
  <si>
    <t>ORD-10197</t>
  </si>
  <si>
    <t>ORD-10198</t>
  </si>
  <si>
    <t>ORD-10199</t>
  </si>
  <si>
    <t>ORD-10200</t>
  </si>
  <si>
    <t>ORD-10201</t>
  </si>
  <si>
    <t>ORD-10202</t>
  </si>
  <si>
    <t>ORD-10203</t>
  </si>
  <si>
    <t>ORD-10204</t>
  </si>
  <si>
    <t>ORD-10205</t>
  </si>
  <si>
    <t>ORD-10206</t>
  </si>
  <si>
    <t>ORD-10207</t>
  </si>
  <si>
    <t>ORD-10208</t>
  </si>
  <si>
    <t>ORD-10209</t>
  </si>
  <si>
    <t>ORD-10210</t>
  </si>
  <si>
    <t>ORD-10211</t>
  </si>
  <si>
    <t>ORD-10212</t>
  </si>
  <si>
    <t>ORD-10213</t>
  </si>
  <si>
    <t>ORD-10214</t>
  </si>
  <si>
    <t>ORD-10215</t>
  </si>
  <si>
    <t>ORD-10216</t>
  </si>
  <si>
    <t>ORD-10217</t>
  </si>
  <si>
    <t>ORD-10218</t>
  </si>
  <si>
    <t>ORD-10219</t>
  </si>
  <si>
    <t>ORD-10220</t>
  </si>
  <si>
    <t>ORD-10221</t>
  </si>
  <si>
    <t>ORD-10222</t>
  </si>
  <si>
    <t>ORD-10223</t>
  </si>
  <si>
    <t>ORD-10224</t>
  </si>
  <si>
    <t>ORD-10225</t>
  </si>
  <si>
    <t>ORD-10226</t>
  </si>
  <si>
    <t>ORD-10227</t>
  </si>
  <si>
    <t>ORD-10228</t>
  </si>
  <si>
    <t>ORD-10229</t>
  </si>
  <si>
    <t>ORD-10230</t>
  </si>
  <si>
    <t>ORD-10231</t>
  </si>
  <si>
    <t>ORD-10232</t>
  </si>
  <si>
    <t>ORD-10233</t>
  </si>
  <si>
    <t>ORD-10234</t>
  </si>
  <si>
    <t>ORD-10235</t>
  </si>
  <si>
    <t>ORD-10236</t>
  </si>
  <si>
    <t>ORD-10237</t>
  </si>
  <si>
    <t>ORD-10238</t>
  </si>
  <si>
    <t>ORD-10239</t>
  </si>
  <si>
    <t>ORD-10240</t>
  </si>
  <si>
    <t>ORD-10241</t>
  </si>
  <si>
    <t>ORD-10242</t>
  </si>
  <si>
    <t>ORD-10243</t>
  </si>
  <si>
    <t>ORD-10244</t>
  </si>
  <si>
    <t>ORD-10245</t>
  </si>
  <si>
    <t>ORD-10246</t>
  </si>
  <si>
    <t>ORD-10247</t>
  </si>
  <si>
    <t>ORD-10248</t>
  </si>
  <si>
    <t>ORD-10249</t>
  </si>
  <si>
    <t>ORD-10250</t>
  </si>
  <si>
    <t>ORD-10251</t>
  </si>
  <si>
    <t>ORD-10252</t>
  </si>
  <si>
    <t>ORD-10253</t>
  </si>
  <si>
    <t>ORD-10254</t>
  </si>
  <si>
    <t>ORD-10255</t>
  </si>
  <si>
    <t>ORD-10256</t>
  </si>
  <si>
    <t>ORD-10257</t>
  </si>
  <si>
    <t>ORD-10258</t>
  </si>
  <si>
    <t>ORD-10259</t>
  </si>
  <si>
    <t>ORD-10260</t>
  </si>
  <si>
    <t>ORD-10261</t>
  </si>
  <si>
    <t>ORD-10262</t>
  </si>
  <si>
    <t>ORD-10263</t>
  </si>
  <si>
    <t>ORD-10264</t>
  </si>
  <si>
    <t>ORD-10265</t>
  </si>
  <si>
    <t>ORD-10266</t>
  </si>
  <si>
    <t>ORD-10267</t>
  </si>
  <si>
    <t>ORD-10268</t>
  </si>
  <si>
    <t>ORD-10269</t>
  </si>
  <si>
    <t>ORD-10270</t>
  </si>
  <si>
    <t>ORD-10271</t>
  </si>
  <si>
    <t>ORD-10272</t>
  </si>
  <si>
    <t>ORD-10273</t>
  </si>
  <si>
    <t>ORD-10274</t>
  </si>
  <si>
    <t>ORD-10275</t>
  </si>
  <si>
    <t>ORD-10276</t>
  </si>
  <si>
    <t>ORD-10277</t>
  </si>
  <si>
    <t>ORD-10278</t>
  </si>
  <si>
    <t>ORD-10279</t>
  </si>
  <si>
    <t>ORD-10280</t>
  </si>
  <si>
    <t>ORD-10281</t>
  </si>
  <si>
    <t>ORD-10282</t>
  </si>
  <si>
    <t>ORD-10283</t>
  </si>
  <si>
    <t>ORD-10284</t>
  </si>
  <si>
    <t>ORD-10285</t>
  </si>
  <si>
    <t>ORD-10286</t>
  </si>
  <si>
    <t>ORD-10287</t>
  </si>
  <si>
    <t>ORD-10288</t>
  </si>
  <si>
    <t>ORD-10289</t>
  </si>
  <si>
    <t>ORD-10290</t>
  </si>
  <si>
    <t>ORD-10291</t>
  </si>
  <si>
    <t>ORD-10292</t>
  </si>
  <si>
    <t>ORD-10293</t>
  </si>
  <si>
    <t>ORD-10294</t>
  </si>
  <si>
    <t>ORD-10295</t>
  </si>
  <si>
    <t>ORD-10296</t>
  </si>
  <si>
    <t>ORD-10297</t>
  </si>
  <si>
    <t>ORD-10298</t>
  </si>
  <si>
    <t>ORD-10299</t>
  </si>
  <si>
    <t>ORD-10300</t>
  </si>
  <si>
    <t>ORD-10301</t>
  </si>
  <si>
    <t>ORD-10302</t>
  </si>
  <si>
    <t>ORD-10303</t>
  </si>
  <si>
    <t>ORD-10304</t>
  </si>
  <si>
    <t>ORD-10305</t>
  </si>
  <si>
    <t>ORD-10306</t>
  </si>
  <si>
    <t>ORD-10307</t>
  </si>
  <si>
    <t>ORD-10308</t>
  </si>
  <si>
    <t>ORD-10309</t>
  </si>
  <si>
    <t>ORD-10310</t>
  </si>
  <si>
    <t>ORD-10311</t>
  </si>
  <si>
    <t>ORD-10312</t>
  </si>
  <si>
    <t>ORD-10313</t>
  </si>
  <si>
    <t>ORD-10314</t>
  </si>
  <si>
    <t>ORD-10315</t>
  </si>
  <si>
    <t>ORD-10316</t>
  </si>
  <si>
    <t>ORD-10317</t>
  </si>
  <si>
    <t>ORD-10318</t>
  </si>
  <si>
    <t>ORD-10319</t>
  </si>
  <si>
    <t>ORD-10320</t>
  </si>
  <si>
    <t>ORD-10321</t>
  </si>
  <si>
    <t>ORD-10322</t>
  </si>
  <si>
    <t>ORD-10323</t>
  </si>
  <si>
    <t>ORD-10324</t>
  </si>
  <si>
    <t>ORD-10325</t>
  </si>
  <si>
    <t>ORD-10326</t>
  </si>
  <si>
    <t>ORD-10327</t>
  </si>
  <si>
    <t>ORD-10328</t>
  </si>
  <si>
    <t>ORD-10329</t>
  </si>
  <si>
    <t>ORD-10330</t>
  </si>
  <si>
    <t>ORD-10331</t>
  </si>
  <si>
    <t>ORD-10332</t>
  </si>
  <si>
    <t>ORD-10333</t>
  </si>
  <si>
    <t>ORD-10334</t>
  </si>
  <si>
    <t>ORD-10335</t>
  </si>
  <si>
    <t>ORD-10336</t>
  </si>
  <si>
    <t>ORD-10337</t>
  </si>
  <si>
    <t>ORD-10338</t>
  </si>
  <si>
    <t>ORD-10339</t>
  </si>
  <si>
    <t>ORD-10340</t>
  </si>
  <si>
    <t>ORD-10341</t>
  </si>
  <si>
    <t>ORD-10342</t>
  </si>
  <si>
    <t>ORD-10343</t>
  </si>
  <si>
    <t>ORD-10344</t>
  </si>
  <si>
    <t>ORD-10345</t>
  </si>
  <si>
    <t>ORD-10346</t>
  </si>
  <si>
    <t>ORD-10347</t>
  </si>
  <si>
    <t>ORD-10348</t>
  </si>
  <si>
    <t>ORD-10349</t>
  </si>
  <si>
    <t>ORD-10350</t>
  </si>
  <si>
    <t>ORD-10351</t>
  </si>
  <si>
    <t>ORD-10352</t>
  </si>
  <si>
    <t>ORD-10353</t>
  </si>
  <si>
    <t>ORD-10354</t>
  </si>
  <si>
    <t>ORD-10355</t>
  </si>
  <si>
    <t>ORD-10356</t>
  </si>
  <si>
    <t>ORD-10357</t>
  </si>
  <si>
    <t>ORD-10358</t>
  </si>
  <si>
    <t>ORD-10359</t>
  </si>
  <si>
    <t>ORD-10360</t>
  </si>
  <si>
    <t>ORD-10361</t>
  </si>
  <si>
    <t>ORD-10362</t>
  </si>
  <si>
    <t>ORD-10363</t>
  </si>
  <si>
    <t>ORD-10364</t>
  </si>
  <si>
    <t>ORD-10365</t>
  </si>
  <si>
    <t>ORD-10366</t>
  </si>
  <si>
    <t>ORD-10367</t>
  </si>
  <si>
    <t>ORD-10368</t>
  </si>
  <si>
    <t>ORD-10369</t>
  </si>
  <si>
    <t>ORD-10370</t>
  </si>
  <si>
    <t>ORD-10371</t>
  </si>
  <si>
    <t>ORD-10372</t>
  </si>
  <si>
    <t>ORD-10373</t>
  </si>
  <si>
    <t>ORD-10374</t>
  </si>
  <si>
    <t>ORD-10375</t>
  </si>
  <si>
    <t>ORD-10376</t>
  </si>
  <si>
    <t>ORD-10377</t>
  </si>
  <si>
    <t>ORD-10378</t>
  </si>
  <si>
    <t>ORD-10379</t>
  </si>
  <si>
    <t>ORD-10380</t>
  </si>
  <si>
    <t>ORD-10381</t>
  </si>
  <si>
    <t>ORD-10382</t>
  </si>
  <si>
    <t>ORD-10383</t>
  </si>
  <si>
    <t>ORD-10384</t>
  </si>
  <si>
    <t>ORD-10385</t>
  </si>
  <si>
    <t>ORD-10386</t>
  </si>
  <si>
    <t>ORD-10387</t>
  </si>
  <si>
    <t>ORD-10388</t>
  </si>
  <si>
    <t>ORD-10389</t>
  </si>
  <si>
    <t>ORD-10390</t>
  </si>
  <si>
    <t>ORD-10391</t>
  </si>
  <si>
    <t>ORD-10392</t>
  </si>
  <si>
    <t>ORD-10393</t>
  </si>
  <si>
    <t>ORD-10394</t>
  </si>
  <si>
    <t>ORD-10395</t>
  </si>
  <si>
    <t>ORD-10396</t>
  </si>
  <si>
    <t>ORD-10397</t>
  </si>
  <si>
    <t>ORD-10398</t>
  </si>
  <si>
    <t>ORD-10399</t>
  </si>
  <si>
    <t>ORD-10400</t>
  </si>
  <si>
    <t>ORD-10401</t>
  </si>
  <si>
    <t>ORD-10402</t>
  </si>
  <si>
    <t>ORD-10403</t>
  </si>
  <si>
    <t>ORD-10404</t>
  </si>
  <si>
    <t>ORD-10405</t>
  </si>
  <si>
    <t>ORD-10406</t>
  </si>
  <si>
    <t>ORD-10407</t>
  </si>
  <si>
    <t>ORD-10408</t>
  </si>
  <si>
    <t>ORD-10409</t>
  </si>
  <si>
    <t>ORD-10410</t>
  </si>
  <si>
    <t>ORD-10411</t>
  </si>
  <si>
    <t>ORD-10412</t>
  </si>
  <si>
    <t>ORD-10413</t>
  </si>
  <si>
    <t>ORD-10414</t>
  </si>
  <si>
    <t>ORD-10415</t>
  </si>
  <si>
    <t>ORD-10416</t>
  </si>
  <si>
    <t>ORD-10417</t>
  </si>
  <si>
    <t>ORD-10418</t>
  </si>
  <si>
    <t>ORD-10419</t>
  </si>
  <si>
    <t>ORD-10420</t>
  </si>
  <si>
    <t>ORD-10421</t>
  </si>
  <si>
    <t>ORD-10422</t>
  </si>
  <si>
    <t>ORD-10423</t>
  </si>
  <si>
    <t>ORD-10424</t>
  </si>
  <si>
    <t>ORD-10425</t>
  </si>
  <si>
    <t>ORD-10426</t>
  </si>
  <si>
    <t>ORD-10427</t>
  </si>
  <si>
    <t>ORD-10428</t>
  </si>
  <si>
    <t>ORD-10429</t>
  </si>
  <si>
    <t>ORD-10430</t>
  </si>
  <si>
    <t>ORD-10431</t>
  </si>
  <si>
    <t>ORD-10432</t>
  </si>
  <si>
    <t>ORD-10433</t>
  </si>
  <si>
    <t>ORD-10434</t>
  </si>
  <si>
    <t>ORD-10435</t>
  </si>
  <si>
    <t>ORD-10436</t>
  </si>
  <si>
    <t>ORD-10437</t>
  </si>
  <si>
    <t>ORD-10438</t>
  </si>
  <si>
    <t>ORD-10439</t>
  </si>
  <si>
    <t>ORD-10440</t>
  </si>
  <si>
    <t>ORD-10441</t>
  </si>
  <si>
    <t>ORD-10442</t>
  </si>
  <si>
    <t>ORD-10443</t>
  </si>
  <si>
    <t>ORD-10444</t>
  </si>
  <si>
    <t>ORD-10445</t>
  </si>
  <si>
    <t>ORD-10446</t>
  </si>
  <si>
    <t>ORD-10447</t>
  </si>
  <si>
    <t>ORD-10448</t>
  </si>
  <si>
    <t>ORD-10449</t>
  </si>
  <si>
    <t>ORD-10450</t>
  </si>
  <si>
    <t>ORD-10451</t>
  </si>
  <si>
    <t>ORD-10452</t>
  </si>
  <si>
    <t>ORD-10453</t>
  </si>
  <si>
    <t>ORD-10454</t>
  </si>
  <si>
    <t>ORD-10455</t>
  </si>
  <si>
    <t>ORD-10456</t>
  </si>
  <si>
    <t>ORD-10457</t>
  </si>
  <si>
    <t>ORD-10458</t>
  </si>
  <si>
    <t>ORD-10459</t>
  </si>
  <si>
    <t>ORD-10460</t>
  </si>
  <si>
    <t>ORD-10461</t>
  </si>
  <si>
    <t>ORD-10462</t>
  </si>
  <si>
    <t>ORD-10463</t>
  </si>
  <si>
    <t>ORD-10464</t>
  </si>
  <si>
    <t>ORD-10465</t>
  </si>
  <si>
    <t>ORD-10466</t>
  </si>
  <si>
    <t>ORD-10467</t>
  </si>
  <si>
    <t>ORD-10468</t>
  </si>
  <si>
    <t>ORD-10469</t>
  </si>
  <si>
    <t>ORD-10470</t>
  </si>
  <si>
    <t>ORD-10471</t>
  </si>
  <si>
    <t>ORD-10472</t>
  </si>
  <si>
    <t>ORD-10473</t>
  </si>
  <si>
    <t>ORD-10474</t>
  </si>
  <si>
    <t>ORD-10475</t>
  </si>
  <si>
    <t>ORD-10476</t>
  </si>
  <si>
    <t>ORD-10477</t>
  </si>
  <si>
    <t>ORD-10478</t>
  </si>
  <si>
    <t>ORD-10479</t>
  </si>
  <si>
    <t>ORD-10480</t>
  </si>
  <si>
    <t>ORD-10481</t>
  </si>
  <si>
    <t>ORD-10482</t>
  </si>
  <si>
    <t>ORD-10483</t>
  </si>
  <si>
    <t>ORD-10484</t>
  </si>
  <si>
    <t>ORD-10485</t>
  </si>
  <si>
    <t>ORD-10486</t>
  </si>
  <si>
    <t>ORD-10487</t>
  </si>
  <si>
    <t>ORD-10488</t>
  </si>
  <si>
    <t>ORD-10489</t>
  </si>
  <si>
    <t>ORD-10490</t>
  </si>
  <si>
    <t>ORD-10491</t>
  </si>
  <si>
    <t>ORD-10492</t>
  </si>
  <si>
    <t>ORD-10493</t>
  </si>
  <si>
    <t>ORD-10494</t>
  </si>
  <si>
    <t>ORD-10495</t>
  </si>
  <si>
    <t>ORD-10496</t>
  </si>
  <si>
    <t>ORD-10497</t>
  </si>
  <si>
    <t>ORD-10498</t>
  </si>
  <si>
    <t>ORD-10499</t>
  </si>
  <si>
    <t>ORD-10500</t>
  </si>
  <si>
    <t>ORD-10501</t>
  </si>
  <si>
    <t>ORD-10502</t>
  </si>
  <si>
    <t>ORD-10503</t>
  </si>
  <si>
    <t>ORD-10504</t>
  </si>
  <si>
    <t>ORD-10505</t>
  </si>
  <si>
    <t>ORD-10506</t>
  </si>
  <si>
    <t>ORD-10507</t>
  </si>
  <si>
    <t>ORD-10508</t>
  </si>
  <si>
    <t>ORD-10509</t>
  </si>
  <si>
    <t>ORD-10510</t>
  </si>
  <si>
    <t>ORD-10511</t>
  </si>
  <si>
    <t>ORD-10512</t>
  </si>
  <si>
    <t>ORD-10513</t>
  </si>
  <si>
    <t>ORD-10514</t>
  </si>
  <si>
    <t>ORD-10515</t>
  </si>
  <si>
    <t>ORD-10516</t>
  </si>
  <si>
    <t>ORD-10517</t>
  </si>
  <si>
    <t>ORD-10518</t>
  </si>
  <si>
    <t>ORD-10519</t>
  </si>
  <si>
    <t>ORD-10520</t>
  </si>
  <si>
    <t>ORD-10521</t>
  </si>
  <si>
    <t>ORD-10522</t>
  </si>
  <si>
    <t>ORD-10523</t>
  </si>
  <si>
    <t>ORD-10524</t>
  </si>
  <si>
    <t>ORD-10525</t>
  </si>
  <si>
    <t>ORD-10526</t>
  </si>
  <si>
    <t>ORD-10527</t>
  </si>
  <si>
    <t>ORD-10528</t>
  </si>
  <si>
    <t>ORD-10529</t>
  </si>
  <si>
    <t>ORD-10530</t>
  </si>
  <si>
    <t>ORD-10531</t>
  </si>
  <si>
    <t>ORD-10532</t>
  </si>
  <si>
    <t>ORD-10533</t>
  </si>
  <si>
    <t>ORD-10534</t>
  </si>
  <si>
    <t>ORD-10535</t>
  </si>
  <si>
    <t>ORD-10536</t>
  </si>
  <si>
    <t>ORD-10537</t>
  </si>
  <si>
    <t>ORD-10538</t>
  </si>
  <si>
    <t>ORD-10539</t>
  </si>
  <si>
    <t>ORD-10540</t>
  </si>
  <si>
    <t>ORD-10541</t>
  </si>
  <si>
    <t>ORD-10542</t>
  </si>
  <si>
    <t>ORD-10543</t>
  </si>
  <si>
    <t>ORD-10544</t>
  </si>
  <si>
    <t>ORD-10545</t>
  </si>
  <si>
    <t>ORD-10546</t>
  </si>
  <si>
    <t>ORD-10547</t>
  </si>
  <si>
    <t>ORD-10548</t>
  </si>
  <si>
    <t>ORD-10549</t>
  </si>
  <si>
    <t>ORD-10550</t>
  </si>
  <si>
    <t>ORD-10551</t>
  </si>
  <si>
    <t>ORD-10552</t>
  </si>
  <si>
    <t>ORD-10553</t>
  </si>
  <si>
    <t>ORD-10554</t>
  </si>
  <si>
    <t>ORD-10555</t>
  </si>
  <si>
    <t>ORD-10556</t>
  </si>
  <si>
    <t>ORD-10557</t>
  </si>
  <si>
    <t>ORD-10558</t>
  </si>
  <si>
    <t>ORD-10559</t>
  </si>
  <si>
    <t>ORD-10560</t>
  </si>
  <si>
    <t>ORD-10561</t>
  </si>
  <si>
    <t>ORD-10562</t>
  </si>
  <si>
    <t>ORD-10563</t>
  </si>
  <si>
    <t>ORD-10564</t>
  </si>
  <si>
    <t>ORD-10565</t>
  </si>
  <si>
    <t>ORD-10566</t>
  </si>
  <si>
    <t>ORD-10567</t>
  </si>
  <si>
    <t>ORD-10568</t>
  </si>
  <si>
    <t>ORD-10569</t>
  </si>
  <si>
    <t>ORD-10570</t>
  </si>
  <si>
    <t>ORD-10571</t>
  </si>
  <si>
    <t>ORD-10572</t>
  </si>
  <si>
    <t>ORD-10573</t>
  </si>
  <si>
    <t>ORD-10574</t>
  </si>
  <si>
    <t>ORD-10575</t>
  </si>
  <si>
    <t>ORD-10576</t>
  </si>
  <si>
    <t>ORD-10577</t>
  </si>
  <si>
    <t>ORD-10578</t>
  </si>
  <si>
    <t>ORD-10579</t>
  </si>
  <si>
    <t>ORD-10580</t>
  </si>
  <si>
    <t>ORD-10581</t>
  </si>
  <si>
    <t>ORD-10582</t>
  </si>
  <si>
    <t>ORD-10583</t>
  </si>
  <si>
    <t>ORD-10584</t>
  </si>
  <si>
    <t>ORD-10585</t>
  </si>
  <si>
    <t>ORD-10586</t>
  </si>
  <si>
    <t>ORD-10587</t>
  </si>
  <si>
    <t>ORD-10588</t>
  </si>
  <si>
    <t>ORD-10589</t>
  </si>
  <si>
    <t>ORD-10590</t>
  </si>
  <si>
    <t>ORD-10591</t>
  </si>
  <si>
    <t>ORD-10592</t>
  </si>
  <si>
    <t>ORD-10593</t>
  </si>
  <si>
    <t>ORD-10594</t>
  </si>
  <si>
    <t>ORD-10595</t>
  </si>
  <si>
    <t>ORD-10596</t>
  </si>
  <si>
    <t>ORD-10597</t>
  </si>
  <si>
    <t>ORD-10598</t>
  </si>
  <si>
    <t>ORD-10599</t>
  </si>
  <si>
    <t>ORD-10600</t>
  </si>
  <si>
    <t>ORD-10601</t>
  </si>
  <si>
    <t>ORD-10602</t>
  </si>
  <si>
    <t>ORD-10603</t>
  </si>
  <si>
    <t>ORD-10604</t>
  </si>
  <si>
    <t>ORD-10605</t>
  </si>
  <si>
    <t>ORD-10606</t>
  </si>
  <si>
    <t>ORD-10607</t>
  </si>
  <si>
    <t>ORD-10608</t>
  </si>
  <si>
    <t>ORD-10609</t>
  </si>
  <si>
    <t>ORD-10610</t>
  </si>
  <si>
    <t>ORD-10611</t>
  </si>
  <si>
    <t>ORD-10612</t>
  </si>
  <si>
    <t>ORD-10613</t>
  </si>
  <si>
    <t>ORD-10614</t>
  </si>
  <si>
    <t>ORD-10615</t>
  </si>
  <si>
    <t>ORD-10616</t>
  </si>
  <si>
    <t>ORD-10617</t>
  </si>
  <si>
    <t>ORD-10618</t>
  </si>
  <si>
    <t>ORD-10619</t>
  </si>
  <si>
    <t>ORD-10620</t>
  </si>
  <si>
    <t>ORD-10621</t>
  </si>
  <si>
    <t>ORD-10622</t>
  </si>
  <si>
    <t>ORD-10623</t>
  </si>
  <si>
    <t>ORD-10624</t>
  </si>
  <si>
    <t>ORD-10625</t>
  </si>
  <si>
    <t>ORD-10626</t>
  </si>
  <si>
    <t>ORD-10627</t>
  </si>
  <si>
    <t>ORD-10628</t>
  </si>
  <si>
    <t>ORD-10629</t>
  </si>
  <si>
    <t>ORD-10630</t>
  </si>
  <si>
    <t>ORD-10631</t>
  </si>
  <si>
    <t>ORD-10632</t>
  </si>
  <si>
    <t>ORD-10633</t>
  </si>
  <si>
    <t>ORD-10634</t>
  </si>
  <si>
    <t>ORD-10635</t>
  </si>
  <si>
    <t>ORD-10636</t>
  </si>
  <si>
    <t>ORD-10637</t>
  </si>
  <si>
    <t>ORD-10638</t>
  </si>
  <si>
    <t>ORD-10639</t>
  </si>
  <si>
    <t>ORD-10640</t>
  </si>
  <si>
    <t>ORD-10641</t>
  </si>
  <si>
    <t>ORD-10642</t>
  </si>
  <si>
    <t>ORD-10643</t>
  </si>
  <si>
    <t>ORD-10644</t>
  </si>
  <si>
    <t>ORD-10645</t>
  </si>
  <si>
    <t>ORD-10646</t>
  </si>
  <si>
    <t>ORD-10647</t>
  </si>
  <si>
    <t>ORD-10648</t>
  </si>
  <si>
    <t>ORD-10649</t>
  </si>
  <si>
    <t>ORD-10650</t>
  </si>
  <si>
    <t>ORD-10651</t>
  </si>
  <si>
    <t>ORD-10652</t>
  </si>
  <si>
    <t>ORD-10653</t>
  </si>
  <si>
    <t>ORD-10654</t>
  </si>
  <si>
    <t>ORD-10655</t>
  </si>
  <si>
    <t>ORD-10656</t>
  </si>
  <si>
    <t>ORD-10657</t>
  </si>
  <si>
    <t>ORD-10658</t>
  </si>
  <si>
    <t>ORD-10659</t>
  </si>
  <si>
    <t>ORD-10660</t>
  </si>
  <si>
    <t>ORD-10661</t>
  </si>
  <si>
    <t>ORD-10662</t>
  </si>
  <si>
    <t>ORD-10663</t>
  </si>
  <si>
    <t>ORD-10664</t>
  </si>
  <si>
    <t>ORD-10665</t>
  </si>
  <si>
    <t>ORD-10666</t>
  </si>
  <si>
    <t>ORD-10667</t>
  </si>
  <si>
    <t>ORD-10668</t>
  </si>
  <si>
    <t>ORD-10669</t>
  </si>
  <si>
    <t>ORD-10670</t>
  </si>
  <si>
    <t>ORD-10671</t>
  </si>
  <si>
    <t>ORD-10672</t>
  </si>
  <si>
    <t>ORD-10673</t>
  </si>
  <si>
    <t>ORD-10674</t>
  </si>
  <si>
    <t>ORD-10675</t>
  </si>
  <si>
    <t>ORD-10676</t>
  </si>
  <si>
    <t>ORD-10677</t>
  </si>
  <si>
    <t>ORD-10678</t>
  </si>
  <si>
    <t>ORD-10679</t>
  </si>
  <si>
    <t>ORD-10680</t>
  </si>
  <si>
    <t>ORD-10681</t>
  </si>
  <si>
    <t>ORD-10682</t>
  </si>
  <si>
    <t>ORD-10683</t>
  </si>
  <si>
    <t>ORD-10684</t>
  </si>
  <si>
    <t>ORD-10685</t>
  </si>
  <si>
    <t>ORD-10686</t>
  </si>
  <si>
    <t>ORD-10687</t>
  </si>
  <si>
    <t>ORD-10688</t>
  </si>
  <si>
    <t>ORD-10689</t>
  </si>
  <si>
    <t>ORD-10690</t>
  </si>
  <si>
    <t>ORD-10691</t>
  </si>
  <si>
    <t>ORD-10692</t>
  </si>
  <si>
    <t>ORD-10693</t>
  </si>
  <si>
    <t>ORD-10694</t>
  </si>
  <si>
    <t>ORD-10695</t>
  </si>
  <si>
    <t>ORD-10696</t>
  </si>
  <si>
    <t>ORD-10697</t>
  </si>
  <si>
    <t>ORD-10698</t>
  </si>
  <si>
    <t>ORD-10699</t>
  </si>
  <si>
    <t>ORD-10700</t>
  </si>
  <si>
    <t>ORD-10701</t>
  </si>
  <si>
    <t>ORD-10702</t>
  </si>
  <si>
    <t>ORD-10703</t>
  </si>
  <si>
    <t>ORD-10704</t>
  </si>
  <si>
    <t>ORD-10705</t>
  </si>
  <si>
    <t>ORD-10706</t>
  </si>
  <si>
    <t>ORD-10707</t>
  </si>
  <si>
    <t>ORD-10708</t>
  </si>
  <si>
    <t>ORD-10709</t>
  </si>
  <si>
    <t>ORD-10710</t>
  </si>
  <si>
    <t>ORD-10711</t>
  </si>
  <si>
    <t>ORD-10712</t>
  </si>
  <si>
    <t>ORD-10713</t>
  </si>
  <si>
    <t>ORD-10714</t>
  </si>
  <si>
    <t>ORD-10715</t>
  </si>
  <si>
    <t>ORD-10716</t>
  </si>
  <si>
    <t>ORD-10717</t>
  </si>
  <si>
    <t>ORD-10718</t>
  </si>
  <si>
    <t>ORD-10719</t>
  </si>
  <si>
    <t>ORD-10720</t>
  </si>
  <si>
    <t>ORD-10721</t>
  </si>
  <si>
    <t>ORD-10722</t>
  </si>
  <si>
    <t>ORD-10723</t>
  </si>
  <si>
    <t>ORD-10724</t>
  </si>
  <si>
    <t>ORD-10725</t>
  </si>
  <si>
    <t>ORD-10726</t>
  </si>
  <si>
    <t>ORD-10727</t>
  </si>
  <si>
    <t>ORD-10728</t>
  </si>
  <si>
    <t>ORD-10729</t>
  </si>
  <si>
    <t>ORD-10730</t>
  </si>
  <si>
    <t>ORD-10731</t>
  </si>
  <si>
    <t>ORD-10732</t>
  </si>
  <si>
    <t>ORD-10733</t>
  </si>
  <si>
    <t>ORD-10734</t>
  </si>
  <si>
    <t>ORD-10735</t>
  </si>
  <si>
    <t>ORD-10736</t>
  </si>
  <si>
    <t>ORD-10737</t>
  </si>
  <si>
    <t>ORD-10738</t>
  </si>
  <si>
    <t>ORD-10739</t>
  </si>
  <si>
    <t>ORD-10740</t>
  </si>
  <si>
    <t>ORD-10741</t>
  </si>
  <si>
    <t>ORD-10742</t>
  </si>
  <si>
    <t>ORD-10743</t>
  </si>
  <si>
    <t>ORD-10744</t>
  </si>
  <si>
    <t>ORD-10745</t>
  </si>
  <si>
    <t>ORD-10746</t>
  </si>
  <si>
    <t>ORD-10747</t>
  </si>
  <si>
    <t>ORD-10748</t>
  </si>
  <si>
    <t>ORD-10749</t>
  </si>
  <si>
    <t>ORD-10750</t>
  </si>
  <si>
    <t>ORD-10751</t>
  </si>
  <si>
    <t>ORD-10752</t>
  </si>
  <si>
    <t>ORD-10753</t>
  </si>
  <si>
    <t>ORD-10754</t>
  </si>
  <si>
    <t>ORD-10755</t>
  </si>
  <si>
    <t>ORD-10756</t>
  </si>
  <si>
    <t>ORD-10757</t>
  </si>
  <si>
    <t>ORD-10758</t>
  </si>
  <si>
    <t>ORD-10759</t>
  </si>
  <si>
    <t>ORD-10760</t>
  </si>
  <si>
    <t>ORD-10761</t>
  </si>
  <si>
    <t>ORD-10762</t>
  </si>
  <si>
    <t>ORD-10763</t>
  </si>
  <si>
    <t>ORD-10764</t>
  </si>
  <si>
    <t>ORD-10765</t>
  </si>
  <si>
    <t>ORD-10766</t>
  </si>
  <si>
    <t>ORD-10767</t>
  </si>
  <si>
    <t>ORD-10768</t>
  </si>
  <si>
    <t>ORD-10769</t>
  </si>
  <si>
    <t>ORD-10770</t>
  </si>
  <si>
    <t>ORD-10771</t>
  </si>
  <si>
    <t>ORD-10772</t>
  </si>
  <si>
    <t>ORD-10773</t>
  </si>
  <si>
    <t>ORD-10774</t>
  </si>
  <si>
    <t>ORD-10775</t>
  </si>
  <si>
    <t>ORD-10776</t>
  </si>
  <si>
    <t>ORD-10777</t>
  </si>
  <si>
    <t>ORD-10778</t>
  </si>
  <si>
    <t>ORD-10779</t>
  </si>
  <si>
    <t>ORD-10780</t>
  </si>
  <si>
    <t>ORD-10781</t>
  </si>
  <si>
    <t>ORD-10782</t>
  </si>
  <si>
    <t>ORD-10783</t>
  </si>
  <si>
    <t>ORD-10784</t>
  </si>
  <si>
    <t>ORD-10785</t>
  </si>
  <si>
    <t>ORD-10786</t>
  </si>
  <si>
    <t>ORD-10787</t>
  </si>
  <si>
    <t>ORD-10788</t>
  </si>
  <si>
    <t>ORD-10789</t>
  </si>
  <si>
    <t>ORD-10790</t>
  </si>
  <si>
    <t>ORD-10791</t>
  </si>
  <si>
    <t>ORD-10792</t>
  </si>
  <si>
    <t>ORD-10793</t>
  </si>
  <si>
    <t>ORD-10794</t>
  </si>
  <si>
    <t>ORD-10795</t>
  </si>
  <si>
    <t>ORD-10796</t>
  </si>
  <si>
    <t>ORD-10797</t>
  </si>
  <si>
    <t>ORD-10798</t>
  </si>
  <si>
    <t>ORD-10799</t>
  </si>
  <si>
    <t>ORD-10800</t>
  </si>
  <si>
    <t>ORD-10801</t>
  </si>
  <si>
    <t>ORD-10802</t>
  </si>
  <si>
    <t>ORD-10803</t>
  </si>
  <si>
    <t>ORD-10804</t>
  </si>
  <si>
    <t>ORD-10805</t>
  </si>
  <si>
    <t>ORD-10806</t>
  </si>
  <si>
    <t>ORD-10807</t>
  </si>
  <si>
    <t>ORD-10808</t>
  </si>
  <si>
    <t>ORD-10809</t>
  </si>
  <si>
    <t>ORD-10810</t>
  </si>
  <si>
    <t>ORD-10811</t>
  </si>
  <si>
    <t>ORD-10812</t>
  </si>
  <si>
    <t>ORD-10813</t>
  </si>
  <si>
    <t>ORD-10814</t>
  </si>
  <si>
    <t>ORD-10815</t>
  </si>
  <si>
    <t>ORD-10816</t>
  </si>
  <si>
    <t>ORD-10817</t>
  </si>
  <si>
    <t>ORD-10818</t>
  </si>
  <si>
    <t>ORD-10819</t>
  </si>
  <si>
    <t>ORD-10820</t>
  </si>
  <si>
    <t>ORD-10821</t>
  </si>
  <si>
    <t>ORD-10822</t>
  </si>
  <si>
    <t>ORD-10823</t>
  </si>
  <si>
    <t>ORD-10824</t>
  </si>
  <si>
    <t>ORD-10825</t>
  </si>
  <si>
    <t>ORD-10826</t>
  </si>
  <si>
    <t>ORD-10827</t>
  </si>
  <si>
    <t>ORD-10828</t>
  </si>
  <si>
    <t>ORD-10829</t>
  </si>
  <si>
    <t>ORD-10830</t>
  </si>
  <si>
    <t>ORD-10831</t>
  </si>
  <si>
    <t>ORD-10832</t>
  </si>
  <si>
    <t>ORD-10833</t>
  </si>
  <si>
    <t>ORD-10834</t>
  </si>
  <si>
    <t>ORD-10835</t>
  </si>
  <si>
    <t>ORD-10836</t>
  </si>
  <si>
    <t>ORD-10837</t>
  </si>
  <si>
    <t>ORD-10838</t>
  </si>
  <si>
    <t>ORD-10839</t>
  </si>
  <si>
    <t>ORD-10840</t>
  </si>
  <si>
    <t>ORD-10841</t>
  </si>
  <si>
    <t>ORD-10842</t>
  </si>
  <si>
    <t>ORD-10843</t>
  </si>
  <si>
    <t>ORD-10844</t>
  </si>
  <si>
    <t>ORD-10845</t>
  </si>
  <si>
    <t>ORD-10846</t>
  </si>
  <si>
    <t>ORD-10847</t>
  </si>
  <si>
    <t>ORD-10848</t>
  </si>
  <si>
    <t>ORD-10849</t>
  </si>
  <si>
    <t>ORD-10850</t>
  </si>
  <si>
    <t>ORD-10851</t>
  </si>
  <si>
    <t>ORD-10852</t>
  </si>
  <si>
    <t>ORD-10853</t>
  </si>
  <si>
    <t>ORD-10854</t>
  </si>
  <si>
    <t>ORD-10855</t>
  </si>
  <si>
    <t>ORD-10856</t>
  </si>
  <si>
    <t>ORD-10857</t>
  </si>
  <si>
    <t>ORD-10858</t>
  </si>
  <si>
    <t>ORD-10859</t>
  </si>
  <si>
    <t>ORD-10860</t>
  </si>
  <si>
    <t>ORD-10861</t>
  </si>
  <si>
    <t>ORD-10862</t>
  </si>
  <si>
    <t>ORD-10863</t>
  </si>
  <si>
    <t>ORD-10864</t>
  </si>
  <si>
    <t>ORD-10865</t>
  </si>
  <si>
    <t>ORD-10866</t>
  </si>
  <si>
    <t>ORD-10867</t>
  </si>
  <si>
    <t>ORD-10868</t>
  </si>
  <si>
    <t>ORD-10869</t>
  </si>
  <si>
    <t>ORD-10870</t>
  </si>
  <si>
    <t>ORD-10871</t>
  </si>
  <si>
    <t>ORD-10872</t>
  </si>
  <si>
    <t>ORD-10873</t>
  </si>
  <si>
    <t>ORD-10874</t>
  </si>
  <si>
    <t>ORD-10875</t>
  </si>
  <si>
    <t>ORD-10876</t>
  </si>
  <si>
    <t>ORD-10877</t>
  </si>
  <si>
    <t>ORD-10878</t>
  </si>
  <si>
    <t>ORD-10879</t>
  </si>
  <si>
    <t>ORD-10880</t>
  </si>
  <si>
    <t>ORD-10881</t>
  </si>
  <si>
    <t>ORD-10882</t>
  </si>
  <si>
    <t>ORD-10883</t>
  </si>
  <si>
    <t>ORD-10884</t>
  </si>
  <si>
    <t>ORD-10885</t>
  </si>
  <si>
    <t>ORD-10886</t>
  </si>
  <si>
    <t>ORD-10887</t>
  </si>
  <si>
    <t>ORD-10888</t>
  </si>
  <si>
    <t>ORD-10889</t>
  </si>
  <si>
    <t>ORD-10890</t>
  </si>
  <si>
    <t>ORD-10891</t>
  </si>
  <si>
    <t>ORD-10892</t>
  </si>
  <si>
    <t>ORD-10893</t>
  </si>
  <si>
    <t>ORD-10894</t>
  </si>
  <si>
    <t>ORD-10895</t>
  </si>
  <si>
    <t>ORD-10896</t>
  </si>
  <si>
    <t>ORD-10897</t>
  </si>
  <si>
    <t>ORD-10898</t>
  </si>
  <si>
    <t>ORD-10899</t>
  </si>
  <si>
    <t>ORD-10900</t>
  </si>
  <si>
    <t>ORD-10901</t>
  </si>
  <si>
    <t>ORD-10902</t>
  </si>
  <si>
    <t>ORD-10903</t>
  </si>
  <si>
    <t>ORD-10904</t>
  </si>
  <si>
    <t>ORD-10905</t>
  </si>
  <si>
    <t>ORD-10906</t>
  </si>
  <si>
    <t>ORD-10907</t>
  </si>
  <si>
    <t>ORD-10908</t>
  </si>
  <si>
    <t>ORD-10909</t>
  </si>
  <si>
    <t>ORD-10910</t>
  </si>
  <si>
    <t>ORD-10911</t>
  </si>
  <si>
    <t>ORD-10912</t>
  </si>
  <si>
    <t>ORD-10913</t>
  </si>
  <si>
    <t>ORD-10914</t>
  </si>
  <si>
    <t>ORD-10915</t>
  </si>
  <si>
    <t>ORD-10916</t>
  </si>
  <si>
    <t>ORD-10917</t>
  </si>
  <si>
    <t>ORD-10918</t>
  </si>
  <si>
    <t>ORD-10919</t>
  </si>
  <si>
    <t>ORD-10920</t>
  </si>
  <si>
    <t>ORD-10921</t>
  </si>
  <si>
    <t>ORD-10922</t>
  </si>
  <si>
    <t>ORD-10923</t>
  </si>
  <si>
    <t>ORD-10924</t>
  </si>
  <si>
    <t>ORD-10925</t>
  </si>
  <si>
    <t>ORD-10926</t>
  </si>
  <si>
    <t>ORD-10927</t>
  </si>
  <si>
    <t>ORD-10928</t>
  </si>
  <si>
    <t>ORD-10929</t>
  </si>
  <si>
    <t>ORD-10930</t>
  </si>
  <si>
    <t>ORD-10931</t>
  </si>
  <si>
    <t>ORD-10932</t>
  </si>
  <si>
    <t>ORD-10933</t>
  </si>
  <si>
    <t>ORD-10934</t>
  </si>
  <si>
    <t>ORD-10935</t>
  </si>
  <si>
    <t>ORD-10936</t>
  </si>
  <si>
    <t>ORD-10937</t>
  </si>
  <si>
    <t>ORD-10938</t>
  </si>
  <si>
    <t>ORD-10939</t>
  </si>
  <si>
    <t>ORD-10940</t>
  </si>
  <si>
    <t>ORD-10941</t>
  </si>
  <si>
    <t>ORD-10942</t>
  </si>
  <si>
    <t>ORD-10943</t>
  </si>
  <si>
    <t>ORD-10944</t>
  </si>
  <si>
    <t>ORD-10945</t>
  </si>
  <si>
    <t>ORD-10946</t>
  </si>
  <si>
    <t>ORD-10947</t>
  </si>
  <si>
    <t>ORD-10948</t>
  </si>
  <si>
    <t>ORD-10949</t>
  </si>
  <si>
    <t>ORD-10950</t>
  </si>
  <si>
    <t>ORD-10951</t>
  </si>
  <si>
    <t>ORD-10952</t>
  </si>
  <si>
    <t>ORD-10953</t>
  </si>
  <si>
    <t>ORD-10954</t>
  </si>
  <si>
    <t>ORD-10955</t>
  </si>
  <si>
    <t>ORD-10956</t>
  </si>
  <si>
    <t>ORD-10957</t>
  </si>
  <si>
    <t>ORD-10958</t>
  </si>
  <si>
    <t>ORD-10959</t>
  </si>
  <si>
    <t>ORD-10960</t>
  </si>
  <si>
    <t>ORD-10961</t>
  </si>
  <si>
    <t>ORD-10962</t>
  </si>
  <si>
    <t>ORD-10963</t>
  </si>
  <si>
    <t>ORD-10964</t>
  </si>
  <si>
    <t>ORD-10965</t>
  </si>
  <si>
    <t>ORD-10966</t>
  </si>
  <si>
    <t>ORD-10967</t>
  </si>
  <si>
    <t>ORD-10968</t>
  </si>
  <si>
    <t>ORD-10969</t>
  </si>
  <si>
    <t>ORD-10970</t>
  </si>
  <si>
    <t>ORD-10971</t>
  </si>
  <si>
    <t>ORD-10972</t>
  </si>
  <si>
    <t>ORD-10973</t>
  </si>
  <si>
    <t>ORD-10974</t>
  </si>
  <si>
    <t>ORD-10975</t>
  </si>
  <si>
    <t>ORD-10976</t>
  </si>
  <si>
    <t>ORD-10977</t>
  </si>
  <si>
    <t>ORD-10978</t>
  </si>
  <si>
    <t>ORD-10979</t>
  </si>
  <si>
    <t>ORD-10980</t>
  </si>
  <si>
    <t>ORD-10981</t>
  </si>
  <si>
    <t>ORD-10982</t>
  </si>
  <si>
    <t>ORD-10983</t>
  </si>
  <si>
    <t>ORD-10984</t>
  </si>
  <si>
    <t>ORD-10985</t>
  </si>
  <si>
    <t>ORD-10986</t>
  </si>
  <si>
    <t>ORD-10987</t>
  </si>
  <si>
    <t>ORD-10988</t>
  </si>
  <si>
    <t>ORD-10989</t>
  </si>
  <si>
    <t>ORD-10990</t>
  </si>
  <si>
    <t>ORD-10991</t>
  </si>
  <si>
    <t>ORD-10992</t>
  </si>
  <si>
    <t>ORD-10993</t>
  </si>
  <si>
    <t>ORD-10994</t>
  </si>
  <si>
    <t>ORD-10995</t>
  </si>
  <si>
    <t>ORD-10996</t>
  </si>
  <si>
    <t>ORD-10997</t>
  </si>
  <si>
    <t>ORD-10998</t>
  </si>
  <si>
    <t>ORD-10999</t>
  </si>
  <si>
    <t>ORD-11000</t>
  </si>
  <si>
    <t>ORD-11001</t>
  </si>
  <si>
    <t>ORD-11002</t>
  </si>
  <si>
    <t>ORD-11003</t>
  </si>
  <si>
    <t>ORD-11004</t>
  </si>
  <si>
    <t>ORD-11005</t>
  </si>
  <si>
    <t>ORD-11006</t>
  </si>
  <si>
    <t>ORD-11007</t>
  </si>
  <si>
    <t>ORD-11008</t>
  </si>
  <si>
    <t>ORD-11009</t>
  </si>
  <si>
    <t>ORD-11010</t>
  </si>
  <si>
    <t>ORD-11011</t>
  </si>
  <si>
    <t>ORD-11012</t>
  </si>
  <si>
    <t>ORD-11013</t>
  </si>
  <si>
    <t>ORD-11014</t>
  </si>
  <si>
    <t>ORD-11015</t>
  </si>
  <si>
    <t>ORD-11016</t>
  </si>
  <si>
    <t>ORD-11017</t>
  </si>
  <si>
    <t>ORD-11018</t>
  </si>
  <si>
    <t>ORD-11019</t>
  </si>
  <si>
    <t>ORD-11020</t>
  </si>
  <si>
    <t>ORD-11021</t>
  </si>
  <si>
    <t>ORD-11022</t>
  </si>
  <si>
    <t>ORD-11023</t>
  </si>
  <si>
    <t>ORD-11024</t>
  </si>
  <si>
    <t>ORD-11025</t>
  </si>
  <si>
    <t>ORD-11026</t>
  </si>
  <si>
    <t>ORD-11027</t>
  </si>
  <si>
    <t>ORD-11028</t>
  </si>
  <si>
    <t>ORD-11029</t>
  </si>
  <si>
    <t>ORD-11030</t>
  </si>
  <si>
    <t>ORD-11031</t>
  </si>
  <si>
    <t>ORD-11032</t>
  </si>
  <si>
    <t>ORD-11033</t>
  </si>
  <si>
    <t>ORD-11034</t>
  </si>
  <si>
    <t>ORD-11035</t>
  </si>
  <si>
    <t>ORD-11036</t>
  </si>
  <si>
    <t>ORD-11037</t>
  </si>
  <si>
    <t>ORD-11038</t>
  </si>
  <si>
    <t>ORD-11039</t>
  </si>
  <si>
    <t>ORD-11040</t>
  </si>
  <si>
    <t>ORD-11041</t>
  </si>
  <si>
    <t>ORD-11042</t>
  </si>
  <si>
    <t>ORD-11043</t>
  </si>
  <si>
    <t>ORD-11044</t>
  </si>
  <si>
    <t>ORD-11045</t>
  </si>
  <si>
    <t>ORD-11046</t>
  </si>
  <si>
    <t>ORD-11047</t>
  </si>
  <si>
    <t>ORD-11048</t>
  </si>
  <si>
    <t>ORD-11049</t>
  </si>
  <si>
    <t>ORD-11050</t>
  </si>
  <si>
    <t>ORD-11051</t>
  </si>
  <si>
    <t>ORD-11052</t>
  </si>
  <si>
    <t>ORD-11053</t>
  </si>
  <si>
    <t>ORD-11054</t>
  </si>
  <si>
    <t>ORD-11055</t>
  </si>
  <si>
    <t>ORD-11056</t>
  </si>
  <si>
    <t>ORD-11057</t>
  </si>
  <si>
    <t>ORD-11058</t>
  </si>
  <si>
    <t>ORD-11059</t>
  </si>
  <si>
    <t>ORD-11060</t>
  </si>
  <si>
    <t>ORD-11061</t>
  </si>
  <si>
    <t>ORD-11062</t>
  </si>
  <si>
    <t>ORD-11063</t>
  </si>
  <si>
    <t>ORD-11064</t>
  </si>
  <si>
    <t>ORD-11065</t>
  </si>
  <si>
    <t>ORD-11066</t>
  </si>
  <si>
    <t>ORD-11067</t>
  </si>
  <si>
    <t>ORD-11068</t>
  </si>
  <si>
    <t>ORD-11069</t>
  </si>
  <si>
    <t>ORD-11070</t>
  </si>
  <si>
    <t>ORD-11071</t>
  </si>
  <si>
    <t>ORD-11072</t>
  </si>
  <si>
    <t>ORD-11073</t>
  </si>
  <si>
    <t>ORD-11074</t>
  </si>
  <si>
    <t>ORD-11075</t>
  </si>
  <si>
    <t>ORD-11076</t>
  </si>
  <si>
    <t>ORD-11077</t>
  </si>
  <si>
    <t>ORD-11078</t>
  </si>
  <si>
    <t>ORD-11079</t>
  </si>
  <si>
    <t>ORD-11080</t>
  </si>
  <si>
    <t>ORD-11081</t>
  </si>
  <si>
    <t>ORD-11082</t>
  </si>
  <si>
    <t>ORD-11083</t>
  </si>
  <si>
    <t>ORD-11084</t>
  </si>
  <si>
    <t>ORD-11085</t>
  </si>
  <si>
    <t>ORD-11086</t>
  </si>
  <si>
    <t>ORD-11087</t>
  </si>
  <si>
    <t>ORD-11088</t>
  </si>
  <si>
    <t>ORD-11089</t>
  </si>
  <si>
    <t>ORD-11090</t>
  </si>
  <si>
    <t>ORD-11091</t>
  </si>
  <si>
    <t>ORD-11092</t>
  </si>
  <si>
    <t>ORD-11093</t>
  </si>
  <si>
    <t>ORD-11094</t>
  </si>
  <si>
    <t>ORD-11095</t>
  </si>
  <si>
    <t>ORD-11096</t>
  </si>
  <si>
    <t>ORD-11097</t>
  </si>
  <si>
    <t>ORD-11098</t>
  </si>
  <si>
    <t>ORD-11099</t>
  </si>
  <si>
    <t>ORD-11100</t>
  </si>
  <si>
    <t>ORD-11101</t>
  </si>
  <si>
    <t>ORD-11102</t>
  </si>
  <si>
    <t>ORD-11103</t>
  </si>
  <si>
    <t>ORD-11104</t>
  </si>
  <si>
    <t>ORD-11105</t>
  </si>
  <si>
    <t>ORD-11106</t>
  </si>
  <si>
    <t>ORD-11107</t>
  </si>
  <si>
    <t>ORD-11108</t>
  </si>
  <si>
    <t>ORD-11109</t>
  </si>
  <si>
    <t>ORD-11110</t>
  </si>
  <si>
    <t>ORD-11111</t>
  </si>
  <si>
    <t>ORD-11112</t>
  </si>
  <si>
    <t>ORD-11113</t>
  </si>
  <si>
    <t>ORD-11114</t>
  </si>
  <si>
    <t>ORD-11115</t>
  </si>
  <si>
    <t>ORD-11116</t>
  </si>
  <si>
    <t>ORD-11117</t>
  </si>
  <si>
    <t>ORD-11118</t>
  </si>
  <si>
    <t>ORD-11119</t>
  </si>
  <si>
    <t>ORD-11120</t>
  </si>
  <si>
    <t>ORD-11121</t>
  </si>
  <si>
    <t>ORD-11122</t>
  </si>
  <si>
    <t>ORD-11123</t>
  </si>
  <si>
    <t>ORD-11124</t>
  </si>
  <si>
    <t>ORD-11125</t>
  </si>
  <si>
    <t>ORD-11126</t>
  </si>
  <si>
    <t>ORD-11127</t>
  </si>
  <si>
    <t>ORD-11128</t>
  </si>
  <si>
    <t>ORD-11129</t>
  </si>
  <si>
    <t>ORD-11130</t>
  </si>
  <si>
    <t>ORD-11131</t>
  </si>
  <si>
    <t>ORD-11132</t>
  </si>
  <si>
    <t>ORD-11133</t>
  </si>
  <si>
    <t>ORD-11134</t>
  </si>
  <si>
    <t>ORD-11135</t>
  </si>
  <si>
    <t>ORD-11136</t>
  </si>
  <si>
    <t>ORD-11137</t>
  </si>
  <si>
    <t>ORD-11138</t>
  </si>
  <si>
    <t>ORD-11139</t>
  </si>
  <si>
    <t>ORD-11140</t>
  </si>
  <si>
    <t>ORD-11141</t>
  </si>
  <si>
    <t>ORD-11142</t>
  </si>
  <si>
    <t>ORD-11143</t>
  </si>
  <si>
    <t>ORD-11144</t>
  </si>
  <si>
    <t>ORD-11145</t>
  </si>
  <si>
    <t>ORD-11146</t>
  </si>
  <si>
    <t>ORD-11147</t>
  </si>
  <si>
    <t>ORD-11148</t>
  </si>
  <si>
    <t>ORD-11149</t>
  </si>
  <si>
    <t>ORD-11150</t>
  </si>
  <si>
    <t>ORD-11151</t>
  </si>
  <si>
    <t>ORD-11152</t>
  </si>
  <si>
    <t>ORD-11153</t>
  </si>
  <si>
    <t>ORD-11154</t>
  </si>
  <si>
    <t>ORD-11155</t>
  </si>
  <si>
    <t>ORD-11156</t>
  </si>
  <si>
    <t>ORD-11157</t>
  </si>
  <si>
    <t>ORD-11158</t>
  </si>
  <si>
    <t>ORD-11159</t>
  </si>
  <si>
    <t>ORD-11160</t>
  </si>
  <si>
    <t>ORD-11161</t>
  </si>
  <si>
    <t>ORD-11162</t>
  </si>
  <si>
    <t>ORD-11163</t>
  </si>
  <si>
    <t>ORD-11164</t>
  </si>
  <si>
    <t>ORD-11165</t>
  </si>
  <si>
    <t>ORD-11166</t>
  </si>
  <si>
    <t>ORD-11167</t>
  </si>
  <si>
    <t>ORD-11168</t>
  </si>
  <si>
    <t>ORD-11169</t>
  </si>
  <si>
    <t>ORD-11170</t>
  </si>
  <si>
    <t>ORD-11171</t>
  </si>
  <si>
    <t>ORD-11172</t>
  </si>
  <si>
    <t>ORD-11173</t>
  </si>
  <si>
    <t>ORD-11174</t>
  </si>
  <si>
    <t>ORD-11175</t>
  </si>
  <si>
    <t>ORD-11176</t>
  </si>
  <si>
    <t>ORD-11177</t>
  </si>
  <si>
    <t>ORD-11178</t>
  </si>
  <si>
    <t>ORD-11179</t>
  </si>
  <si>
    <t>ORD-11180</t>
  </si>
  <si>
    <t>ORD-11181</t>
  </si>
  <si>
    <t>ORD-11182</t>
  </si>
  <si>
    <t>ORD-11183</t>
  </si>
  <si>
    <t>ORD-11184</t>
  </si>
  <si>
    <t>ORD-11185</t>
  </si>
  <si>
    <t>ORD-11186</t>
  </si>
  <si>
    <t>ORD-11187</t>
  </si>
  <si>
    <t>ORD-11188</t>
  </si>
  <si>
    <t>ORD-11189</t>
  </si>
  <si>
    <t>ORD-11190</t>
  </si>
  <si>
    <t>ORD-11191</t>
  </si>
  <si>
    <t>ORD-11192</t>
  </si>
  <si>
    <t>ORD-11193</t>
  </si>
  <si>
    <t>ORD-11194</t>
  </si>
  <si>
    <t>ORD-11195</t>
  </si>
  <si>
    <t>ORD-11196</t>
  </si>
  <si>
    <t>ORD-11197</t>
  </si>
  <si>
    <t>ORD-11198</t>
  </si>
  <si>
    <t>ORD-11199</t>
  </si>
  <si>
    <t>ORD-11200</t>
  </si>
  <si>
    <t>Excel Project Practice Area</t>
  </si>
  <si>
    <t>Task</t>
  </si>
  <si>
    <t>What you should build</t>
  </si>
  <si>
    <t>Convert Sales_Data, Products and Customers into Excel Tables.</t>
  </si>
  <si>
    <t>Use XLOOKUP to bring Product Name, Category, Unit Price and Unit Cost into an Analysis table.</t>
  </si>
  <si>
    <t>Use XLOOKUP to bring Customer Segment into the Analysis table.</t>
  </si>
  <si>
    <t>Create formulas for Sales, Cost, Profit and Profit Margin.</t>
  </si>
  <si>
    <t>Use PivotTables for monthly sales, region, category, product, segment and channel analysis.</t>
  </si>
  <si>
    <t>Calculate return rate and average customer rating.</t>
  </si>
  <si>
    <t>Create KPI cards: Total Sales, Total Profit, Total Orders, Profit Margin.</t>
  </si>
  <si>
    <t>Create dashboard charts and slicers for Year, Region and Channel.</t>
  </si>
  <si>
    <t>Sales</t>
  </si>
  <si>
    <t>Cost</t>
  </si>
  <si>
    <t>Profit</t>
  </si>
  <si>
    <t>Profit Margin</t>
  </si>
  <si>
    <t>Grand Total</t>
  </si>
  <si>
    <t>&lt;2/1/2025</t>
  </si>
  <si>
    <t>2025</t>
  </si>
  <si>
    <t>2026</t>
  </si>
  <si>
    <t>Sum of Sales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</si>
  <si>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</si>
  <si>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</si>
  <si>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</si>
  <si>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</si>
  <si>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</si>
  <si>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</si>
  <si>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</si>
  <si>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</si>
  <si>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</si>
  <si>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</si>
  <si>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</si>
  <si>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</si>
  <si>
    <t>Row Labels</t>
  </si>
  <si>
    <t>Count of Order ID</t>
  </si>
  <si>
    <t>Return Rate</t>
  </si>
  <si>
    <t>Average of Customer Rating</t>
  </si>
  <si>
    <t>Total Sales</t>
  </si>
  <si>
    <t>Total Profit</t>
  </si>
  <si>
    <t xml:space="preserve">        Retail &amp; Operations Performance Dashboard</t>
  </si>
  <si>
    <t>Total Orders</t>
  </si>
  <si>
    <t>Avg Rating</t>
  </si>
  <si>
    <t>Monthly Sales Trend</t>
  </si>
  <si>
    <t>Sales by Region</t>
  </si>
  <si>
    <t>Sales by Category</t>
  </si>
  <si>
    <t>Top 5 Products by Sales</t>
  </si>
  <si>
    <t>Sales by Customer Segment</t>
  </si>
  <si>
    <t>Sales by Sales 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</si>
</sst>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dd\-mmm\-yyyy"/>
    <numFmt numFmtId="172" formatCode="&quot;$&quot;#,##0.00"/>
  </numFmts>
  <fonts count="8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b/>
      <sz val="15"/>
      <color rgb="FFFFFFFF"/>
      <name val="Carlito"/>
    </font>
    <font>
      <sz val="11"/>
      <name val="Carlito"/>
    </font>
    <font>
      <b/>
      <sz val="20"/>
      <color theme="0"/>
      <name val="Carlito"/>
    </font>
    <font>
      <sz val="20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33">
    <xf numFmtId="0" fontId="0" fillId="0" borderId="0" xfId="0"/>
    <xf numFmtId="0" fontId="2" fillId="3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3" fillId="2" borderId="0" xfId="0" applyNumberFormat="1" applyFont="1" applyFill="1" applyBorder="1"/>
    <xf numFmtId="0" fontId="3" fillId="2" borderId="0" xfId="0" applyNumberFormat="1" applyFont="1" applyFill="1" applyBorder="1" applyAlignment="1">
      <alignment wrapText="1"/>
    </xf>
    <xf numFmtId="0" fontId="2" fillId="0" borderId="0" xfId="0" applyNumberFormat="1" applyFont="1" applyFill="1" applyBorder="1" applyAlignment="1">
      <alignment wrapText="1"/>
    </xf>
    <xf numFmtId="164" fontId="0" fillId="0" borderId="0" xfId="0" applyNumberFormat="1" applyFont="1" applyFill="1" applyBorder="1"/>
    <xf numFmtId="0" fontId="3" fillId="2" borderId="0" xfId="0" applyNumberFormat="1" applyFont="1" applyFill="1" applyBorder="1" applyAlignment="1">
      <alignment horizontal="center"/>
    </xf>
    <xf numFmtId="165" fontId="0" fillId="0" borderId="0" xfId="0" applyNumberFormat="1" applyFont="1" applyFill="1" applyBorder="1"/>
    <xf numFmtId="9" fontId="0" fillId="0" borderId="0" xfId="0" applyNumberFormat="1" applyFont="1" applyFill="1" applyBorder="1"/>
    <xf numFmtId="0" fontId="1" fillId="2" borderId="0" xfId="0" applyNumberFormat="1" applyFont="1" applyFill="1" applyBorder="1" applyAlignment="1">
      <alignment horizontal="center" vertical="center"/>
    </xf>
    <xf numFmtId="0" fontId="0" fillId="0" borderId="0" xfId="0"/>
    <xf numFmtId="0" fontId="4" fillId="2" borderId="0" xfId="0" applyNumberFormat="1" applyFont="1" applyFill="1" applyBorder="1" applyAlignment="1">
      <alignment horizontal="center"/>
    </xf>
    <xf numFmtId="0" fontId="0" fillId="0" borderId="0" xfId="0" applyNumberFormat="1"/>
    <xf numFmtId="1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pivotButton="1"/>
    <xf numFmtId="9" fontId="0" fillId="0" borderId="0" xfId="1" applyFont="1"/>
    <xf numFmtId="10" fontId="0" fillId="0" borderId="0" xfId="1" applyNumberFormat="1" applyFont="1"/>
    <xf numFmtId="2" fontId="0" fillId="0" borderId="0" xfId="0" applyNumberFormat="1"/>
    <xf numFmtId="0" fontId="2" fillId="0" borderId="0" xfId="0" applyFont="1"/>
    <xf numFmtId="172" fontId="0" fillId="0" borderId="1" xfId="0" applyNumberFormat="1" applyBorder="1"/>
    <xf numFmtId="172" fontId="0" fillId="0" borderId="1" xfId="1" applyNumberFormat="1" applyFont="1" applyBorder="1"/>
    <xf numFmtId="0" fontId="0" fillId="0" borderId="1" xfId="0" applyBorder="1"/>
    <xf numFmtId="9" fontId="0" fillId="0" borderId="1" xfId="1" applyFont="1" applyBorder="1"/>
    <xf numFmtId="10" fontId="0" fillId="0" borderId="1" xfId="0" applyNumberFormat="1" applyBorder="1"/>
    <xf numFmtId="2" fontId="0" fillId="0" borderId="1" xfId="0" applyNumberFormat="1" applyBorder="1"/>
    <xf numFmtId="0" fontId="2" fillId="5" borderId="1" xfId="0" applyFont="1" applyFill="1" applyBorder="1"/>
    <xf numFmtId="10" fontId="2" fillId="5" borderId="1" xfId="0" applyNumberFormat="1" applyFont="1" applyFill="1" applyBorder="1"/>
    <xf numFmtId="0" fontId="2" fillId="6" borderId="0" xfId="0" applyFont="1" applyFill="1"/>
    <xf numFmtId="0" fontId="6" fillId="4" borderId="0" xfId="0" applyFont="1" applyFill="1"/>
    <xf numFmtId="0" fontId="7" fillId="4" borderId="0" xfId="0" applyFont="1" applyFill="1"/>
  </cellXfs>
  <cellStyles count="2">
    <cellStyle name="Normal" xfId="0" builtinId="0"/>
    <cellStyle name="Percent" xfId="1" builtinId="5"/>
  </cellStyles>
  <dxfs count="10">
    <dxf>
      <numFmt numFmtId="2" formatCode="0.00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[excel_business_analysis_dataset.xlsx]Monthly_Sales!PivotTable3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 (2025–2026)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846981627296588"/>
          <c:y val="0.25865522018081066"/>
          <c:w val="0.70925196850393701"/>
          <c:h val="0.43555263925342663"/>
        </c:manualLayout>
      </c:layout>
      <c:lineChart>
        <c:grouping val="standard"/>
        <c:varyColors val="0"/>
        <c:ser>
          <c:idx val="0"/>
          <c:order val="0"/>
          <c:tx>
            <c:strRef>
              <c:f>Monthly_Sales!$B$3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Monthly_Sales!$A$4:$A$27</c:f>
              <c:multiLvlStrCache>
                <c:ptCount val="21"/>
                <c:lvl>
                  <c:pt idx="1">
                    <c:v>Jan</c:v>
                  </c:pt>
                  <c:pt idx="2">
                    <c:v>Feb</c:v>
                  </c:pt>
                  <c:pt idx="3">
                    <c:v>Mar</c:v>
                  </c:pt>
                  <c:pt idx="4">
                    <c:v>Apr</c:v>
                  </c:pt>
                  <c:pt idx="5">
                    <c:v>May</c:v>
                  </c:pt>
                  <c:pt idx="6">
                    <c:v>Jun</c:v>
                  </c:pt>
                  <c:pt idx="7">
                    <c:v>Jul</c:v>
                  </c:pt>
                  <c:pt idx="8">
                    <c:v>Aug</c:v>
                  </c:pt>
                  <c:pt idx="9">
                    <c:v>Sept</c:v>
                  </c:pt>
                  <c:pt idx="10">
                    <c:v>Oct</c:v>
                  </c:pt>
                  <c:pt idx="11">
                    <c:v>Nov</c:v>
                  </c:pt>
                  <c:pt idx="12">
                    <c:v>Dec</c:v>
                  </c:pt>
                  <c:pt idx="13">
                    <c:v>Jan</c:v>
                  </c:pt>
                  <c:pt idx="14">
                    <c:v>Feb</c:v>
                  </c:pt>
                  <c:pt idx="15">
                    <c:v>Mar</c:v>
                  </c:pt>
                  <c:pt idx="16">
                    <c:v>Apr</c:v>
                  </c:pt>
                  <c:pt idx="17">
                    <c:v>May</c:v>
                  </c:pt>
                  <c:pt idx="18">
                    <c:v>Jun</c:v>
                  </c:pt>
                  <c:pt idx="19">
                    <c:v>Jul</c:v>
                  </c:pt>
                  <c:pt idx="20">
                    <c:v>Aug</c:v>
                  </c:pt>
                </c:lvl>
                <c:lvl>
                  <c:pt idx="0">
                    <c:v>&lt;2/1/2025</c:v>
                  </c:pt>
                  <c:pt idx="1">
                    <c:v>2025</c:v>
                  </c:pt>
                  <c:pt idx="13">
                    <c:v>2026</c:v>
                  </c:pt>
                </c:lvl>
              </c:multiLvlStrCache>
            </c:multiLvlStrRef>
          </c:cat>
          <c:val>
            <c:numRef>
              <c:f>Monthly_Sales!$B$4:$B$27</c:f>
              <c:numCache>
                <c:formatCode>General</c:formatCode>
                <c:ptCount val="21"/>
                <c:pt idx="1">
                  <c:v>22206.550000000003</c:v>
                </c:pt>
                <c:pt idx="2">
                  <c:v>21471.1</c:v>
                </c:pt>
                <c:pt idx="3">
                  <c:v>36290.299999999988</c:v>
                </c:pt>
                <c:pt idx="4">
                  <c:v>40434.799999999996</c:v>
                </c:pt>
                <c:pt idx="5">
                  <c:v>25769.8</c:v>
                </c:pt>
                <c:pt idx="6">
                  <c:v>22615</c:v>
                </c:pt>
                <c:pt idx="7">
                  <c:v>31152.799999999999</c:v>
                </c:pt>
                <c:pt idx="8">
                  <c:v>24810.899999999998</c:v>
                </c:pt>
                <c:pt idx="9">
                  <c:v>21480.25</c:v>
                </c:pt>
                <c:pt idx="10">
                  <c:v>47335.94999999999</c:v>
                </c:pt>
                <c:pt idx="11">
                  <c:v>26374.000000000004</c:v>
                </c:pt>
                <c:pt idx="12">
                  <c:v>19540.400000000001</c:v>
                </c:pt>
                <c:pt idx="13">
                  <c:v>25327.55</c:v>
                </c:pt>
                <c:pt idx="14">
                  <c:v>26102.95</c:v>
                </c:pt>
                <c:pt idx="15">
                  <c:v>33149.949999999997</c:v>
                </c:pt>
                <c:pt idx="16">
                  <c:v>32468.899999999994</c:v>
                </c:pt>
                <c:pt idx="17">
                  <c:v>48413.899999999994</c:v>
                </c:pt>
                <c:pt idx="18">
                  <c:v>24034.65</c:v>
                </c:pt>
                <c:pt idx="19">
                  <c:v>17846</c:v>
                </c:pt>
                <c:pt idx="20">
                  <c:v>22032.399999999998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9B-4146-8C99-40E8212170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5147215"/>
        <c:axId val="1508462607"/>
      </c:lineChart>
      <c:catAx>
        <c:axId val="1095147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462607"/>
        <c:crosses val="autoZero"/>
        <c:auto val="1"/>
        <c:lblAlgn val="ctr"/>
        <c:lblOffset val="100"/>
        <c:noMultiLvlLbl val="0"/>
      </c:catAx>
      <c:valAx>
        <c:axId val="150846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147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[excel_business_analysis_dataset.xlsx]Sales_By_Region!PivotTable5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 sz="1400" b="0" i="0" u="none" strike="noStrike" baseline="0"/>
              <a:t>Sales by Region</a:t>
            </a:r>
            <a:endParaRPr lang="en-SG"/>
          </a:p>
        </c:rich>
      </c:tx>
      <c:layout>
        <c:manualLayout>
          <c:xMode val="edge"/>
          <c:yMode val="edge"/>
          <c:x val="0.40783333333333333"/>
          <c:y val="7.76829979585885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Sales_By_Region!$B$3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Sales_By_Region!$A$4:$A$9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West</c:v>
                </c:pt>
                <c:pt idx="3">
                  <c:v>North</c:v>
                </c:pt>
                <c:pt idx="4">
                  <c:v>North-East</c:v>
                </c:pt>
              </c:strCache>
            </c:strRef>
          </c:cat>
          <c:val>
            <c:numRef>
              <c:f>Sales_By_Region!$B$4:$B$9</c:f>
              <c:numCache>
                <c:formatCode>General</c:formatCode>
                <c:ptCount val="5"/>
                <c:pt idx="0">
                  <c:v>150122.30000000002</c:v>
                </c:pt>
                <c:pt idx="1">
                  <c:v>118440.25</c:v>
                </c:pt>
                <c:pt idx="2">
                  <c:v>115811.39999999998</c:v>
                </c:pt>
                <c:pt idx="3">
                  <c:v>100391.95</c:v>
                </c:pt>
                <c:pt idx="4">
                  <c:v>84092.249999999956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BE-4C61-A073-294772F254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8473039"/>
        <c:axId val="117627951"/>
      </c:barChart>
      <c:catAx>
        <c:axId val="118473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27951"/>
        <c:crosses val="autoZero"/>
        <c:auto val="1"/>
        <c:lblAlgn val="ctr"/>
        <c:lblOffset val="100"/>
        <c:noMultiLvlLbl val="0"/>
      </c:catAx>
      <c:valAx>
        <c:axId val="117627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73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[excel_business_analysis_dataset.xlsx]Sales_By_Category!PivotTable6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 sz="1400" b="0" i="0" u="none" strike="noStrike" baseline="0"/>
              <a:t>Sales by Category</a:t>
            </a:r>
            <a:endParaRPr lang="en-US"/>
          </a:p>
        </c:rich>
      </c:tx>
      <c:layout>
        <c:manualLayout>
          <c:xMode val="edge"/>
          <c:yMode val="edge"/>
          <c:x val="0.4018748906386701"/>
          <c:y val="7.30533683289588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4413735783027122"/>
          <c:y val="0.25865522018081066"/>
          <c:w val="0.47089960629921263"/>
          <c:h val="0.62931576261300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Sales_By_Category!$B$3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Sales_By_Category!$A$4:$A$8</c:f>
              <c:strCache>
                <c:ptCount val="4"/>
                <c:pt idx="0">
                  <c:v>Technology</c:v>
                </c:pt>
                <c:pt idx="1">
                  <c:v>Furniture</c:v>
                </c:pt>
                <c:pt idx="2">
                  <c:v>Accessories</c:v>
                </c:pt>
                <c:pt idx="3">
                  <c:v>Office Supplies</c:v>
                </c:pt>
              </c:strCache>
            </c:strRef>
          </c:cat>
          <c:val>
            <c:numRef>
              <c:f>Sales_By_Category!$B$4:$B$8</c:f>
              <c:numCache>
                <c:formatCode>General</c:formatCode>
                <c:ptCount val="4"/>
                <c:pt idx="0">
                  <c:v>305560.2</c:v>
                </c:pt>
                <c:pt idx="1">
                  <c:v>204800.75</c:v>
                </c:pt>
                <c:pt idx="2">
                  <c:v>44533.049999999996</c:v>
                </c:pt>
                <c:pt idx="3">
                  <c:v>13964.149999999994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CB-4A87-BAA6-02E74433C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5752927"/>
        <c:axId val="117629391"/>
      </c:barChart>
      <c:catAx>
        <c:axId val="115752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29391"/>
        <c:crosses val="autoZero"/>
        <c:auto val="1"/>
        <c:lblAlgn val="ctr"/>
        <c:lblOffset val="100"/>
        <c:noMultiLvlLbl val="0"/>
      </c:catAx>
      <c:valAx>
        <c:axId val="117629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52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[excel_business_analysis_dataset.xlsx]Top_5_Products!PivotTable7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 sz="1400" b="0" i="0" u="none" strike="noStrike" baseline="0"/>
              <a:t>Top 5 Products by Sales</a:t>
            </a:r>
            <a:endParaRPr lang="en-SG"/>
          </a:p>
        </c:rich>
      </c:tx>
      <c:layout>
        <c:manualLayout>
          <c:xMode val="edge"/>
          <c:yMode val="edge"/>
          <c:x val="0.3634722222222222"/>
          <c:y val="7.76829979585885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Top_5_Products!$B$3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Top_5_Products!$A$4:$A$9</c:f>
              <c:strCache>
                <c:ptCount val="5"/>
                <c:pt idx="0">
                  <c:v>Laptop</c:v>
                </c:pt>
                <c:pt idx="1">
                  <c:v>Standing Desk</c:v>
                </c:pt>
                <c:pt idx="2">
                  <c:v>Monitor</c:v>
                </c:pt>
                <c:pt idx="3">
                  <c:v>Office Chair</c:v>
                </c:pt>
                <c:pt idx="4">
                  <c:v>Bookshelf</c:v>
                </c:pt>
              </c:strCache>
            </c:strRef>
          </c:cat>
          <c:val>
            <c:numRef>
              <c:f>Top_5_Products!$B$4:$B$9</c:f>
              <c:numCache>
                <c:formatCode>General</c:formatCode>
                <c:ptCount val="5"/>
                <c:pt idx="0">
                  <c:v>183590</c:v>
                </c:pt>
                <c:pt idx="1">
                  <c:v>117018</c:v>
                </c:pt>
                <c:pt idx="2">
                  <c:v>58590</c:v>
                </c:pt>
                <c:pt idx="3">
                  <c:v>47277</c:v>
                </c:pt>
                <c:pt idx="4">
                  <c:v>40505.75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D6-4A79-B581-DC404BE09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5750607"/>
        <c:axId val="117599631"/>
      </c:barChart>
      <c:catAx>
        <c:axId val="115750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99631"/>
        <c:crosses val="autoZero"/>
        <c:auto val="1"/>
        <c:lblAlgn val="ctr"/>
        <c:lblOffset val="100"/>
        <c:noMultiLvlLbl val="0"/>
      </c:catAx>
      <c:valAx>
        <c:axId val="117599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50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[excel_business_analysis_dataset.xlsx]Sales_By_Segment!PivotTable8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 sz="1400" b="0" i="0" u="none" strike="noStrike" baseline="0"/>
              <a:t>Sales by Customer Segment</a:t>
            </a:r>
            <a:endParaRPr lang="en-SG"/>
          </a:p>
        </c:rich>
      </c:tx>
      <c:layout>
        <c:manualLayout>
          <c:xMode val="edge"/>
          <c:yMode val="edge"/>
          <c:x val="0.35128455818022741"/>
          <c:y val="8.69422572178477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Sales_By_Segment!$B$3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Sales_By_Segment!$A$4:$A$7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Small Business</c:v>
                </c:pt>
              </c:strCache>
            </c:strRef>
          </c:cat>
          <c:val>
            <c:numRef>
              <c:f>Sales_By_Segment!$B$4:$B$7</c:f>
              <c:numCache>
                <c:formatCode>General</c:formatCode>
                <c:ptCount val="3"/>
                <c:pt idx="0">
                  <c:v>268511.79999999993</c:v>
                </c:pt>
                <c:pt idx="1">
                  <c:v>164755.64999999997</c:v>
                </c:pt>
                <c:pt idx="2">
                  <c:v>135590.69999999995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9B-4764-B20A-9F79DEF2E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5761279"/>
        <c:axId val="117615951"/>
      </c:barChart>
      <c:catAx>
        <c:axId val="115761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15951"/>
        <c:crosses val="autoZero"/>
        <c:auto val="1"/>
        <c:lblAlgn val="ctr"/>
        <c:lblOffset val="100"/>
        <c:noMultiLvlLbl val="0"/>
      </c:catAx>
      <c:valAx>
        <c:axId val="117615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61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[excel_business_analysis_dataset.xlsx]Sales by Sales Channel!PivotTable9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 sz="1400" b="0" i="0" u="none" strike="noStrike" baseline="0"/>
              <a:t>Sales by Sales Channel</a:t>
            </a:r>
            <a:endParaRPr lang="en-S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Sales Channel'!$B$3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Sales Channel'!$A$4:$A$7</c:f>
              <c:strCache>
                <c:ptCount val="3"/>
                <c:pt idx="0">
                  <c:v>Online</c:v>
                </c:pt>
                <c:pt idx="1">
                  <c:v>Retail Store</c:v>
                </c:pt>
                <c:pt idx="2">
                  <c:v>B2B Sales</c:v>
                </c:pt>
              </c:strCache>
            </c:strRef>
          </c:cat>
          <c:val>
            <c:numRef>
              <c:f>'Sales by Sales Channel'!$B$4:$B$7</c:f>
              <c:numCache>
                <c:formatCode>General</c:formatCode>
                <c:ptCount val="3"/>
                <c:pt idx="0">
                  <c:v>265764.19999999984</c:v>
                </c:pt>
                <c:pt idx="1">
                  <c:v>202401.90000000005</c:v>
                </c:pt>
                <c:pt idx="2">
                  <c:v>100692.05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35-4848-AEF2-3177671E1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600703"/>
        <c:axId val="117598671"/>
      </c:barChart>
      <c:catAx>
        <c:axId val="105600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98671"/>
        <c:crosses val="autoZero"/>
        <c:auto val="1"/>
        <c:lblAlgn val="ctr"/>
        <c:lblOffset val="100"/>
        <c:noMultiLvlLbl val="0"/>
      </c:catAx>
      <c:valAx>
        <c:axId val="11759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00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[excel_business_analysis_dataset.xlsx]Monthly_Sales!PivotTable3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 (2025–2026)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846981627296588"/>
          <c:y val="0.25865522018081066"/>
          <c:w val="0.70925196850393701"/>
          <c:h val="0.43555263925342663"/>
        </c:manualLayout>
      </c:layout>
      <c:lineChart>
        <c:grouping val="standard"/>
        <c:varyColors val="0"/>
        <c:ser>
          <c:idx val="0"/>
          <c:order val="0"/>
          <c:tx>
            <c:strRef>
              <c:f>Monthly_Sales!$B$3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Monthly_Sales!$A$4:$A$27</c:f>
              <c:multiLvlStrCache>
                <c:ptCount val="21"/>
                <c:lvl>
                  <c:pt idx="1">
                    <c:v>Jan</c:v>
                  </c:pt>
                  <c:pt idx="2">
                    <c:v>Feb</c:v>
                  </c:pt>
                  <c:pt idx="3">
                    <c:v>Mar</c:v>
                  </c:pt>
                  <c:pt idx="4">
                    <c:v>Apr</c:v>
                  </c:pt>
                  <c:pt idx="5">
                    <c:v>May</c:v>
                  </c:pt>
                  <c:pt idx="6">
                    <c:v>Jun</c:v>
                  </c:pt>
                  <c:pt idx="7">
                    <c:v>Jul</c:v>
                  </c:pt>
                  <c:pt idx="8">
                    <c:v>Aug</c:v>
                  </c:pt>
                  <c:pt idx="9">
                    <c:v>Sept</c:v>
                  </c:pt>
                  <c:pt idx="10">
                    <c:v>Oct</c:v>
                  </c:pt>
                  <c:pt idx="11">
                    <c:v>Nov</c:v>
                  </c:pt>
                  <c:pt idx="12">
                    <c:v>Dec</c:v>
                  </c:pt>
                  <c:pt idx="13">
                    <c:v>Jan</c:v>
                  </c:pt>
                  <c:pt idx="14">
                    <c:v>Feb</c:v>
                  </c:pt>
                  <c:pt idx="15">
                    <c:v>Mar</c:v>
                  </c:pt>
                  <c:pt idx="16">
                    <c:v>Apr</c:v>
                  </c:pt>
                  <c:pt idx="17">
                    <c:v>May</c:v>
                  </c:pt>
                  <c:pt idx="18">
                    <c:v>Jun</c:v>
                  </c:pt>
                  <c:pt idx="19">
                    <c:v>Jul</c:v>
                  </c:pt>
                  <c:pt idx="20">
                    <c:v>Aug</c:v>
                  </c:pt>
                </c:lvl>
                <c:lvl>
                  <c:pt idx="0">
                    <c:v>&lt;2/1/2025</c:v>
                  </c:pt>
                  <c:pt idx="1">
                    <c:v>2025</c:v>
                  </c:pt>
                  <c:pt idx="13">
                    <c:v>2026</c:v>
                  </c:pt>
                </c:lvl>
              </c:multiLvlStrCache>
            </c:multiLvlStrRef>
          </c:cat>
          <c:val>
            <c:numRef>
              <c:f>Monthly_Sales!$B$4:$B$27</c:f>
              <c:numCache>
                <c:formatCode>General</c:formatCode>
                <c:ptCount val="21"/>
                <c:pt idx="1">
                  <c:v>22206.550000000003</c:v>
                </c:pt>
                <c:pt idx="2">
                  <c:v>21471.1</c:v>
                </c:pt>
                <c:pt idx="3">
                  <c:v>36290.299999999988</c:v>
                </c:pt>
                <c:pt idx="4">
                  <c:v>40434.799999999996</c:v>
                </c:pt>
                <c:pt idx="5">
                  <c:v>25769.8</c:v>
                </c:pt>
                <c:pt idx="6">
                  <c:v>22615</c:v>
                </c:pt>
                <c:pt idx="7">
                  <c:v>31152.799999999999</c:v>
                </c:pt>
                <c:pt idx="8">
                  <c:v>24810.899999999998</c:v>
                </c:pt>
                <c:pt idx="9">
                  <c:v>21480.25</c:v>
                </c:pt>
                <c:pt idx="10">
                  <c:v>47335.94999999999</c:v>
                </c:pt>
                <c:pt idx="11">
                  <c:v>26374.000000000004</c:v>
                </c:pt>
                <c:pt idx="12">
                  <c:v>19540.400000000001</c:v>
                </c:pt>
                <c:pt idx="13">
                  <c:v>25327.55</c:v>
                </c:pt>
                <c:pt idx="14">
                  <c:v>26102.95</c:v>
                </c:pt>
                <c:pt idx="15">
                  <c:v>33149.949999999997</c:v>
                </c:pt>
                <c:pt idx="16">
                  <c:v>32468.899999999994</c:v>
                </c:pt>
                <c:pt idx="17">
                  <c:v>48413.899999999994</c:v>
                </c:pt>
                <c:pt idx="18">
                  <c:v>24034.65</c:v>
                </c:pt>
                <c:pt idx="19">
                  <c:v>17846</c:v>
                </c:pt>
                <c:pt idx="20">
                  <c:v>22032.399999999998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3F-43D3-9A3D-D661B903C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5147215"/>
        <c:axId val="1508462607"/>
      </c:lineChart>
      <c:catAx>
        <c:axId val="1095147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462607"/>
        <c:crosses val="autoZero"/>
        <c:auto val="1"/>
        <c:lblAlgn val="ctr"/>
        <c:lblOffset val="100"/>
        <c:noMultiLvlLbl val="0"/>
      </c:catAx>
      <c:valAx>
        <c:axId val="150846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147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[excel_business_analysis_dataset.xlsx]Sales_By_Region!PivotTable5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 sz="1400" b="0" i="0" u="none" strike="noStrike" baseline="0"/>
              <a:t>Sales by Region</a:t>
            </a:r>
            <a:endParaRPr lang="en-SG"/>
          </a:p>
        </c:rich>
      </c:tx>
      <c:layout>
        <c:manualLayout>
          <c:xMode val="edge"/>
          <c:yMode val="edge"/>
          <c:x val="0.40783333333333333"/>
          <c:y val="7.76829979585885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Sales_By_Region!$B$3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Sales_By_Region!$A$4:$A$9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West</c:v>
                </c:pt>
                <c:pt idx="3">
                  <c:v>North</c:v>
                </c:pt>
                <c:pt idx="4">
                  <c:v>North-East</c:v>
                </c:pt>
              </c:strCache>
            </c:strRef>
          </c:cat>
          <c:val>
            <c:numRef>
              <c:f>Sales_By_Region!$B$4:$B$9</c:f>
              <c:numCache>
                <c:formatCode>General</c:formatCode>
                <c:ptCount val="5"/>
                <c:pt idx="0">
                  <c:v>150122.30000000002</c:v>
                </c:pt>
                <c:pt idx="1">
                  <c:v>118440.25</c:v>
                </c:pt>
                <c:pt idx="2">
                  <c:v>115811.39999999998</c:v>
                </c:pt>
                <c:pt idx="3">
                  <c:v>100391.95</c:v>
                </c:pt>
                <c:pt idx="4">
                  <c:v>84092.249999999956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E0-4F71-A603-5CD2F3571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8473039"/>
        <c:axId val="117627951"/>
      </c:barChart>
      <c:catAx>
        <c:axId val="118473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27951"/>
        <c:crosses val="autoZero"/>
        <c:auto val="1"/>
        <c:lblAlgn val="ctr"/>
        <c:lblOffset val="100"/>
        <c:noMultiLvlLbl val="0"/>
      </c:catAx>
      <c:valAx>
        <c:axId val="117627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73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[excel_business_analysis_dataset.xlsx]Sales_By_Category!PivotTable6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 sz="1400" b="0" i="0" u="none" strike="noStrike" baseline="0"/>
              <a:t>Sales by Category</a:t>
            </a:r>
            <a:endParaRPr lang="en-US"/>
          </a:p>
        </c:rich>
      </c:tx>
      <c:layout>
        <c:manualLayout>
          <c:xMode val="edge"/>
          <c:yMode val="edge"/>
          <c:x val="0.4018748906386701"/>
          <c:y val="7.30533683289588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4413735783027122"/>
          <c:y val="0.25865522018081066"/>
          <c:w val="0.47089960629921263"/>
          <c:h val="0.62931576261300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Sales_By_Category!$B$3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Sales_By_Category!$A$4:$A$8</c:f>
              <c:strCache>
                <c:ptCount val="4"/>
                <c:pt idx="0">
                  <c:v>Technology</c:v>
                </c:pt>
                <c:pt idx="1">
                  <c:v>Furniture</c:v>
                </c:pt>
                <c:pt idx="2">
                  <c:v>Accessories</c:v>
                </c:pt>
                <c:pt idx="3">
                  <c:v>Office Supplies</c:v>
                </c:pt>
              </c:strCache>
            </c:strRef>
          </c:cat>
          <c:val>
            <c:numRef>
              <c:f>Sales_By_Category!$B$4:$B$8</c:f>
              <c:numCache>
                <c:formatCode>General</c:formatCode>
                <c:ptCount val="4"/>
                <c:pt idx="0">
                  <c:v>305560.2</c:v>
                </c:pt>
                <c:pt idx="1">
                  <c:v>204800.75</c:v>
                </c:pt>
                <c:pt idx="2">
                  <c:v>44533.049999999996</c:v>
                </c:pt>
                <c:pt idx="3">
                  <c:v>13964.149999999994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1D-41FF-8001-04EFBFC08F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5752927"/>
        <c:axId val="117629391"/>
      </c:barChart>
      <c:catAx>
        <c:axId val="115752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29391"/>
        <c:crosses val="autoZero"/>
        <c:auto val="1"/>
        <c:lblAlgn val="ctr"/>
        <c:lblOffset val="100"/>
        <c:noMultiLvlLbl val="0"/>
      </c:catAx>
      <c:valAx>
        <c:axId val="117629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52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[excel_business_analysis_dataset.xlsx]Top_5_Products!PivotTable7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 sz="1400" b="0" i="0" u="none" strike="noStrike" baseline="0"/>
              <a:t>Top 5 Products by Sales</a:t>
            </a:r>
            <a:endParaRPr lang="en-SG"/>
          </a:p>
        </c:rich>
      </c:tx>
      <c:layout>
        <c:manualLayout>
          <c:xMode val="edge"/>
          <c:yMode val="edge"/>
          <c:x val="0.3634722222222222"/>
          <c:y val="7.76829979585885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Top_5_Products!$B$3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Top_5_Products!$A$4:$A$9</c:f>
              <c:strCache>
                <c:ptCount val="5"/>
                <c:pt idx="0">
                  <c:v>Laptop</c:v>
                </c:pt>
                <c:pt idx="1">
                  <c:v>Standing Desk</c:v>
                </c:pt>
                <c:pt idx="2">
                  <c:v>Monitor</c:v>
                </c:pt>
                <c:pt idx="3">
                  <c:v>Office Chair</c:v>
                </c:pt>
                <c:pt idx="4">
                  <c:v>Bookshelf</c:v>
                </c:pt>
              </c:strCache>
            </c:strRef>
          </c:cat>
          <c:val>
            <c:numRef>
              <c:f>Top_5_Products!$B$4:$B$9</c:f>
              <c:numCache>
                <c:formatCode>General</c:formatCode>
                <c:ptCount val="5"/>
                <c:pt idx="0">
                  <c:v>183590</c:v>
                </c:pt>
                <c:pt idx="1">
                  <c:v>117018</c:v>
                </c:pt>
                <c:pt idx="2">
                  <c:v>58590</c:v>
                </c:pt>
                <c:pt idx="3">
                  <c:v>47277</c:v>
                </c:pt>
                <c:pt idx="4">
                  <c:v>40505.75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53-49CB-A953-0A6FD90AC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5750607"/>
        <c:axId val="117599631"/>
      </c:barChart>
      <c:catAx>
        <c:axId val="115750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99631"/>
        <c:crosses val="autoZero"/>
        <c:auto val="1"/>
        <c:lblAlgn val="ctr"/>
        <c:lblOffset val="100"/>
        <c:noMultiLvlLbl val="0"/>
      </c:catAx>
      <c:valAx>
        <c:axId val="117599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50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[excel_business_analysis_dataset.xlsx]Sales_By_Segment!PivotTable8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 sz="1400" b="0" i="0" u="none" strike="noStrike" baseline="0"/>
              <a:t>Sales by Customer Segment</a:t>
            </a:r>
            <a:endParaRPr lang="en-SG"/>
          </a:p>
        </c:rich>
      </c:tx>
      <c:layout>
        <c:manualLayout>
          <c:xMode val="edge"/>
          <c:yMode val="edge"/>
          <c:x val="0.32072900262467191"/>
          <c:y val="7.76829979585885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Sales_By_Segment!$B$3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Sales_By_Segment!$A$4:$A$7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Small Business</c:v>
                </c:pt>
              </c:strCache>
            </c:strRef>
          </c:cat>
          <c:val>
            <c:numRef>
              <c:f>Sales_By_Segment!$B$4:$B$7</c:f>
              <c:numCache>
                <c:formatCode>General</c:formatCode>
                <c:ptCount val="3"/>
                <c:pt idx="0">
                  <c:v>268511.79999999993</c:v>
                </c:pt>
                <c:pt idx="1">
                  <c:v>164755.64999999997</c:v>
                </c:pt>
                <c:pt idx="2">
                  <c:v>135590.69999999995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CF-44CC-8467-869F43B0CA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5761279"/>
        <c:axId val="117615951"/>
      </c:barChart>
      <c:catAx>
        <c:axId val="115761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15951"/>
        <c:crosses val="autoZero"/>
        <c:auto val="1"/>
        <c:lblAlgn val="ctr"/>
        <c:lblOffset val="100"/>
        <c:noMultiLvlLbl val="0"/>
      </c:catAx>
      <c:valAx>
        <c:axId val="117615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61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[excel_business_analysis_dataset.xlsx]Sales by Sales Channel!PivotTable9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 sz="1400" b="0" i="0" u="none" strike="noStrike" baseline="0"/>
              <a:t>Sales by Sales Channel</a:t>
            </a:r>
            <a:endParaRPr lang="en-S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Sales Channel'!$B$3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Sales Channel'!$A$4:$A$7</c:f>
              <c:strCache>
                <c:ptCount val="3"/>
                <c:pt idx="0">
                  <c:v>Online</c:v>
                </c:pt>
                <c:pt idx="1">
                  <c:v>Retail Store</c:v>
                </c:pt>
                <c:pt idx="2">
                  <c:v>B2B Sales</c:v>
                </c:pt>
              </c:strCache>
            </c:strRef>
          </c:cat>
          <c:val>
            <c:numRef>
              <c:f>'Sales by Sales Channel'!$B$4:$B$7</c:f>
              <c:numCache>
                <c:formatCode>General</c:formatCode>
                <c:ptCount val="3"/>
                <c:pt idx="0">
                  <c:v>265764.19999999984</c:v>
                </c:pt>
                <c:pt idx="1">
                  <c:v>202401.90000000005</c:v>
                </c:pt>
                <c:pt idx="2">
                  <c:v>100692.05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E5-4B0A-94F7-E8B29AAD9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600703"/>
        <c:axId val="117598671"/>
      </c:barChart>
      <c:catAx>
        <c:axId val="105600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98671"/>
        <c:crosses val="autoZero"/>
        <c:auto val="1"/>
        <c:lblAlgn val="ctr"/>
        <c:lblOffset val="100"/>
        <c:noMultiLvlLbl val="0"/>
      </c:catAx>
      <c:valAx>
        <c:axId val="11759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00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</xdr:colOff>
      <xdr:row>2</xdr:row>
      <xdr:rowOff>0</xdr:rowOff>
    </xdr:from>
    <xdr:to>
      <xdr:col>10</xdr:col>
      <xdr:colOff>0</xdr:colOff>
      <xdr:row>17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A58C52-8812-F7B9-0379-D4CD94257D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</xdr:colOff>
      <xdr:row>2</xdr:row>
      <xdr:rowOff>15240</xdr:rowOff>
    </xdr:from>
    <xdr:to>
      <xdr:col>9</xdr:col>
      <xdr:colOff>552450</xdr:colOff>
      <xdr:row>17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A15E3F-BBF9-1AA4-239F-9475F7C961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</xdr:colOff>
      <xdr:row>2</xdr:row>
      <xdr:rowOff>7620</xdr:rowOff>
    </xdr:from>
    <xdr:to>
      <xdr:col>9</xdr:col>
      <xdr:colOff>552450</xdr:colOff>
      <xdr:row>17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79FA35-AB58-8FA7-60DF-4B76CC5A11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666750</xdr:colOff>
      <xdr:row>2</xdr:row>
      <xdr:rowOff>7620</xdr:rowOff>
    </xdr:from>
    <xdr:to>
      <xdr:col>9</xdr:col>
      <xdr:colOff>544830</xdr:colOff>
      <xdr:row>17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6684A4-95E9-28D1-24C2-42A70FE126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</xdr:colOff>
      <xdr:row>1</xdr:row>
      <xdr:rowOff>167640</xdr:rowOff>
    </xdr:from>
    <xdr:to>
      <xdr:col>9</xdr:col>
      <xdr:colOff>560070</xdr:colOff>
      <xdr:row>17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807EDD-6341-F1E8-2606-BFE6636448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</xdr:colOff>
      <xdr:row>1</xdr:row>
      <xdr:rowOff>167640</xdr:rowOff>
    </xdr:from>
    <xdr:to>
      <xdr:col>9</xdr:col>
      <xdr:colOff>560070</xdr:colOff>
      <xdr:row>17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0D78E3-E785-AD2E-2648-1141494D78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8965</xdr:rowOff>
    </xdr:from>
    <xdr:to>
      <xdr:col>3</xdr:col>
      <xdr:colOff>978722</xdr:colOff>
      <xdr:row>26</xdr:row>
      <xdr:rowOff>62753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3AD986-0CED-4934-956B-E7EBD4A03E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8964</xdr:colOff>
      <xdr:row>11</xdr:row>
      <xdr:rowOff>8964</xdr:rowOff>
    </xdr:from>
    <xdr:to>
      <xdr:col>6</xdr:col>
      <xdr:colOff>869576</xdr:colOff>
      <xdr:row>26</xdr:row>
      <xdr:rowOff>62752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127F02-F134-440F-A539-F217EC3DE4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3</xdr:col>
      <xdr:colOff>860612</xdr:colOff>
      <xdr:row>47</xdr:row>
      <xdr:rowOff>53788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86E7CB6-4C16-497E-84A0-9033B4D704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32</xdr:row>
      <xdr:rowOff>0</xdr:rowOff>
    </xdr:from>
    <xdr:to>
      <xdr:col>6</xdr:col>
      <xdr:colOff>788895</xdr:colOff>
      <xdr:row>47</xdr:row>
      <xdr:rowOff>53788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A824491-1410-4A88-A884-AF2A8F999A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11</xdr:row>
      <xdr:rowOff>0</xdr:rowOff>
    </xdr:from>
    <xdr:to>
      <xdr:col>11</xdr:col>
      <xdr:colOff>502023</xdr:colOff>
      <xdr:row>26</xdr:row>
      <xdr:rowOff>53788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BE57ED7-4A49-4154-B865-ED236368CE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32</xdr:row>
      <xdr:rowOff>0</xdr:rowOff>
    </xdr:from>
    <xdr:to>
      <xdr:col>11</xdr:col>
      <xdr:colOff>502023</xdr:colOff>
      <xdr:row>47</xdr:row>
      <xdr:rowOff>53788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B49BF9A-B922-47C5-A5E2-629CC9E302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e Chan Myat Phyo" refreshedDate="46282.425348032404" createdVersion="8" refreshedVersion="8" minRefreshableVersion="3" recordCount="1201" xr:uid="{E10E335C-865E-49D6-B7DC-41AD4C64DC59}">
  <cacheSource type="worksheet">
    <worksheetSource ref="A1:T1048576" sheet="Sales_Data"/>
  </cacheSource>
  <cacheFields count="23">
    <cacheField name="Order ID" numFmtId="0">
      <sharedItems containsBlank="1"/>
    </cacheField>
    <cacheField name="Order Date" numFmtId="0">
      <sharedItems containsNonDate="0" containsDate="1" containsString="0" containsBlank="1" minDate="2025-01-02T00:00:00" maxDate="2026-09-01T00:00:00" count="538">
        <d v="2025-06-02T00:00:00"/>
        <d v="2026-01-02T00:00:00"/>
        <d v="2025-07-01T00:00:00"/>
        <d v="2025-10-01T00:00:00"/>
        <d v="2025-01-25T00:00:00"/>
        <d v="2025-12-06T00:00:00"/>
        <d v="2025-11-18T00:00:00"/>
        <d v="2025-07-21T00:00:00"/>
        <d v="2026-06-04T00:00:00"/>
        <d v="2026-08-06T00:00:00"/>
        <d v="2026-03-29T00:00:00"/>
        <d v="2025-12-10T00:00:00"/>
        <d v="2026-04-12T00:00:00"/>
        <d v="2026-03-12T00:00:00"/>
        <d v="2026-06-28T00:00:00"/>
        <d v="2026-04-02T00:00:00"/>
        <d v="2025-10-09T00:00:00"/>
        <d v="2025-06-06T00:00:00"/>
        <d v="2025-01-21T00:00:00"/>
        <d v="2026-07-14T00:00:00"/>
        <d v="2026-04-24T00:00:00"/>
        <d v="2025-02-21T00:00:00"/>
        <d v="2025-09-16T00:00:00"/>
        <d v="2025-02-01T00:00:00"/>
        <d v="2025-09-20T00:00:00"/>
        <d v="2025-01-27T00:00:00"/>
        <d v="2026-08-03T00:00:00"/>
        <d v="2025-04-19T00:00:00"/>
        <d v="2026-07-06T00:00:00"/>
        <d v="2026-04-21T00:00:00"/>
        <d v="2025-10-10T00:00:00"/>
        <d v="2026-05-18T00:00:00"/>
        <d v="2025-12-19T00:00:00"/>
        <d v="2025-07-09T00:00:00"/>
        <d v="2025-10-31T00:00:00"/>
        <d v="2025-04-16T00:00:00"/>
        <d v="2026-05-19T00:00:00"/>
        <d v="2025-08-20T00:00:00"/>
        <d v="2025-04-12T00:00:00"/>
        <d v="2026-04-27T00:00:00"/>
        <d v="2025-07-22T00:00:00"/>
        <d v="2025-02-10T00:00:00"/>
        <d v="2025-10-03T00:00:00"/>
        <d v="2026-02-15T00:00:00"/>
        <d v="2026-07-10T00:00:00"/>
        <d v="2025-10-22T00:00:00"/>
        <d v="2026-02-22T00:00:00"/>
        <d v="2026-06-06T00:00:00"/>
        <d v="2025-05-20T00:00:00"/>
        <d v="2026-08-09T00:00:00"/>
        <d v="2025-02-07T00:00:00"/>
        <d v="2025-06-08T00:00:00"/>
        <d v="2026-01-25T00:00:00"/>
        <d v="2025-04-11T00:00:00"/>
        <d v="2025-05-30T00:00:00"/>
        <d v="2026-05-25T00:00:00"/>
        <d v="2025-07-23T00:00:00"/>
        <d v="2025-01-09T00:00:00"/>
        <d v="2025-08-13T00:00:00"/>
        <d v="2025-11-13T00:00:00"/>
        <d v="2026-07-07T00:00:00"/>
        <d v="2025-04-28T00:00:00"/>
        <d v="2025-04-03T00:00:00"/>
        <d v="2025-04-21T00:00:00"/>
        <d v="2026-02-23T00:00:00"/>
        <d v="2026-04-10T00:00:00"/>
        <d v="2025-02-03T00:00:00"/>
        <d v="2025-03-04T00:00:00"/>
        <d v="2025-01-22T00:00:00"/>
        <d v="2025-08-27T00:00:00"/>
        <d v="2026-06-23T00:00:00"/>
        <d v="2026-06-18T00:00:00"/>
        <d v="2025-03-24T00:00:00"/>
        <d v="2025-10-29T00:00:00"/>
        <d v="2026-03-17T00:00:00"/>
        <d v="2026-01-19T00:00:00"/>
        <d v="2025-03-03T00:00:00"/>
        <d v="2026-01-12T00:00:00"/>
        <d v="2026-01-14T00:00:00"/>
        <d v="2025-10-06T00:00:00"/>
        <d v="2026-08-31T00:00:00"/>
        <d v="2025-09-19T00:00:00"/>
        <d v="2025-12-29T00:00:00"/>
        <d v="2026-02-19T00:00:00"/>
        <d v="2025-04-01T00:00:00"/>
        <d v="2025-06-22T00:00:00"/>
        <d v="2025-06-04T00:00:00"/>
        <d v="2025-02-08T00:00:00"/>
        <d v="2026-08-18T00:00:00"/>
        <d v="2026-04-07T00:00:00"/>
        <d v="2026-06-20T00:00:00"/>
        <d v="2025-03-09T00:00:00"/>
        <d v="2025-03-25T00:00:00"/>
        <d v="2025-11-14T00:00:00"/>
        <d v="2026-03-10T00:00:00"/>
        <d v="2026-01-21T00:00:00"/>
        <d v="2026-03-31T00:00:00"/>
        <d v="2026-03-28T00:00:00"/>
        <d v="2025-02-23T00:00:00"/>
        <d v="2026-04-06T00:00:00"/>
        <d v="2025-02-24T00:00:00"/>
        <d v="2025-05-21T00:00:00"/>
        <d v="2025-01-20T00:00:00"/>
        <d v="2025-05-05T00:00:00"/>
        <d v="2026-06-12T00:00:00"/>
        <d v="2026-06-21T00:00:00"/>
        <d v="2026-02-01T00:00:00"/>
        <d v="2025-05-17T00:00:00"/>
        <d v="2025-05-19T00:00:00"/>
        <d v="2026-07-11T00:00:00"/>
        <d v="2025-05-08T00:00:00"/>
        <d v="2026-06-16T00:00:00"/>
        <d v="2025-12-02T00:00:00"/>
        <d v="2026-03-22T00:00:00"/>
        <d v="2026-03-25T00:00:00"/>
        <d v="2026-01-15T00:00:00"/>
        <d v="2025-10-20T00:00:00"/>
        <d v="2025-03-08T00:00:00"/>
        <d v="2025-08-18T00:00:00"/>
        <d v="2025-05-13T00:00:00"/>
        <d v="2025-05-09T00:00:00"/>
        <d v="2025-03-22T00:00:00"/>
        <d v="2026-08-30T00:00:00"/>
        <d v="2025-02-16T00:00:00"/>
        <d v="2025-11-06T00:00:00"/>
        <d v="2026-03-05T00:00:00"/>
        <d v="2026-05-26T00:00:00"/>
        <d v="2025-10-16T00:00:00"/>
        <d v="2026-01-10T00:00:00"/>
        <d v="2025-10-14T00:00:00"/>
        <d v="2026-05-28T00:00:00"/>
        <d v="2026-07-31T00:00:00"/>
        <d v="2026-05-01T00:00:00"/>
        <d v="2025-09-06T00:00:00"/>
        <d v="2026-04-28T00:00:00"/>
        <d v="2026-06-30T00:00:00"/>
        <d v="2025-10-13T00:00:00"/>
        <d v="2026-05-07T00:00:00"/>
        <d v="2025-10-25T00:00:00"/>
        <d v="2025-10-05T00:00:00"/>
        <d v="2026-05-03T00:00:00"/>
        <d v="2026-07-02T00:00:00"/>
        <d v="2025-10-24T00:00:00"/>
        <d v="2026-05-21T00:00:00"/>
        <d v="2025-12-12T00:00:00"/>
        <d v="2025-05-24T00:00:00"/>
        <d v="2026-08-10T00:00:00"/>
        <d v="2025-11-15T00:00:00"/>
        <d v="2026-03-02T00:00:00"/>
        <d v="2025-06-18T00:00:00"/>
        <d v="2025-05-16T00:00:00"/>
        <d v="2025-08-12T00:00:00"/>
        <d v="2025-10-21T00:00:00"/>
        <d v="2026-04-05T00:00:00"/>
        <d v="2026-02-07T00:00:00"/>
        <d v="2026-03-11T00:00:00"/>
        <d v="2026-03-06T00:00:00"/>
        <d v="2026-03-26T00:00:00"/>
        <d v="2025-11-23T00:00:00"/>
        <d v="2026-08-29T00:00:00"/>
        <d v="2025-03-01T00:00:00"/>
        <d v="2026-07-27T00:00:00"/>
        <d v="2026-05-06T00:00:00"/>
        <d v="2025-09-25T00:00:00"/>
        <d v="2026-02-28T00:00:00"/>
        <d v="2025-12-04T00:00:00"/>
        <d v="2025-01-10T00:00:00"/>
        <d v="2026-06-29T00:00:00"/>
        <d v="2025-07-03T00:00:00"/>
        <d v="2026-01-18T00:00:00"/>
        <d v="2025-04-06T00:00:00"/>
        <d v="2025-03-20T00:00:00"/>
        <d v="2025-12-01T00:00:00"/>
        <d v="2025-11-21T00:00:00"/>
        <d v="2026-07-25T00:00:00"/>
        <d v="2025-10-26T00:00:00"/>
        <d v="2025-06-23T00:00:00"/>
        <d v="2026-01-05T00:00:00"/>
        <d v="2025-11-30T00:00:00"/>
        <d v="2025-01-28T00:00:00"/>
        <d v="2025-05-23T00:00:00"/>
        <d v="2025-04-22T00:00:00"/>
        <d v="2026-02-05T00:00:00"/>
        <d v="2025-11-16T00:00:00"/>
        <d v="2025-11-04T00:00:00"/>
        <d v="2026-07-20T00:00:00"/>
        <d v="2026-02-10T00:00:00"/>
        <d v="2026-08-15T00:00:00"/>
        <d v="2026-02-02T00:00:00"/>
        <d v="2026-08-28T00:00:00"/>
        <d v="2025-05-22T00:00:00"/>
        <d v="2025-10-23T00:00:00"/>
        <d v="2026-07-30T00:00:00"/>
        <d v="2025-10-27T00:00:00"/>
        <d v="2025-04-26T00:00:00"/>
        <d v="2025-03-02T00:00:00"/>
        <d v="2026-05-17T00:00:00"/>
        <d v="2026-01-13T00:00:00"/>
        <d v="2025-03-06T00:00:00"/>
        <d v="2025-05-14T00:00:00"/>
        <d v="2025-06-12T00:00:00"/>
        <d v="2025-08-28T00:00:00"/>
        <d v="2025-03-12T00:00:00"/>
        <d v="2026-03-30T00:00:00"/>
        <d v="2025-09-11T00:00:00"/>
        <d v="2026-06-15T00:00:00"/>
        <d v="2026-05-27T00:00:00"/>
        <d v="2026-07-04T00:00:00"/>
        <d v="2025-05-03T00:00:00"/>
        <d v="2026-01-16T00:00:00"/>
        <d v="2026-08-14T00:00:00"/>
        <d v="2026-08-11T00:00:00"/>
        <d v="2026-05-30T00:00:00"/>
        <d v="2025-05-26T00:00:00"/>
        <d v="2025-09-29T00:00:00"/>
        <d v="2025-06-01T00:00:00"/>
        <d v="2026-04-09T00:00:00"/>
        <d v="2025-06-13T00:00:00"/>
        <d v="2026-08-13T00:00:00"/>
        <d v="2025-06-29T00:00:00"/>
        <d v="2026-03-24T00:00:00"/>
        <d v="2025-12-22T00:00:00"/>
        <d v="2025-06-20T00:00:00"/>
        <d v="2025-06-16T00:00:00"/>
        <d v="2025-06-14T00:00:00"/>
        <d v="2026-03-21T00:00:00"/>
        <d v="2026-03-27T00:00:00"/>
        <d v="2026-08-27T00:00:00"/>
        <d v="2025-05-31T00:00:00"/>
        <d v="2025-07-26T00:00:00"/>
        <d v="2026-06-17T00:00:00"/>
        <d v="2026-08-20T00:00:00"/>
        <d v="2026-05-13T00:00:00"/>
        <d v="2025-02-20T00:00:00"/>
        <d v="2025-08-22T00:00:00"/>
        <d v="2026-06-03T00:00:00"/>
        <d v="2025-09-13T00:00:00"/>
        <d v="2026-04-23T00:00:00"/>
        <d v="2025-10-17T00:00:00"/>
        <d v="2025-07-12T00:00:00"/>
        <d v="2025-09-24T00:00:00"/>
        <d v="2025-07-19T00:00:00"/>
        <d v="2025-12-17T00:00:00"/>
        <d v="2025-11-26T00:00:00"/>
        <d v="2026-01-28T00:00:00"/>
        <d v="2025-10-04T00:00:00"/>
        <d v="2025-09-27T00:00:00"/>
        <d v="2025-08-29T00:00:00"/>
        <d v="2025-04-14T00:00:00"/>
        <d v="2026-01-04T00:00:00"/>
        <d v="2025-12-03T00:00:00"/>
        <d v="2026-04-13T00:00:00"/>
        <d v="2025-01-30T00:00:00"/>
        <d v="2025-12-21T00:00:00"/>
        <d v="2026-05-23T00:00:00"/>
        <d v="2026-02-17T00:00:00"/>
        <d v="2025-01-19T00:00:00"/>
        <d v="2026-06-05T00:00:00"/>
        <d v="2026-07-28T00:00:00"/>
        <d v="2026-07-15T00:00:00"/>
        <d v="2025-09-18T00:00:00"/>
        <d v="2025-02-17T00:00:00"/>
        <d v="2026-03-20T00:00:00"/>
        <d v="2025-08-11T00:00:00"/>
        <d v="2025-04-29T00:00:00"/>
        <d v="2025-01-14T00:00:00"/>
        <d v="2025-09-14T00:00:00"/>
        <d v="2026-07-29T00:00:00"/>
        <d v="2025-11-17T00:00:00"/>
        <d v="2026-08-26T00:00:00"/>
        <d v="2026-06-11T00:00:00"/>
        <d v="2025-04-05T00:00:00"/>
        <d v="2025-04-27T00:00:00"/>
        <d v="2026-05-14T00:00:00"/>
        <d v="2026-07-01T00:00:00"/>
        <d v="2025-03-15T00:00:00"/>
        <d v="2025-10-30T00:00:00"/>
        <d v="2026-07-23T00:00:00"/>
        <d v="2025-08-05T00:00:00"/>
        <d v="2026-07-17T00:00:00"/>
        <d v="2025-10-11T00:00:00"/>
        <d v="2025-09-02T00:00:00"/>
        <d v="2025-02-11T00:00:00"/>
        <d v="2026-04-26T00:00:00"/>
        <d v="2026-08-16T00:00:00"/>
        <d v="2026-06-13T00:00:00"/>
        <d v="2025-06-19T00:00:00"/>
        <d v="2026-03-01T00:00:00"/>
        <d v="2026-08-01T00:00:00"/>
        <d v="2025-05-27T00:00:00"/>
        <d v="2026-01-23T00:00:00"/>
        <d v="2025-01-02T00:00:00"/>
        <d v="2025-12-25T00:00:00"/>
        <d v="2025-11-20T00:00:00"/>
        <d v="2025-04-13T00:00:00"/>
        <d v="2025-04-04T00:00:00"/>
        <d v="2025-06-11T00:00:00"/>
        <d v="2026-04-11T00:00:00"/>
        <d v="2025-09-21T00:00:00"/>
        <d v="2026-04-17T00:00:00"/>
        <d v="2026-02-27T00:00:00"/>
        <d v="2025-07-02T00:00:00"/>
        <d v="2025-07-24T00:00:00"/>
        <d v="2026-08-12T00:00:00"/>
        <d v="2025-07-04T00:00:00"/>
        <d v="2025-07-20T00:00:00"/>
        <d v="2026-05-15T00:00:00"/>
        <d v="2026-03-08T00:00:00"/>
        <d v="2026-02-09T00:00:00"/>
        <d v="2026-07-16T00:00:00"/>
        <d v="2025-11-07T00:00:00"/>
        <d v="2026-05-04T00:00:00"/>
        <d v="2026-06-14T00:00:00"/>
        <d v="2025-07-16T00:00:00"/>
        <d v="2025-08-30T00:00:00"/>
        <d v="2026-05-02T00:00:00"/>
        <d v="2025-07-17T00:00:00"/>
        <d v="2025-07-14T00:00:00"/>
        <d v="2025-06-07T00:00:00"/>
        <d v="2025-02-02T00:00:00"/>
        <d v="2026-04-25T00:00:00"/>
        <d v="2026-06-26T00:00:00"/>
        <d v="2025-09-04T00:00:00"/>
        <d v="2025-02-05T00:00:00"/>
        <d v="2025-04-08T00:00:00"/>
        <d v="2026-03-03T00:00:00"/>
        <d v="2025-08-16T00:00:00"/>
        <d v="2025-03-29T00:00:00"/>
        <d v="2025-07-28T00:00:00"/>
        <d v="2025-02-14T00:00:00"/>
        <d v="2025-11-09T00:00:00"/>
        <d v="2025-12-16T00:00:00"/>
        <d v="2025-07-27T00:00:00"/>
        <d v="2025-05-15T00:00:00"/>
        <d v="2026-01-03T00:00:00"/>
        <d v="2025-02-25T00:00:00"/>
        <d v="2026-06-08T00:00:00"/>
        <d v="2025-05-29T00:00:00"/>
        <d v="2025-08-01T00:00:00"/>
        <d v="2026-03-14T00:00:00"/>
        <d v="2025-09-23T00:00:00"/>
        <d v="2025-11-12T00:00:00"/>
        <d v="2025-07-18T00:00:00"/>
        <d v="2025-11-19T00:00:00"/>
        <d v="2025-04-25T00:00:00"/>
        <d v="2025-12-15T00:00:00"/>
        <d v="2025-12-08T00:00:00"/>
        <d v="2025-11-25T00:00:00"/>
        <d v="2025-01-16T00:00:00"/>
        <d v="2025-06-25T00:00:00"/>
        <d v="2025-12-31T00:00:00"/>
        <d v="2025-09-22T00:00:00"/>
        <d v="2025-04-20T00:00:00"/>
        <d v="2026-01-29T00:00:00"/>
        <d v="2025-06-27T00:00:00"/>
        <d v="2025-03-13T00:00:00"/>
        <d v="2025-11-08T00:00:00"/>
        <d v="2025-11-22T00:00:00"/>
        <d v="2026-03-04T00:00:00"/>
        <d v="2026-05-29T00:00:00"/>
        <d v="2026-05-09T00:00:00"/>
        <d v="2025-10-12T00:00:00"/>
        <d v="2026-04-03T00:00:00"/>
        <d v="2025-12-20T00:00:00"/>
        <d v="2025-04-10T00:00:00"/>
        <d v="2025-10-18T00:00:00"/>
        <d v="2025-07-08T00:00:00"/>
        <d v="2026-05-05T00:00:00"/>
        <d v="2026-05-16T00:00:00"/>
        <d v="2025-03-07T00:00:00"/>
        <d v="2025-11-29T00:00:00"/>
        <d v="2025-08-24T00:00:00"/>
        <d v="2025-12-18T00:00:00"/>
        <d v="2025-03-30T00:00:00"/>
        <d v="2026-07-26T00:00:00"/>
        <d v="2025-06-15T00:00:00"/>
        <d v="2025-03-31T00:00:00"/>
        <d v="2026-04-15T00:00:00"/>
        <d v="2026-02-16T00:00:00"/>
        <d v="2026-01-20T00:00:00"/>
        <d v="2026-01-06T00:00:00"/>
        <d v="2025-06-21T00:00:00"/>
        <d v="2025-04-15T00:00:00"/>
        <d v="2026-07-19T00:00:00"/>
        <d v="2025-11-11T00:00:00"/>
        <d v="2025-02-13T00:00:00"/>
        <d v="2025-04-09T00:00:00"/>
        <d v="2026-08-17T00:00:00"/>
        <d v="2025-03-26T00:00:00"/>
        <d v="2026-08-19T00:00:00"/>
        <d v="2026-05-20T00:00:00"/>
        <d v="2025-10-19T00:00:00"/>
        <d v="2025-07-30T00:00:00"/>
        <d v="2025-03-19T00:00:00"/>
        <d v="2025-02-26T00:00:00"/>
        <d v="2026-02-11T00:00:00"/>
        <d v="2025-09-15T00:00:00"/>
        <d v="2025-11-05T00:00:00"/>
        <d v="2025-02-04T00:00:00"/>
        <d v="2026-02-25T00:00:00"/>
        <d v="2025-03-28T00:00:00"/>
        <d v="2025-08-23T00:00:00"/>
        <d v="2025-07-13T00:00:00"/>
        <d v="2025-01-05T00:00:00"/>
        <d v="2025-01-06T00:00:00"/>
        <d v="2026-02-13T00:00:00"/>
        <d v="2025-07-10T00:00:00"/>
        <d v="2026-06-24T00:00:00"/>
        <d v="2025-09-12T00:00:00"/>
        <d v="2025-08-03T00:00:00"/>
        <d v="2026-06-25T00:00:00"/>
        <d v="2025-04-24T00:00:00"/>
        <d v="2025-08-07T00:00:00"/>
        <d v="2025-04-18T00:00:00"/>
        <d v="2026-08-22T00:00:00"/>
        <d v="2025-05-11T00:00:00"/>
        <d v="2025-12-14T00:00:00"/>
        <d v="2025-11-28T00:00:00"/>
        <d v="2026-06-01T00:00:00"/>
        <d v="2026-08-23T00:00:00"/>
        <d v="2026-07-24T00:00:00"/>
        <d v="2025-09-09T00:00:00"/>
        <d v="2025-10-08T00:00:00"/>
        <d v="2025-03-16T00:00:00"/>
        <d v="2026-06-10T00:00:00"/>
        <d v="2025-11-03T00:00:00"/>
        <d v="2026-01-07T00:00:00"/>
        <d v="2025-12-13T00:00:00"/>
        <d v="2026-03-16T00:00:00"/>
        <d v="2025-05-10T00:00:00"/>
        <d v="2026-08-21T00:00:00"/>
        <d v="2025-06-10T00:00:00"/>
        <d v="2026-06-09T00:00:00"/>
        <d v="2025-07-15T00:00:00"/>
        <d v="2025-01-13T00:00:00"/>
        <d v="2025-07-29T00:00:00"/>
        <d v="2025-01-08T00:00:00"/>
        <d v="2026-02-26T00:00:00"/>
        <d v="2025-08-14T00:00:00"/>
        <d v="2025-12-07T00:00:00"/>
        <d v="2026-05-31T00:00:00"/>
        <d v="2026-01-26T00:00:00"/>
        <d v="2026-01-30T00:00:00"/>
        <d v="2026-02-12T00:00:00"/>
        <d v="2026-08-24T00:00:00"/>
        <d v="2026-06-22T00:00:00"/>
        <d v="2025-09-03T00:00:00"/>
        <d v="2025-10-28T00:00:00"/>
        <d v="2025-05-07T00:00:00"/>
        <d v="2026-01-22T00:00:00"/>
        <d v="2026-05-22T00:00:00"/>
        <d v="2026-03-09T00:00:00"/>
        <d v="2026-02-08T00:00:00"/>
        <d v="2025-11-02T00:00:00"/>
        <d v="2025-05-01T00:00:00"/>
        <d v="2025-05-18T00:00:00"/>
        <d v="2026-02-14T00:00:00"/>
        <d v="2025-11-10T00:00:00"/>
        <d v="2025-09-08T00:00:00"/>
        <d v="2026-01-11T00:00:00"/>
        <d v="2025-05-02T00:00:00"/>
        <d v="2026-02-03T00:00:00"/>
        <d v="2025-07-11T00:00:00"/>
        <d v="2026-03-13T00:00:00"/>
        <d v="2025-09-10T00:00:00"/>
        <d v="2025-03-18T00:00:00"/>
        <d v="2026-07-18T00:00:00"/>
        <d v="2025-01-23T00:00:00"/>
        <d v="2025-01-04T00:00:00"/>
        <d v="2025-01-11T00:00:00"/>
        <d v="2025-06-30T00:00:00"/>
        <d v="2025-10-02T00:00:00"/>
        <d v="2025-04-23T00:00:00"/>
        <d v="2025-02-27T00:00:00"/>
        <d v="2025-01-29T00:00:00"/>
        <d v="2025-08-02T00:00:00"/>
        <d v="2026-08-07T00:00:00"/>
        <d v="2025-11-24T00:00:00"/>
        <d v="2025-11-01T00:00:00"/>
        <d v="2026-08-08T00:00:00"/>
        <d v="2025-01-15T00:00:00"/>
        <d v="2026-07-12T00:00:00"/>
        <d v="2025-06-24T00:00:00"/>
        <d v="2026-05-11T00:00:00"/>
        <d v="2025-08-10T00:00:00"/>
        <d v="2025-09-17T00:00:00"/>
        <d v="2025-02-18T00:00:00"/>
        <d v="2026-06-19T00:00:00"/>
        <d v="2025-08-06T00:00:00"/>
        <d v="2026-01-27T00:00:00"/>
        <d v="2025-12-28T00:00:00"/>
        <d v="2026-03-07T00:00:00"/>
        <d v="2025-01-07T00:00:00"/>
        <d v="2025-05-28T00:00:00"/>
        <d v="2026-05-12T00:00:00"/>
        <d v="2025-07-25T00:00:00"/>
        <d v="2025-08-04T00:00:00"/>
        <d v="2025-08-26T00:00:00"/>
        <d v="2025-03-10T00:00:00"/>
        <d v="2025-02-22T00:00:00"/>
        <d v="2025-03-05T00:00:00"/>
        <d v="2026-08-05T00:00:00"/>
        <d v="2026-07-09T00:00:00"/>
        <d v="2025-02-09T00:00:00"/>
        <d v="2025-09-28T00:00:00"/>
        <d v="2026-07-08T00:00:00"/>
        <d v="2025-03-21T00:00:00"/>
        <d v="2026-03-18T00:00:00"/>
        <d v="2025-03-17T00:00:00"/>
        <d v="2025-07-31T00:00:00"/>
        <d v="2026-04-01T00:00:00"/>
        <d v="2025-11-27T00:00:00"/>
        <d v="2026-05-10T00:00:00"/>
        <d v="2026-08-04T00:00:00"/>
        <d v="2026-02-21T00:00:00"/>
        <d v="2026-04-18T00:00:00"/>
        <d v="2026-04-29T00:00:00"/>
        <d v="2026-07-05T00:00:00"/>
        <d v="2025-12-05T00:00:00"/>
        <d v="2025-10-07T00:00:00"/>
        <d v="2025-03-27T00:00:00"/>
        <d v="2025-06-09T00:00:00"/>
        <d v="2025-01-12T00:00:00"/>
        <d v="2025-03-23T00:00:00"/>
        <d v="2025-02-06T00:00:00"/>
        <d v="2025-04-30T00:00:00"/>
        <d v="2025-08-09T00:00:00"/>
        <d v="2025-12-27T00:00:00"/>
        <d v="2025-05-04T00:00:00"/>
        <d v="2026-01-08T00:00:00"/>
        <d v="2026-02-20T00:00:00"/>
        <d v="2025-06-03T00:00:00"/>
        <d v="2026-02-18T00:00:00"/>
        <d v="2026-02-04T00:00:00"/>
        <d v="2025-01-17T00:00:00"/>
        <d v="2025-12-30T00:00:00"/>
        <d v="2025-06-05T00:00:00"/>
        <m/>
      </sharedItems>
      <fieldGroup par="22"/>
    </cacheField>
    <cacheField name="Customer ID" numFmtId="0">
      <sharedItems containsBlank="1"/>
    </cacheField>
    <cacheField name="Product ID" numFmtId="0">
      <sharedItems containsBlank="1"/>
    </cacheField>
    <cacheField name="Region" numFmtId="0">
      <sharedItems containsBlank="1" count="6">
        <s v="West"/>
        <s v="North-East"/>
        <s v="Central"/>
        <s v="East"/>
        <s v="North"/>
        <m/>
      </sharedItems>
    </cacheField>
    <cacheField name="Sales Channel" numFmtId="0">
      <sharedItems containsBlank="1"/>
    </cacheField>
    <cacheField name="Quantity" numFmtId="0">
      <sharedItems containsString="0" containsBlank="1" containsNumber="1" containsInteger="1" minValue="1" maxValue="8"/>
    </cacheField>
    <cacheField name="Discount" numFmtId="0">
      <sharedItems containsString="0" containsBlank="1" containsNumber="1" minValue="0" maxValue="0.2"/>
    </cacheField>
    <cacheField name="Returned" numFmtId="0">
      <sharedItems containsBlank="1"/>
    </cacheField>
    <cacheField name="Customer Rating" numFmtId="0">
      <sharedItems containsString="0" containsBlank="1" containsNumber="1" containsInteger="1" minValue="1" maxValue="5"/>
    </cacheField>
    <cacheField name="Processing Days" numFmtId="0">
      <sharedItems containsString="0" containsBlank="1" containsNumber="1" containsInteger="1" minValue="1" maxValue="9"/>
    </cacheField>
    <cacheField name="Product Name" numFmtId="0">
      <sharedItems containsBlank="1"/>
    </cacheField>
    <cacheField name="Category" numFmtId="0">
      <sharedItems containsBlank="1"/>
    </cacheField>
    <cacheField name="Unit Price" numFmtId="0">
      <sharedItems containsString="0" containsBlank="1" containsNumber="1" containsInteger="1" minValue="17" maxValue="1100"/>
    </cacheField>
    <cacheField name="Unit Cost" numFmtId="0">
      <sharedItems containsString="0" containsBlank="1" containsNumber="1" containsInteger="1" minValue="8" maxValue="720"/>
    </cacheField>
    <cacheField name="Customer Segment" numFmtId="0">
      <sharedItems containsBlank="1"/>
    </cacheField>
    <cacheField name="Sales" numFmtId="0">
      <sharedItems containsString="0" containsBlank="1" containsNumber="1" minValue="13.600000000000001" maxValue="7700"/>
    </cacheField>
    <cacheField name="Cost" numFmtId="0">
      <sharedItems containsString="0" containsBlank="1" containsNumber="1" containsInteger="1" minValue="8" maxValue="5040"/>
    </cacheField>
    <cacheField name="Profit" numFmtId="0">
      <sharedItems containsString="0" containsBlank="1" containsNumber="1" minValue="5.6000000000000014" maxValue="2660"/>
    </cacheField>
    <cacheField name="Profit Margin" numFmtId="10">
      <sharedItems containsString="0" containsBlank="1" containsNumber="1" minValue="0.18181818181818182" maxValue="0.59375"/>
    </cacheField>
    <cacheField name="Months (Order Date)" numFmtId="0" databaseField="0">
      <fieldGroup base="1">
        <rangePr groupBy="months" startDate="2025-01-02T00:00:00" endDate="2026-09-01T00:00:00"/>
        <groupItems count="14">
          <s v="&lt;2/1/2025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1/9/2026"/>
        </groupItems>
      </fieldGroup>
    </cacheField>
    <cacheField name="Quarters (Order Date)" numFmtId="0" databaseField="0">
      <fieldGroup base="1">
        <rangePr groupBy="quarters" startDate="2025-01-02T00:00:00" endDate="2026-09-01T00:00:00"/>
        <groupItems count="6">
          <s v="&lt;2/1/2025"/>
          <s v="Qtr1"/>
          <s v="Qtr2"/>
          <s v="Qtr3"/>
          <s v="Qtr4"/>
          <s v="&gt;1/9/2026"/>
        </groupItems>
      </fieldGroup>
    </cacheField>
    <cacheField name="Years (Order Date)" numFmtId="0" databaseField="0">
      <fieldGroup base="1">
        <rangePr groupBy="years" startDate="2025-01-02T00:00:00" endDate="2026-09-01T00:00:00"/>
        <groupItems count="4">
          <s v="&lt;2/1/2025"/>
          <s v="2025"/>
          <s v="2026"/>
          <s v="&gt;1/9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e Chan Myat Phyo" refreshedDate="46282.42644722222" createdVersion="8" refreshedVersion="8" minRefreshableVersion="3" recordCount="1200" xr:uid="{E346DC3D-3486-4D47-BC7C-04D911BCEDD3}">
  <cacheSource type="worksheet">
    <worksheetSource name="SalesRawTable"/>
  </cacheSource>
  <cacheFields count="20">
    <cacheField name="Order ID" numFmtId="0">
      <sharedItems count="1200">
        <s v="ORD-10001"/>
        <s v="ORD-10002"/>
        <s v="ORD-10003"/>
        <s v="ORD-10004"/>
        <s v="ORD-10005"/>
        <s v="ORD-10006"/>
        <s v="ORD-10007"/>
        <s v="ORD-10008"/>
        <s v="ORD-10009"/>
        <s v="ORD-10010"/>
        <s v="ORD-10011"/>
        <s v="ORD-10012"/>
        <s v="ORD-10013"/>
        <s v="ORD-10014"/>
        <s v="ORD-10015"/>
        <s v="ORD-10016"/>
        <s v="ORD-10017"/>
        <s v="ORD-10018"/>
        <s v="ORD-10019"/>
        <s v="ORD-10020"/>
        <s v="ORD-10021"/>
        <s v="ORD-10022"/>
        <s v="ORD-10023"/>
        <s v="ORD-10024"/>
        <s v="ORD-10025"/>
        <s v="ORD-10026"/>
        <s v="ORD-10027"/>
        <s v="ORD-10028"/>
        <s v="ORD-10029"/>
        <s v="ORD-10030"/>
        <s v="ORD-10031"/>
        <s v="ORD-10032"/>
        <s v="ORD-10033"/>
        <s v="ORD-10034"/>
        <s v="ORD-10035"/>
        <s v="ORD-10036"/>
        <s v="ORD-10037"/>
        <s v="ORD-10038"/>
        <s v="ORD-10039"/>
        <s v="ORD-10040"/>
        <s v="ORD-10041"/>
        <s v="ORD-10042"/>
        <s v="ORD-10043"/>
        <s v="ORD-10044"/>
        <s v="ORD-10045"/>
        <s v="ORD-10046"/>
        <s v="ORD-10047"/>
        <s v="ORD-10048"/>
        <s v="ORD-10049"/>
        <s v="ORD-10050"/>
        <s v="ORD-10051"/>
        <s v="ORD-10052"/>
        <s v="ORD-10053"/>
        <s v="ORD-10054"/>
        <s v="ORD-10055"/>
        <s v="ORD-10056"/>
        <s v="ORD-10057"/>
        <s v="ORD-10058"/>
        <s v="ORD-10059"/>
        <s v="ORD-10060"/>
        <s v="ORD-10061"/>
        <s v="ORD-10062"/>
        <s v="ORD-10063"/>
        <s v="ORD-10064"/>
        <s v="ORD-10065"/>
        <s v="ORD-10066"/>
        <s v="ORD-10067"/>
        <s v="ORD-10068"/>
        <s v="ORD-10069"/>
        <s v="ORD-10070"/>
        <s v="ORD-10071"/>
        <s v="ORD-10072"/>
        <s v="ORD-10073"/>
        <s v="ORD-10074"/>
        <s v="ORD-10075"/>
        <s v="ORD-10076"/>
        <s v="ORD-10077"/>
        <s v="ORD-10078"/>
        <s v="ORD-10079"/>
        <s v="ORD-10080"/>
        <s v="ORD-10081"/>
        <s v="ORD-10082"/>
        <s v="ORD-10083"/>
        <s v="ORD-10084"/>
        <s v="ORD-10085"/>
        <s v="ORD-10086"/>
        <s v="ORD-10087"/>
        <s v="ORD-10088"/>
        <s v="ORD-10089"/>
        <s v="ORD-10090"/>
        <s v="ORD-10091"/>
        <s v="ORD-10092"/>
        <s v="ORD-10093"/>
        <s v="ORD-10094"/>
        <s v="ORD-10095"/>
        <s v="ORD-10096"/>
        <s v="ORD-10097"/>
        <s v="ORD-10098"/>
        <s v="ORD-10099"/>
        <s v="ORD-10100"/>
        <s v="ORD-10101"/>
        <s v="ORD-10102"/>
        <s v="ORD-10103"/>
        <s v="ORD-10104"/>
        <s v="ORD-10105"/>
        <s v="ORD-10106"/>
        <s v="ORD-10107"/>
        <s v="ORD-10108"/>
        <s v="ORD-10109"/>
        <s v="ORD-10110"/>
        <s v="ORD-10111"/>
        <s v="ORD-10112"/>
        <s v="ORD-10113"/>
        <s v="ORD-10114"/>
        <s v="ORD-10115"/>
        <s v="ORD-10116"/>
        <s v="ORD-10117"/>
        <s v="ORD-10118"/>
        <s v="ORD-10119"/>
        <s v="ORD-10120"/>
        <s v="ORD-10121"/>
        <s v="ORD-10122"/>
        <s v="ORD-10123"/>
        <s v="ORD-10124"/>
        <s v="ORD-10125"/>
        <s v="ORD-10126"/>
        <s v="ORD-10127"/>
        <s v="ORD-10128"/>
        <s v="ORD-10129"/>
        <s v="ORD-10130"/>
        <s v="ORD-10131"/>
        <s v="ORD-10132"/>
        <s v="ORD-10133"/>
        <s v="ORD-10134"/>
        <s v="ORD-10135"/>
        <s v="ORD-10136"/>
        <s v="ORD-10137"/>
        <s v="ORD-10138"/>
        <s v="ORD-10139"/>
        <s v="ORD-10140"/>
        <s v="ORD-10141"/>
        <s v="ORD-10142"/>
        <s v="ORD-10143"/>
        <s v="ORD-10144"/>
        <s v="ORD-10145"/>
        <s v="ORD-10146"/>
        <s v="ORD-10147"/>
        <s v="ORD-10148"/>
        <s v="ORD-10149"/>
        <s v="ORD-10150"/>
        <s v="ORD-10151"/>
        <s v="ORD-10152"/>
        <s v="ORD-10153"/>
        <s v="ORD-10154"/>
        <s v="ORD-10155"/>
        <s v="ORD-10156"/>
        <s v="ORD-10157"/>
        <s v="ORD-10158"/>
        <s v="ORD-10159"/>
        <s v="ORD-10160"/>
        <s v="ORD-10161"/>
        <s v="ORD-10162"/>
        <s v="ORD-10163"/>
        <s v="ORD-10164"/>
        <s v="ORD-10165"/>
        <s v="ORD-10166"/>
        <s v="ORD-10167"/>
        <s v="ORD-10168"/>
        <s v="ORD-10169"/>
        <s v="ORD-10170"/>
        <s v="ORD-10171"/>
        <s v="ORD-10172"/>
        <s v="ORD-10173"/>
        <s v="ORD-10174"/>
        <s v="ORD-10175"/>
        <s v="ORD-10176"/>
        <s v="ORD-10177"/>
        <s v="ORD-10178"/>
        <s v="ORD-10179"/>
        <s v="ORD-10180"/>
        <s v="ORD-10181"/>
        <s v="ORD-10182"/>
        <s v="ORD-10183"/>
        <s v="ORD-10184"/>
        <s v="ORD-10185"/>
        <s v="ORD-10186"/>
        <s v="ORD-10187"/>
        <s v="ORD-10188"/>
        <s v="ORD-10189"/>
        <s v="ORD-10190"/>
        <s v="ORD-10191"/>
        <s v="ORD-10192"/>
        <s v="ORD-10193"/>
        <s v="ORD-10194"/>
        <s v="ORD-10195"/>
        <s v="ORD-10196"/>
        <s v="ORD-10197"/>
        <s v="ORD-10198"/>
        <s v="ORD-10199"/>
        <s v="ORD-10200"/>
        <s v="ORD-10201"/>
        <s v="ORD-10202"/>
        <s v="ORD-10203"/>
        <s v="ORD-10204"/>
        <s v="ORD-10205"/>
        <s v="ORD-10206"/>
        <s v="ORD-10207"/>
        <s v="ORD-10208"/>
        <s v="ORD-10209"/>
        <s v="ORD-10210"/>
        <s v="ORD-10211"/>
        <s v="ORD-10212"/>
        <s v="ORD-10213"/>
        <s v="ORD-10214"/>
        <s v="ORD-10215"/>
        <s v="ORD-10216"/>
        <s v="ORD-10217"/>
        <s v="ORD-10218"/>
        <s v="ORD-10219"/>
        <s v="ORD-10220"/>
        <s v="ORD-10221"/>
        <s v="ORD-10222"/>
        <s v="ORD-10223"/>
        <s v="ORD-10224"/>
        <s v="ORD-10225"/>
        <s v="ORD-10226"/>
        <s v="ORD-10227"/>
        <s v="ORD-10228"/>
        <s v="ORD-10229"/>
        <s v="ORD-10230"/>
        <s v="ORD-10231"/>
        <s v="ORD-10232"/>
        <s v="ORD-10233"/>
        <s v="ORD-10234"/>
        <s v="ORD-10235"/>
        <s v="ORD-10236"/>
        <s v="ORD-10237"/>
        <s v="ORD-10238"/>
        <s v="ORD-10239"/>
        <s v="ORD-10240"/>
        <s v="ORD-10241"/>
        <s v="ORD-10242"/>
        <s v="ORD-10243"/>
        <s v="ORD-10244"/>
        <s v="ORD-10245"/>
        <s v="ORD-10246"/>
        <s v="ORD-10247"/>
        <s v="ORD-10248"/>
        <s v="ORD-10249"/>
        <s v="ORD-10250"/>
        <s v="ORD-10251"/>
        <s v="ORD-10252"/>
        <s v="ORD-10253"/>
        <s v="ORD-10254"/>
        <s v="ORD-10255"/>
        <s v="ORD-10256"/>
        <s v="ORD-10257"/>
        <s v="ORD-10258"/>
        <s v="ORD-10259"/>
        <s v="ORD-10260"/>
        <s v="ORD-10261"/>
        <s v="ORD-10262"/>
        <s v="ORD-10263"/>
        <s v="ORD-10264"/>
        <s v="ORD-10265"/>
        <s v="ORD-10266"/>
        <s v="ORD-10267"/>
        <s v="ORD-10268"/>
        <s v="ORD-10269"/>
        <s v="ORD-10270"/>
        <s v="ORD-10271"/>
        <s v="ORD-10272"/>
        <s v="ORD-10273"/>
        <s v="ORD-10274"/>
        <s v="ORD-10275"/>
        <s v="ORD-10276"/>
        <s v="ORD-10277"/>
        <s v="ORD-10278"/>
        <s v="ORD-10279"/>
        <s v="ORD-10280"/>
        <s v="ORD-10281"/>
        <s v="ORD-10282"/>
        <s v="ORD-10283"/>
        <s v="ORD-10284"/>
        <s v="ORD-10285"/>
        <s v="ORD-10286"/>
        <s v="ORD-10287"/>
        <s v="ORD-10288"/>
        <s v="ORD-10289"/>
        <s v="ORD-10290"/>
        <s v="ORD-10291"/>
        <s v="ORD-10292"/>
        <s v="ORD-10293"/>
        <s v="ORD-10294"/>
        <s v="ORD-10295"/>
        <s v="ORD-10296"/>
        <s v="ORD-10297"/>
        <s v="ORD-10298"/>
        <s v="ORD-10299"/>
        <s v="ORD-10300"/>
        <s v="ORD-10301"/>
        <s v="ORD-10302"/>
        <s v="ORD-10303"/>
        <s v="ORD-10304"/>
        <s v="ORD-10305"/>
        <s v="ORD-10306"/>
        <s v="ORD-10307"/>
        <s v="ORD-10308"/>
        <s v="ORD-10309"/>
        <s v="ORD-10310"/>
        <s v="ORD-10311"/>
        <s v="ORD-10312"/>
        <s v="ORD-10313"/>
        <s v="ORD-10314"/>
        <s v="ORD-10315"/>
        <s v="ORD-10316"/>
        <s v="ORD-10317"/>
        <s v="ORD-10318"/>
        <s v="ORD-10319"/>
        <s v="ORD-10320"/>
        <s v="ORD-10321"/>
        <s v="ORD-10322"/>
        <s v="ORD-10323"/>
        <s v="ORD-10324"/>
        <s v="ORD-10325"/>
        <s v="ORD-10326"/>
        <s v="ORD-10327"/>
        <s v="ORD-10328"/>
        <s v="ORD-10329"/>
        <s v="ORD-10330"/>
        <s v="ORD-10331"/>
        <s v="ORD-10332"/>
        <s v="ORD-10333"/>
        <s v="ORD-10334"/>
        <s v="ORD-10335"/>
        <s v="ORD-10336"/>
        <s v="ORD-10337"/>
        <s v="ORD-10338"/>
        <s v="ORD-10339"/>
        <s v="ORD-10340"/>
        <s v="ORD-10341"/>
        <s v="ORD-10342"/>
        <s v="ORD-10343"/>
        <s v="ORD-10344"/>
        <s v="ORD-10345"/>
        <s v="ORD-10346"/>
        <s v="ORD-10347"/>
        <s v="ORD-10348"/>
        <s v="ORD-10349"/>
        <s v="ORD-10350"/>
        <s v="ORD-10351"/>
        <s v="ORD-10352"/>
        <s v="ORD-10353"/>
        <s v="ORD-10354"/>
        <s v="ORD-10355"/>
        <s v="ORD-10356"/>
        <s v="ORD-10357"/>
        <s v="ORD-10358"/>
        <s v="ORD-10359"/>
        <s v="ORD-10360"/>
        <s v="ORD-10361"/>
        <s v="ORD-10362"/>
        <s v="ORD-10363"/>
        <s v="ORD-10364"/>
        <s v="ORD-10365"/>
        <s v="ORD-10366"/>
        <s v="ORD-10367"/>
        <s v="ORD-10368"/>
        <s v="ORD-10369"/>
        <s v="ORD-10370"/>
        <s v="ORD-10371"/>
        <s v="ORD-10372"/>
        <s v="ORD-10373"/>
        <s v="ORD-10374"/>
        <s v="ORD-10375"/>
        <s v="ORD-10376"/>
        <s v="ORD-10377"/>
        <s v="ORD-10378"/>
        <s v="ORD-10379"/>
        <s v="ORD-10380"/>
        <s v="ORD-10381"/>
        <s v="ORD-10382"/>
        <s v="ORD-10383"/>
        <s v="ORD-10384"/>
        <s v="ORD-10385"/>
        <s v="ORD-10386"/>
        <s v="ORD-10387"/>
        <s v="ORD-10388"/>
        <s v="ORD-10389"/>
        <s v="ORD-10390"/>
        <s v="ORD-10391"/>
        <s v="ORD-10392"/>
        <s v="ORD-10393"/>
        <s v="ORD-10394"/>
        <s v="ORD-10395"/>
        <s v="ORD-10396"/>
        <s v="ORD-10397"/>
        <s v="ORD-10398"/>
        <s v="ORD-10399"/>
        <s v="ORD-10400"/>
        <s v="ORD-10401"/>
        <s v="ORD-10402"/>
        <s v="ORD-10403"/>
        <s v="ORD-10404"/>
        <s v="ORD-10405"/>
        <s v="ORD-10406"/>
        <s v="ORD-10407"/>
        <s v="ORD-10408"/>
        <s v="ORD-10409"/>
        <s v="ORD-10410"/>
        <s v="ORD-10411"/>
        <s v="ORD-10412"/>
        <s v="ORD-10413"/>
        <s v="ORD-10414"/>
        <s v="ORD-10415"/>
        <s v="ORD-10416"/>
        <s v="ORD-10417"/>
        <s v="ORD-10418"/>
        <s v="ORD-10419"/>
        <s v="ORD-10420"/>
        <s v="ORD-10421"/>
        <s v="ORD-10422"/>
        <s v="ORD-10423"/>
        <s v="ORD-10424"/>
        <s v="ORD-10425"/>
        <s v="ORD-10426"/>
        <s v="ORD-10427"/>
        <s v="ORD-10428"/>
        <s v="ORD-10429"/>
        <s v="ORD-10430"/>
        <s v="ORD-10431"/>
        <s v="ORD-10432"/>
        <s v="ORD-10433"/>
        <s v="ORD-10434"/>
        <s v="ORD-10435"/>
        <s v="ORD-10436"/>
        <s v="ORD-10437"/>
        <s v="ORD-10438"/>
        <s v="ORD-10439"/>
        <s v="ORD-10440"/>
        <s v="ORD-10441"/>
        <s v="ORD-10442"/>
        <s v="ORD-10443"/>
        <s v="ORD-10444"/>
        <s v="ORD-10445"/>
        <s v="ORD-10446"/>
        <s v="ORD-10447"/>
        <s v="ORD-10448"/>
        <s v="ORD-10449"/>
        <s v="ORD-10450"/>
        <s v="ORD-10451"/>
        <s v="ORD-10452"/>
        <s v="ORD-10453"/>
        <s v="ORD-10454"/>
        <s v="ORD-10455"/>
        <s v="ORD-10456"/>
        <s v="ORD-10457"/>
        <s v="ORD-10458"/>
        <s v="ORD-10459"/>
        <s v="ORD-10460"/>
        <s v="ORD-10461"/>
        <s v="ORD-10462"/>
        <s v="ORD-10463"/>
        <s v="ORD-10464"/>
        <s v="ORD-10465"/>
        <s v="ORD-10466"/>
        <s v="ORD-10467"/>
        <s v="ORD-10468"/>
        <s v="ORD-10469"/>
        <s v="ORD-10470"/>
        <s v="ORD-10471"/>
        <s v="ORD-10472"/>
        <s v="ORD-10473"/>
        <s v="ORD-10474"/>
        <s v="ORD-10475"/>
        <s v="ORD-10476"/>
        <s v="ORD-10477"/>
        <s v="ORD-10478"/>
        <s v="ORD-10479"/>
        <s v="ORD-10480"/>
        <s v="ORD-10481"/>
        <s v="ORD-10482"/>
        <s v="ORD-10483"/>
        <s v="ORD-10484"/>
        <s v="ORD-10485"/>
        <s v="ORD-10486"/>
        <s v="ORD-10487"/>
        <s v="ORD-10488"/>
        <s v="ORD-10489"/>
        <s v="ORD-10490"/>
        <s v="ORD-10491"/>
        <s v="ORD-10492"/>
        <s v="ORD-10493"/>
        <s v="ORD-10494"/>
        <s v="ORD-10495"/>
        <s v="ORD-10496"/>
        <s v="ORD-10497"/>
        <s v="ORD-10498"/>
        <s v="ORD-10499"/>
        <s v="ORD-10500"/>
        <s v="ORD-10501"/>
        <s v="ORD-10502"/>
        <s v="ORD-10503"/>
        <s v="ORD-10504"/>
        <s v="ORD-10505"/>
        <s v="ORD-10506"/>
        <s v="ORD-10507"/>
        <s v="ORD-10508"/>
        <s v="ORD-10509"/>
        <s v="ORD-10510"/>
        <s v="ORD-10511"/>
        <s v="ORD-10512"/>
        <s v="ORD-10513"/>
        <s v="ORD-10514"/>
        <s v="ORD-10515"/>
        <s v="ORD-10516"/>
        <s v="ORD-10517"/>
        <s v="ORD-10518"/>
        <s v="ORD-10519"/>
        <s v="ORD-10520"/>
        <s v="ORD-10521"/>
        <s v="ORD-10522"/>
        <s v="ORD-10523"/>
        <s v="ORD-10524"/>
        <s v="ORD-10525"/>
        <s v="ORD-10526"/>
        <s v="ORD-10527"/>
        <s v="ORD-10528"/>
        <s v="ORD-10529"/>
        <s v="ORD-10530"/>
        <s v="ORD-10531"/>
        <s v="ORD-10532"/>
        <s v="ORD-10533"/>
        <s v="ORD-10534"/>
        <s v="ORD-10535"/>
        <s v="ORD-10536"/>
        <s v="ORD-10537"/>
        <s v="ORD-10538"/>
        <s v="ORD-10539"/>
        <s v="ORD-10540"/>
        <s v="ORD-10541"/>
        <s v="ORD-10542"/>
        <s v="ORD-10543"/>
        <s v="ORD-10544"/>
        <s v="ORD-10545"/>
        <s v="ORD-10546"/>
        <s v="ORD-10547"/>
        <s v="ORD-10548"/>
        <s v="ORD-10549"/>
        <s v="ORD-10550"/>
        <s v="ORD-10551"/>
        <s v="ORD-10552"/>
        <s v="ORD-10553"/>
        <s v="ORD-10554"/>
        <s v="ORD-10555"/>
        <s v="ORD-10556"/>
        <s v="ORD-10557"/>
        <s v="ORD-10558"/>
        <s v="ORD-10559"/>
        <s v="ORD-10560"/>
        <s v="ORD-10561"/>
        <s v="ORD-10562"/>
        <s v="ORD-10563"/>
        <s v="ORD-10564"/>
        <s v="ORD-10565"/>
        <s v="ORD-10566"/>
        <s v="ORD-10567"/>
        <s v="ORD-10568"/>
        <s v="ORD-10569"/>
        <s v="ORD-10570"/>
        <s v="ORD-10571"/>
        <s v="ORD-10572"/>
        <s v="ORD-10573"/>
        <s v="ORD-10574"/>
        <s v="ORD-10575"/>
        <s v="ORD-10576"/>
        <s v="ORD-10577"/>
        <s v="ORD-10578"/>
        <s v="ORD-10579"/>
        <s v="ORD-10580"/>
        <s v="ORD-10581"/>
        <s v="ORD-10582"/>
        <s v="ORD-10583"/>
        <s v="ORD-10584"/>
        <s v="ORD-10585"/>
        <s v="ORD-10586"/>
        <s v="ORD-10587"/>
        <s v="ORD-10588"/>
        <s v="ORD-10589"/>
        <s v="ORD-10590"/>
        <s v="ORD-10591"/>
        <s v="ORD-10592"/>
        <s v="ORD-10593"/>
        <s v="ORD-10594"/>
        <s v="ORD-10595"/>
        <s v="ORD-10596"/>
        <s v="ORD-10597"/>
        <s v="ORD-10598"/>
        <s v="ORD-10599"/>
        <s v="ORD-10600"/>
        <s v="ORD-10601"/>
        <s v="ORD-10602"/>
        <s v="ORD-10603"/>
        <s v="ORD-10604"/>
        <s v="ORD-10605"/>
        <s v="ORD-10606"/>
        <s v="ORD-10607"/>
        <s v="ORD-10608"/>
        <s v="ORD-10609"/>
        <s v="ORD-10610"/>
        <s v="ORD-10611"/>
        <s v="ORD-10612"/>
        <s v="ORD-10613"/>
        <s v="ORD-10614"/>
        <s v="ORD-10615"/>
        <s v="ORD-10616"/>
        <s v="ORD-10617"/>
        <s v="ORD-10618"/>
        <s v="ORD-10619"/>
        <s v="ORD-10620"/>
        <s v="ORD-10621"/>
        <s v="ORD-10622"/>
        <s v="ORD-10623"/>
        <s v="ORD-10624"/>
        <s v="ORD-10625"/>
        <s v="ORD-10626"/>
        <s v="ORD-10627"/>
        <s v="ORD-10628"/>
        <s v="ORD-10629"/>
        <s v="ORD-10630"/>
        <s v="ORD-10631"/>
        <s v="ORD-10632"/>
        <s v="ORD-10633"/>
        <s v="ORD-10634"/>
        <s v="ORD-10635"/>
        <s v="ORD-10636"/>
        <s v="ORD-10637"/>
        <s v="ORD-10638"/>
        <s v="ORD-10639"/>
        <s v="ORD-10640"/>
        <s v="ORD-10641"/>
        <s v="ORD-10642"/>
        <s v="ORD-10643"/>
        <s v="ORD-10644"/>
        <s v="ORD-10645"/>
        <s v="ORD-10646"/>
        <s v="ORD-10647"/>
        <s v="ORD-10648"/>
        <s v="ORD-10649"/>
        <s v="ORD-10650"/>
        <s v="ORD-10651"/>
        <s v="ORD-10652"/>
        <s v="ORD-10653"/>
        <s v="ORD-10654"/>
        <s v="ORD-10655"/>
        <s v="ORD-10656"/>
        <s v="ORD-10657"/>
        <s v="ORD-10658"/>
        <s v="ORD-10659"/>
        <s v="ORD-10660"/>
        <s v="ORD-10661"/>
        <s v="ORD-10662"/>
        <s v="ORD-10663"/>
        <s v="ORD-10664"/>
        <s v="ORD-10665"/>
        <s v="ORD-10666"/>
        <s v="ORD-10667"/>
        <s v="ORD-10668"/>
        <s v="ORD-10669"/>
        <s v="ORD-10670"/>
        <s v="ORD-10671"/>
        <s v="ORD-10672"/>
        <s v="ORD-10673"/>
        <s v="ORD-10674"/>
        <s v="ORD-10675"/>
        <s v="ORD-10676"/>
        <s v="ORD-10677"/>
        <s v="ORD-10678"/>
        <s v="ORD-10679"/>
        <s v="ORD-10680"/>
        <s v="ORD-10681"/>
        <s v="ORD-10682"/>
        <s v="ORD-10683"/>
        <s v="ORD-10684"/>
        <s v="ORD-10685"/>
        <s v="ORD-10686"/>
        <s v="ORD-10687"/>
        <s v="ORD-10688"/>
        <s v="ORD-10689"/>
        <s v="ORD-10690"/>
        <s v="ORD-10691"/>
        <s v="ORD-10692"/>
        <s v="ORD-10693"/>
        <s v="ORD-10694"/>
        <s v="ORD-10695"/>
        <s v="ORD-10696"/>
        <s v="ORD-10697"/>
        <s v="ORD-10698"/>
        <s v="ORD-10699"/>
        <s v="ORD-10700"/>
        <s v="ORD-10701"/>
        <s v="ORD-10702"/>
        <s v="ORD-10703"/>
        <s v="ORD-10704"/>
        <s v="ORD-10705"/>
        <s v="ORD-10706"/>
        <s v="ORD-10707"/>
        <s v="ORD-10708"/>
        <s v="ORD-10709"/>
        <s v="ORD-10710"/>
        <s v="ORD-10711"/>
        <s v="ORD-10712"/>
        <s v="ORD-10713"/>
        <s v="ORD-10714"/>
        <s v="ORD-10715"/>
        <s v="ORD-10716"/>
        <s v="ORD-10717"/>
        <s v="ORD-10718"/>
        <s v="ORD-10719"/>
        <s v="ORD-10720"/>
        <s v="ORD-10721"/>
        <s v="ORD-10722"/>
        <s v="ORD-10723"/>
        <s v="ORD-10724"/>
        <s v="ORD-10725"/>
        <s v="ORD-10726"/>
        <s v="ORD-10727"/>
        <s v="ORD-10728"/>
        <s v="ORD-10729"/>
        <s v="ORD-10730"/>
        <s v="ORD-10731"/>
        <s v="ORD-10732"/>
        <s v="ORD-10733"/>
        <s v="ORD-10734"/>
        <s v="ORD-10735"/>
        <s v="ORD-10736"/>
        <s v="ORD-10737"/>
        <s v="ORD-10738"/>
        <s v="ORD-10739"/>
        <s v="ORD-10740"/>
        <s v="ORD-10741"/>
        <s v="ORD-10742"/>
        <s v="ORD-10743"/>
        <s v="ORD-10744"/>
        <s v="ORD-10745"/>
        <s v="ORD-10746"/>
        <s v="ORD-10747"/>
        <s v="ORD-10748"/>
        <s v="ORD-10749"/>
        <s v="ORD-10750"/>
        <s v="ORD-10751"/>
        <s v="ORD-10752"/>
        <s v="ORD-10753"/>
        <s v="ORD-10754"/>
        <s v="ORD-10755"/>
        <s v="ORD-10756"/>
        <s v="ORD-10757"/>
        <s v="ORD-10758"/>
        <s v="ORD-10759"/>
        <s v="ORD-10760"/>
        <s v="ORD-10761"/>
        <s v="ORD-10762"/>
        <s v="ORD-10763"/>
        <s v="ORD-10764"/>
        <s v="ORD-10765"/>
        <s v="ORD-10766"/>
        <s v="ORD-10767"/>
        <s v="ORD-10768"/>
        <s v="ORD-10769"/>
        <s v="ORD-10770"/>
        <s v="ORD-10771"/>
        <s v="ORD-10772"/>
        <s v="ORD-10773"/>
        <s v="ORD-10774"/>
        <s v="ORD-10775"/>
        <s v="ORD-10776"/>
        <s v="ORD-10777"/>
        <s v="ORD-10778"/>
        <s v="ORD-10779"/>
        <s v="ORD-10780"/>
        <s v="ORD-10781"/>
        <s v="ORD-10782"/>
        <s v="ORD-10783"/>
        <s v="ORD-10784"/>
        <s v="ORD-10785"/>
        <s v="ORD-10786"/>
        <s v="ORD-10787"/>
        <s v="ORD-10788"/>
        <s v="ORD-10789"/>
        <s v="ORD-10790"/>
        <s v="ORD-10791"/>
        <s v="ORD-10792"/>
        <s v="ORD-10793"/>
        <s v="ORD-10794"/>
        <s v="ORD-10795"/>
        <s v="ORD-10796"/>
        <s v="ORD-10797"/>
        <s v="ORD-10798"/>
        <s v="ORD-10799"/>
        <s v="ORD-10800"/>
        <s v="ORD-10801"/>
        <s v="ORD-10802"/>
        <s v="ORD-10803"/>
        <s v="ORD-10804"/>
        <s v="ORD-10805"/>
        <s v="ORD-10806"/>
        <s v="ORD-10807"/>
        <s v="ORD-10808"/>
        <s v="ORD-10809"/>
        <s v="ORD-10810"/>
        <s v="ORD-10811"/>
        <s v="ORD-10812"/>
        <s v="ORD-10813"/>
        <s v="ORD-10814"/>
        <s v="ORD-10815"/>
        <s v="ORD-10816"/>
        <s v="ORD-10817"/>
        <s v="ORD-10818"/>
        <s v="ORD-10819"/>
        <s v="ORD-10820"/>
        <s v="ORD-10821"/>
        <s v="ORD-10822"/>
        <s v="ORD-10823"/>
        <s v="ORD-10824"/>
        <s v="ORD-10825"/>
        <s v="ORD-10826"/>
        <s v="ORD-10827"/>
        <s v="ORD-10828"/>
        <s v="ORD-10829"/>
        <s v="ORD-10830"/>
        <s v="ORD-10831"/>
        <s v="ORD-10832"/>
        <s v="ORD-10833"/>
        <s v="ORD-10834"/>
        <s v="ORD-10835"/>
        <s v="ORD-10836"/>
        <s v="ORD-10837"/>
        <s v="ORD-10838"/>
        <s v="ORD-10839"/>
        <s v="ORD-10840"/>
        <s v="ORD-10841"/>
        <s v="ORD-10842"/>
        <s v="ORD-10843"/>
        <s v="ORD-10844"/>
        <s v="ORD-10845"/>
        <s v="ORD-10846"/>
        <s v="ORD-10847"/>
        <s v="ORD-10848"/>
        <s v="ORD-10849"/>
        <s v="ORD-10850"/>
        <s v="ORD-10851"/>
        <s v="ORD-10852"/>
        <s v="ORD-10853"/>
        <s v="ORD-10854"/>
        <s v="ORD-10855"/>
        <s v="ORD-10856"/>
        <s v="ORD-10857"/>
        <s v="ORD-10858"/>
        <s v="ORD-10859"/>
        <s v="ORD-10860"/>
        <s v="ORD-10861"/>
        <s v="ORD-10862"/>
        <s v="ORD-10863"/>
        <s v="ORD-10864"/>
        <s v="ORD-10865"/>
        <s v="ORD-10866"/>
        <s v="ORD-10867"/>
        <s v="ORD-10868"/>
        <s v="ORD-10869"/>
        <s v="ORD-10870"/>
        <s v="ORD-10871"/>
        <s v="ORD-10872"/>
        <s v="ORD-10873"/>
        <s v="ORD-10874"/>
        <s v="ORD-10875"/>
        <s v="ORD-10876"/>
        <s v="ORD-10877"/>
        <s v="ORD-10878"/>
        <s v="ORD-10879"/>
        <s v="ORD-10880"/>
        <s v="ORD-10881"/>
        <s v="ORD-10882"/>
        <s v="ORD-10883"/>
        <s v="ORD-10884"/>
        <s v="ORD-10885"/>
        <s v="ORD-10886"/>
        <s v="ORD-10887"/>
        <s v="ORD-10888"/>
        <s v="ORD-10889"/>
        <s v="ORD-10890"/>
        <s v="ORD-10891"/>
        <s v="ORD-10892"/>
        <s v="ORD-10893"/>
        <s v="ORD-10894"/>
        <s v="ORD-10895"/>
        <s v="ORD-10896"/>
        <s v="ORD-10897"/>
        <s v="ORD-10898"/>
        <s v="ORD-10899"/>
        <s v="ORD-10900"/>
        <s v="ORD-10901"/>
        <s v="ORD-10902"/>
        <s v="ORD-10903"/>
        <s v="ORD-10904"/>
        <s v="ORD-10905"/>
        <s v="ORD-10906"/>
        <s v="ORD-10907"/>
        <s v="ORD-10908"/>
        <s v="ORD-10909"/>
        <s v="ORD-10910"/>
        <s v="ORD-10911"/>
        <s v="ORD-10912"/>
        <s v="ORD-10913"/>
        <s v="ORD-10914"/>
        <s v="ORD-10915"/>
        <s v="ORD-10916"/>
        <s v="ORD-10917"/>
        <s v="ORD-10918"/>
        <s v="ORD-10919"/>
        <s v="ORD-10920"/>
        <s v="ORD-10921"/>
        <s v="ORD-10922"/>
        <s v="ORD-10923"/>
        <s v="ORD-10924"/>
        <s v="ORD-10925"/>
        <s v="ORD-10926"/>
        <s v="ORD-10927"/>
        <s v="ORD-10928"/>
        <s v="ORD-10929"/>
        <s v="ORD-10930"/>
        <s v="ORD-10931"/>
        <s v="ORD-10932"/>
        <s v="ORD-10933"/>
        <s v="ORD-10934"/>
        <s v="ORD-10935"/>
        <s v="ORD-10936"/>
        <s v="ORD-10937"/>
        <s v="ORD-10938"/>
        <s v="ORD-10939"/>
        <s v="ORD-10940"/>
        <s v="ORD-10941"/>
        <s v="ORD-10942"/>
        <s v="ORD-10943"/>
        <s v="ORD-10944"/>
        <s v="ORD-10945"/>
        <s v="ORD-10946"/>
        <s v="ORD-10947"/>
        <s v="ORD-10948"/>
        <s v="ORD-10949"/>
        <s v="ORD-10950"/>
        <s v="ORD-10951"/>
        <s v="ORD-10952"/>
        <s v="ORD-10953"/>
        <s v="ORD-10954"/>
        <s v="ORD-10955"/>
        <s v="ORD-10956"/>
        <s v="ORD-10957"/>
        <s v="ORD-10958"/>
        <s v="ORD-10959"/>
        <s v="ORD-10960"/>
        <s v="ORD-10961"/>
        <s v="ORD-10962"/>
        <s v="ORD-10963"/>
        <s v="ORD-10964"/>
        <s v="ORD-10965"/>
        <s v="ORD-10966"/>
        <s v="ORD-10967"/>
        <s v="ORD-10968"/>
        <s v="ORD-10969"/>
        <s v="ORD-10970"/>
        <s v="ORD-10971"/>
        <s v="ORD-10972"/>
        <s v="ORD-10973"/>
        <s v="ORD-10974"/>
        <s v="ORD-10975"/>
        <s v="ORD-10976"/>
        <s v="ORD-10977"/>
        <s v="ORD-10978"/>
        <s v="ORD-10979"/>
        <s v="ORD-10980"/>
        <s v="ORD-10981"/>
        <s v="ORD-10982"/>
        <s v="ORD-10983"/>
        <s v="ORD-10984"/>
        <s v="ORD-10985"/>
        <s v="ORD-10986"/>
        <s v="ORD-10987"/>
        <s v="ORD-10988"/>
        <s v="ORD-10989"/>
        <s v="ORD-10990"/>
        <s v="ORD-10991"/>
        <s v="ORD-10992"/>
        <s v="ORD-10993"/>
        <s v="ORD-10994"/>
        <s v="ORD-10995"/>
        <s v="ORD-10996"/>
        <s v="ORD-10997"/>
        <s v="ORD-10998"/>
        <s v="ORD-10999"/>
        <s v="ORD-11000"/>
        <s v="ORD-11001"/>
        <s v="ORD-11002"/>
        <s v="ORD-11003"/>
        <s v="ORD-11004"/>
        <s v="ORD-11005"/>
        <s v="ORD-11006"/>
        <s v="ORD-11007"/>
        <s v="ORD-11008"/>
        <s v="ORD-11009"/>
        <s v="ORD-11010"/>
        <s v="ORD-11011"/>
        <s v="ORD-11012"/>
        <s v="ORD-11013"/>
        <s v="ORD-11014"/>
        <s v="ORD-11015"/>
        <s v="ORD-11016"/>
        <s v="ORD-11017"/>
        <s v="ORD-11018"/>
        <s v="ORD-11019"/>
        <s v="ORD-11020"/>
        <s v="ORD-11021"/>
        <s v="ORD-11022"/>
        <s v="ORD-11023"/>
        <s v="ORD-11024"/>
        <s v="ORD-11025"/>
        <s v="ORD-11026"/>
        <s v="ORD-11027"/>
        <s v="ORD-11028"/>
        <s v="ORD-11029"/>
        <s v="ORD-11030"/>
        <s v="ORD-11031"/>
        <s v="ORD-11032"/>
        <s v="ORD-11033"/>
        <s v="ORD-11034"/>
        <s v="ORD-11035"/>
        <s v="ORD-11036"/>
        <s v="ORD-11037"/>
        <s v="ORD-11038"/>
        <s v="ORD-11039"/>
        <s v="ORD-11040"/>
        <s v="ORD-11041"/>
        <s v="ORD-11042"/>
        <s v="ORD-11043"/>
        <s v="ORD-11044"/>
        <s v="ORD-11045"/>
        <s v="ORD-11046"/>
        <s v="ORD-11047"/>
        <s v="ORD-11048"/>
        <s v="ORD-11049"/>
        <s v="ORD-11050"/>
        <s v="ORD-11051"/>
        <s v="ORD-11052"/>
        <s v="ORD-11053"/>
        <s v="ORD-11054"/>
        <s v="ORD-11055"/>
        <s v="ORD-11056"/>
        <s v="ORD-11057"/>
        <s v="ORD-11058"/>
        <s v="ORD-11059"/>
        <s v="ORD-11060"/>
        <s v="ORD-11061"/>
        <s v="ORD-11062"/>
        <s v="ORD-11063"/>
        <s v="ORD-11064"/>
        <s v="ORD-11065"/>
        <s v="ORD-11066"/>
        <s v="ORD-11067"/>
        <s v="ORD-11068"/>
        <s v="ORD-11069"/>
        <s v="ORD-11070"/>
        <s v="ORD-11071"/>
        <s v="ORD-11072"/>
        <s v="ORD-11073"/>
        <s v="ORD-11074"/>
        <s v="ORD-11075"/>
        <s v="ORD-11076"/>
        <s v="ORD-11077"/>
        <s v="ORD-11078"/>
        <s v="ORD-11079"/>
        <s v="ORD-11080"/>
        <s v="ORD-11081"/>
        <s v="ORD-11082"/>
        <s v="ORD-11083"/>
        <s v="ORD-11084"/>
        <s v="ORD-11085"/>
        <s v="ORD-11086"/>
        <s v="ORD-11087"/>
        <s v="ORD-11088"/>
        <s v="ORD-11089"/>
        <s v="ORD-11090"/>
        <s v="ORD-11091"/>
        <s v="ORD-11092"/>
        <s v="ORD-11093"/>
        <s v="ORD-11094"/>
        <s v="ORD-11095"/>
        <s v="ORD-11096"/>
        <s v="ORD-11097"/>
        <s v="ORD-11098"/>
        <s v="ORD-11099"/>
        <s v="ORD-11100"/>
        <s v="ORD-11101"/>
        <s v="ORD-11102"/>
        <s v="ORD-11103"/>
        <s v="ORD-11104"/>
        <s v="ORD-11105"/>
        <s v="ORD-11106"/>
        <s v="ORD-11107"/>
        <s v="ORD-11108"/>
        <s v="ORD-11109"/>
        <s v="ORD-11110"/>
        <s v="ORD-11111"/>
        <s v="ORD-11112"/>
        <s v="ORD-11113"/>
        <s v="ORD-11114"/>
        <s v="ORD-11115"/>
        <s v="ORD-11116"/>
        <s v="ORD-11117"/>
        <s v="ORD-11118"/>
        <s v="ORD-11119"/>
        <s v="ORD-11120"/>
        <s v="ORD-11121"/>
        <s v="ORD-11122"/>
        <s v="ORD-11123"/>
        <s v="ORD-11124"/>
        <s v="ORD-11125"/>
        <s v="ORD-11126"/>
        <s v="ORD-11127"/>
        <s v="ORD-11128"/>
        <s v="ORD-11129"/>
        <s v="ORD-11130"/>
        <s v="ORD-11131"/>
        <s v="ORD-11132"/>
        <s v="ORD-11133"/>
        <s v="ORD-11134"/>
        <s v="ORD-11135"/>
        <s v="ORD-11136"/>
        <s v="ORD-11137"/>
        <s v="ORD-11138"/>
        <s v="ORD-11139"/>
        <s v="ORD-11140"/>
        <s v="ORD-11141"/>
        <s v="ORD-11142"/>
        <s v="ORD-11143"/>
        <s v="ORD-11144"/>
        <s v="ORD-11145"/>
        <s v="ORD-11146"/>
        <s v="ORD-11147"/>
        <s v="ORD-11148"/>
        <s v="ORD-11149"/>
        <s v="ORD-11150"/>
        <s v="ORD-11151"/>
        <s v="ORD-11152"/>
        <s v="ORD-11153"/>
        <s v="ORD-11154"/>
        <s v="ORD-11155"/>
        <s v="ORD-11156"/>
        <s v="ORD-11157"/>
        <s v="ORD-11158"/>
        <s v="ORD-11159"/>
        <s v="ORD-11160"/>
        <s v="ORD-11161"/>
        <s v="ORD-11162"/>
        <s v="ORD-11163"/>
        <s v="ORD-11164"/>
        <s v="ORD-11165"/>
        <s v="ORD-11166"/>
        <s v="ORD-11167"/>
        <s v="ORD-11168"/>
        <s v="ORD-11169"/>
        <s v="ORD-11170"/>
        <s v="ORD-11171"/>
        <s v="ORD-11172"/>
        <s v="ORD-11173"/>
        <s v="ORD-11174"/>
        <s v="ORD-11175"/>
        <s v="ORD-11176"/>
        <s v="ORD-11177"/>
        <s v="ORD-11178"/>
        <s v="ORD-11179"/>
        <s v="ORD-11180"/>
        <s v="ORD-11181"/>
        <s v="ORD-11182"/>
        <s v="ORD-11183"/>
        <s v="ORD-11184"/>
        <s v="ORD-11185"/>
        <s v="ORD-11186"/>
        <s v="ORD-11187"/>
        <s v="ORD-11188"/>
        <s v="ORD-11189"/>
        <s v="ORD-11190"/>
        <s v="ORD-11191"/>
        <s v="ORD-11192"/>
        <s v="ORD-11193"/>
        <s v="ORD-11194"/>
        <s v="ORD-11195"/>
        <s v="ORD-11196"/>
        <s v="ORD-11197"/>
        <s v="ORD-11198"/>
        <s v="ORD-11199"/>
        <s v="ORD-11200"/>
      </sharedItems>
    </cacheField>
    <cacheField name="Order Date" numFmtId="165">
      <sharedItems containsSemiMixedTypes="0" containsNonDate="0" containsDate="1" containsString="0" minDate="2025-01-02T00:00:00" maxDate="2026-09-01T00:00:00"/>
    </cacheField>
    <cacheField name="Customer ID" numFmtId="0">
      <sharedItems/>
    </cacheField>
    <cacheField name="Product ID" numFmtId="0">
      <sharedItems/>
    </cacheField>
    <cacheField name="Region" numFmtId="0">
      <sharedItems count="5">
        <s v="West"/>
        <s v="North-East"/>
        <s v="Central"/>
        <s v="East"/>
        <s v="North"/>
      </sharedItems>
    </cacheField>
    <cacheField name="Sales Channel" numFmtId="0">
      <sharedItems count="3">
        <s v="Retail Store"/>
        <s v="Online"/>
        <s v="B2B Sales"/>
      </sharedItems>
    </cacheField>
    <cacheField name="Quantity" numFmtId="0">
      <sharedItems containsSemiMixedTypes="0" containsString="0" containsNumber="1" containsInteger="1" minValue="1" maxValue="8"/>
    </cacheField>
    <cacheField name="Discount" numFmtId="9">
      <sharedItems containsSemiMixedTypes="0" containsString="0" containsNumber="1" minValue="0" maxValue="0.2"/>
    </cacheField>
    <cacheField name="Returned" numFmtId="0">
      <sharedItems count="2">
        <s v="No"/>
        <s v="Yes"/>
      </sharedItems>
    </cacheField>
    <cacheField name="Customer Rating" numFmtId="0">
      <sharedItems containsSemiMixedTypes="0" containsString="0" containsNumber="1" containsInteger="1" minValue="1" maxValue="5"/>
    </cacheField>
    <cacheField name="Processing Days" numFmtId="0">
      <sharedItems containsSemiMixedTypes="0" containsString="0" containsNumber="1" containsInteger="1" minValue="1" maxValue="9"/>
    </cacheField>
    <cacheField name="Product Name" numFmtId="0">
      <sharedItems count="16">
        <s v="Monitor"/>
        <s v="Office Chair"/>
        <s v="Laptop"/>
        <s v="Mouse"/>
        <s v="Phone Charger"/>
        <s v="Printer Paper"/>
        <s v="Standing Desk"/>
        <s v="Headset"/>
        <s v="Backpack"/>
        <s v="Desk Organiser"/>
        <s v="Keyboard"/>
        <s v="USB-C Hub"/>
        <s v="File Folder Pack"/>
        <s v="Laptop Stand"/>
        <s v="Bookshelf"/>
        <s v="Webcam"/>
      </sharedItems>
    </cacheField>
    <cacheField name="Category" numFmtId="0">
      <sharedItems count="4">
        <s v="Technology"/>
        <s v="Furniture"/>
        <s v="Accessories"/>
        <s v="Office Supplies"/>
      </sharedItems>
    </cacheField>
    <cacheField name="Unit Price" numFmtId="0">
      <sharedItems containsSemiMixedTypes="0" containsString="0" containsNumber="1" containsInteger="1" minValue="17" maxValue="1100"/>
    </cacheField>
    <cacheField name="Unit Cost" numFmtId="0">
      <sharedItems containsSemiMixedTypes="0" containsString="0" containsNumber="1" containsInteger="1" minValue="8" maxValue="720"/>
    </cacheField>
    <cacheField name="Customer Segment" numFmtId="0">
      <sharedItems count="3">
        <s v="Corporate"/>
        <s v="Consumer"/>
        <s v="Small Business"/>
      </sharedItems>
    </cacheField>
    <cacheField name="Sales" numFmtId="0">
      <sharedItems containsSemiMixedTypes="0" containsString="0" containsNumber="1" minValue="13.600000000000001" maxValue="7700"/>
    </cacheField>
    <cacheField name="Cost" numFmtId="0">
      <sharedItems containsSemiMixedTypes="0" containsString="0" containsNumber="1" containsInteger="1" minValue="8" maxValue="5040"/>
    </cacheField>
    <cacheField name="Profit" numFmtId="0">
      <sharedItems containsSemiMixedTypes="0" containsString="0" containsNumber="1" minValue="5.6000000000000014" maxValue="2660"/>
    </cacheField>
    <cacheField name="Profit Margin" numFmtId="10">
      <sharedItems containsSemiMixedTypes="0" containsString="0" containsNumber="1" minValue="0.18181818181818182" maxValue="0.593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1">
  <r>
    <s v="ORD-10001"/>
    <x v="0"/>
    <s v="CUST-0280"/>
    <s v="PROD-002"/>
    <x v="0"/>
    <s v="Retail Store"/>
    <n v="1"/>
    <n v="0"/>
    <s v="No"/>
    <n v="5"/>
    <n v="1"/>
    <s v="Monitor"/>
    <s v="Technology"/>
    <n v="310"/>
    <n v="190"/>
    <s v="Corporate"/>
    <n v="310"/>
    <n v="190"/>
    <n v="120"/>
    <n v="0.38709677419354838"/>
  </r>
  <r>
    <s v="ORD-10002"/>
    <x v="1"/>
    <s v="CUST-0108"/>
    <s v="PROD-008"/>
    <x v="1"/>
    <s v="Online"/>
    <n v="3"/>
    <n v="0.15"/>
    <s v="Yes"/>
    <n v="5"/>
    <n v="4"/>
    <s v="Office Chair"/>
    <s v="Furniture"/>
    <n v="255"/>
    <n v="145"/>
    <s v="Consumer"/>
    <n v="650.25"/>
    <n v="435"/>
    <n v="215.25"/>
    <n v="0.33102652825836215"/>
  </r>
  <r>
    <s v="ORD-10003"/>
    <x v="2"/>
    <s v="CUST-0212"/>
    <s v="PROD-001"/>
    <x v="2"/>
    <s v="B2B Sales"/>
    <n v="4"/>
    <n v="0"/>
    <s v="No"/>
    <n v="5"/>
    <n v="2"/>
    <s v="Laptop"/>
    <s v="Technology"/>
    <n v="1100"/>
    <n v="720"/>
    <s v="Corporate"/>
    <n v="4400"/>
    <n v="2880"/>
    <n v="1520"/>
    <n v="0.34545454545454546"/>
  </r>
  <r>
    <s v="ORD-10004"/>
    <x v="3"/>
    <s v="CUST-0082"/>
    <s v="PROD-004"/>
    <x v="3"/>
    <s v="Online"/>
    <n v="2"/>
    <n v="0"/>
    <s v="Yes"/>
    <n v="4"/>
    <n v="4"/>
    <s v="Mouse"/>
    <s v="Technology"/>
    <n v="42"/>
    <n v="19"/>
    <s v="Consumer"/>
    <n v="84"/>
    <n v="38"/>
    <n v="46"/>
    <n v="0.54761904761904767"/>
  </r>
  <r>
    <s v="ORD-10005"/>
    <x v="4"/>
    <s v="CUST-0099"/>
    <s v="PROD-013"/>
    <x v="3"/>
    <s v="B2B Sales"/>
    <n v="7"/>
    <n v="0"/>
    <s v="No"/>
    <n v="4"/>
    <n v="5"/>
    <s v="Phone Charger"/>
    <s v="Accessories"/>
    <n v="32"/>
    <n v="13"/>
    <s v="Small Business"/>
    <n v="224"/>
    <n v="91"/>
    <n v="133"/>
    <n v="0.59375"/>
  </r>
  <r>
    <s v="ORD-10006"/>
    <x v="5"/>
    <s v="CUST-0015"/>
    <s v="PROD-004"/>
    <x v="0"/>
    <s v="Online"/>
    <n v="3"/>
    <n v="0.2"/>
    <s v="No"/>
    <n v="4"/>
    <n v="3"/>
    <s v="Mouse"/>
    <s v="Technology"/>
    <n v="42"/>
    <n v="19"/>
    <s v="Corporate"/>
    <n v="100.80000000000001"/>
    <n v="57"/>
    <n v="43.800000000000011"/>
    <n v="0.43452380952380959"/>
  </r>
  <r>
    <s v="ORD-10007"/>
    <x v="6"/>
    <s v="CUST-0224"/>
    <s v="PROD-004"/>
    <x v="3"/>
    <s v="Retail Store"/>
    <n v="1"/>
    <n v="0.1"/>
    <s v="No"/>
    <n v="5"/>
    <n v="5"/>
    <s v="Mouse"/>
    <s v="Technology"/>
    <n v="42"/>
    <n v="19"/>
    <s v="Corporate"/>
    <n v="37.800000000000004"/>
    <n v="19"/>
    <n v="18.800000000000004"/>
    <n v="0.49735449735449744"/>
  </r>
  <r>
    <s v="ORD-10008"/>
    <x v="7"/>
    <s v="CUST-0187"/>
    <s v="PROD-014"/>
    <x v="2"/>
    <s v="Retail Store"/>
    <n v="2"/>
    <n v="0"/>
    <s v="No"/>
    <n v="5"/>
    <n v="3"/>
    <s v="Printer Paper"/>
    <s v="Office Supplies"/>
    <n v="17"/>
    <n v="8"/>
    <s v="Small Business"/>
    <n v="34"/>
    <n v="16"/>
    <n v="18"/>
    <n v="0.52941176470588236"/>
  </r>
  <r>
    <s v="ORD-10009"/>
    <x v="8"/>
    <s v="CUST-0159"/>
    <s v="PROD-014"/>
    <x v="3"/>
    <s v="Retail Store"/>
    <n v="3"/>
    <n v="0"/>
    <s v="No"/>
    <n v="4"/>
    <n v="2"/>
    <s v="Printer Paper"/>
    <s v="Office Supplies"/>
    <n v="17"/>
    <n v="8"/>
    <s v="Consumer"/>
    <n v="51"/>
    <n v="24"/>
    <n v="27"/>
    <n v="0.52941176470588236"/>
  </r>
  <r>
    <s v="ORD-10010"/>
    <x v="9"/>
    <s v="CUST-0155"/>
    <s v="PROD-013"/>
    <x v="4"/>
    <s v="Online"/>
    <n v="1"/>
    <n v="0"/>
    <s v="No"/>
    <n v="5"/>
    <n v="4"/>
    <s v="Phone Charger"/>
    <s v="Accessories"/>
    <n v="32"/>
    <n v="13"/>
    <s v="Consumer"/>
    <n v="32"/>
    <n v="13"/>
    <n v="19"/>
    <n v="0.59375"/>
  </r>
  <r>
    <s v="ORD-10011"/>
    <x v="10"/>
    <s v="CUST-0227"/>
    <s v="PROD-007"/>
    <x v="4"/>
    <s v="Retail Store"/>
    <n v="7"/>
    <n v="0.1"/>
    <s v="No"/>
    <n v="4"/>
    <n v="5"/>
    <s v="Standing Desk"/>
    <s v="Furniture"/>
    <n v="540"/>
    <n v="320"/>
    <s v="Corporate"/>
    <n v="3402"/>
    <n v="2240"/>
    <n v="1162"/>
    <n v="0.34156378600823045"/>
  </r>
  <r>
    <s v="ORD-10012"/>
    <x v="11"/>
    <s v="CUST-0048"/>
    <s v="PROD-008"/>
    <x v="1"/>
    <s v="Online"/>
    <n v="1"/>
    <n v="0"/>
    <s v="No"/>
    <n v="4"/>
    <n v="1"/>
    <s v="Office Chair"/>
    <s v="Furniture"/>
    <n v="255"/>
    <n v="145"/>
    <s v="Consumer"/>
    <n v="255"/>
    <n v="145"/>
    <n v="110"/>
    <n v="0.43137254901960786"/>
  </r>
  <r>
    <s v="ORD-10013"/>
    <x v="12"/>
    <s v="CUST-0213"/>
    <s v="PROD-007"/>
    <x v="1"/>
    <s v="Online"/>
    <n v="2"/>
    <n v="0"/>
    <s v="No"/>
    <n v="5"/>
    <n v="1"/>
    <s v="Standing Desk"/>
    <s v="Furniture"/>
    <n v="540"/>
    <n v="320"/>
    <s v="Consumer"/>
    <n v="1080"/>
    <n v="640"/>
    <n v="440"/>
    <n v="0.40740740740740738"/>
  </r>
  <r>
    <s v="ORD-10014"/>
    <x v="13"/>
    <s v="CUST-0113"/>
    <s v="PROD-006"/>
    <x v="0"/>
    <s v="Retail Store"/>
    <n v="2"/>
    <n v="0.05"/>
    <s v="Yes"/>
    <n v="3"/>
    <n v="6"/>
    <s v="Headset"/>
    <s v="Technology"/>
    <n v="98"/>
    <n v="46"/>
    <s v="Corporate"/>
    <n v="186.2"/>
    <n v="92"/>
    <n v="94.199999999999989"/>
    <n v="0.50590762620837804"/>
  </r>
  <r>
    <s v="ORD-10015"/>
    <x v="14"/>
    <s v="CUST-0287"/>
    <s v="PROD-011"/>
    <x v="0"/>
    <s v="B2B Sales"/>
    <n v="3"/>
    <n v="0.1"/>
    <s v="No"/>
    <n v="5"/>
    <n v="5"/>
    <s v="Backpack"/>
    <s v="Accessories"/>
    <n v="85"/>
    <n v="39"/>
    <s v="Small Business"/>
    <n v="229.5"/>
    <n v="117"/>
    <n v="112.5"/>
    <n v="0.49019607843137253"/>
  </r>
  <r>
    <s v="ORD-10016"/>
    <x v="15"/>
    <s v="CUST-0082"/>
    <s v="PROD-016"/>
    <x v="4"/>
    <s v="Retail Store"/>
    <n v="5"/>
    <n v="0"/>
    <s v="No"/>
    <n v="4"/>
    <n v="2"/>
    <s v="Desk Organiser"/>
    <s v="Office Supplies"/>
    <n v="28"/>
    <n v="12"/>
    <s v="Consumer"/>
    <n v="140"/>
    <n v="60"/>
    <n v="80"/>
    <n v="0.5714285714285714"/>
  </r>
  <r>
    <s v="ORD-10017"/>
    <x v="16"/>
    <s v="CUST-0226"/>
    <s v="PROD-003"/>
    <x v="1"/>
    <s v="Online"/>
    <n v="2"/>
    <n v="0.15"/>
    <s v="No"/>
    <n v="3"/>
    <n v="4"/>
    <s v="Keyboard"/>
    <s v="Technology"/>
    <n v="75"/>
    <n v="38"/>
    <s v="Corporate"/>
    <n v="127.5"/>
    <n v="76"/>
    <n v="51.5"/>
    <n v="0.40392156862745099"/>
  </r>
  <r>
    <s v="ORD-10018"/>
    <x v="17"/>
    <s v="CUST-0110"/>
    <s v="PROD-003"/>
    <x v="3"/>
    <s v="Online"/>
    <n v="2"/>
    <n v="0"/>
    <s v="No"/>
    <n v="4"/>
    <n v="5"/>
    <s v="Keyboard"/>
    <s v="Technology"/>
    <n v="75"/>
    <n v="38"/>
    <s v="Small Business"/>
    <n v="150"/>
    <n v="76"/>
    <n v="74"/>
    <n v="0.49333333333333335"/>
  </r>
  <r>
    <s v="ORD-10019"/>
    <x v="18"/>
    <s v="CUST-0295"/>
    <s v="PROD-013"/>
    <x v="4"/>
    <s v="B2B Sales"/>
    <n v="1"/>
    <n v="0"/>
    <s v="No"/>
    <n v="5"/>
    <n v="5"/>
    <s v="Phone Charger"/>
    <s v="Accessories"/>
    <n v="32"/>
    <n v="13"/>
    <s v="Corporate"/>
    <n v="32"/>
    <n v="13"/>
    <n v="19"/>
    <n v="0.59375"/>
  </r>
  <r>
    <s v="ORD-10020"/>
    <x v="19"/>
    <s v="CUST-0113"/>
    <s v="PROD-016"/>
    <x v="2"/>
    <s v="Online"/>
    <n v="1"/>
    <n v="0"/>
    <s v="No"/>
    <n v="4"/>
    <n v="2"/>
    <s v="Desk Organiser"/>
    <s v="Office Supplies"/>
    <n v="28"/>
    <n v="12"/>
    <s v="Corporate"/>
    <n v="28"/>
    <n v="12"/>
    <n v="16"/>
    <n v="0.5714285714285714"/>
  </r>
  <r>
    <s v="ORD-10021"/>
    <x v="20"/>
    <s v="CUST-0066"/>
    <s v="PROD-001"/>
    <x v="0"/>
    <s v="Retail Store"/>
    <n v="3"/>
    <n v="0"/>
    <s v="No"/>
    <n v="5"/>
    <n v="2"/>
    <s v="Laptop"/>
    <s v="Technology"/>
    <n v="1100"/>
    <n v="720"/>
    <s v="Corporate"/>
    <n v="3300"/>
    <n v="2160"/>
    <n v="1140"/>
    <n v="0.34545454545454546"/>
  </r>
  <r>
    <s v="ORD-10022"/>
    <x v="21"/>
    <s v="CUST-0134"/>
    <s v="PROD-013"/>
    <x v="3"/>
    <s v="Online"/>
    <n v="2"/>
    <n v="0.15"/>
    <s v="No"/>
    <n v="5"/>
    <n v="4"/>
    <s v="Phone Charger"/>
    <s v="Accessories"/>
    <n v="32"/>
    <n v="13"/>
    <s v="Small Business"/>
    <n v="54.4"/>
    <n v="26"/>
    <n v="28.4"/>
    <n v="0.5220588235294118"/>
  </r>
  <r>
    <s v="ORD-10023"/>
    <x v="22"/>
    <s v="CUST-0042"/>
    <s v="PROD-016"/>
    <x v="2"/>
    <s v="Retail Store"/>
    <n v="8"/>
    <n v="0"/>
    <s v="No"/>
    <n v="5"/>
    <n v="1"/>
    <s v="Desk Organiser"/>
    <s v="Office Supplies"/>
    <n v="28"/>
    <n v="12"/>
    <s v="Consumer"/>
    <n v="224"/>
    <n v="96"/>
    <n v="128"/>
    <n v="0.5714285714285714"/>
  </r>
  <r>
    <s v="ORD-10024"/>
    <x v="23"/>
    <s v="CUST-0127"/>
    <s v="PROD-007"/>
    <x v="0"/>
    <s v="Retail Store"/>
    <n v="1"/>
    <n v="0.05"/>
    <s v="No"/>
    <n v="5"/>
    <n v="4"/>
    <s v="Standing Desk"/>
    <s v="Furniture"/>
    <n v="540"/>
    <n v="320"/>
    <s v="Consumer"/>
    <n v="513"/>
    <n v="320"/>
    <n v="193"/>
    <n v="0.37621832358674462"/>
  </r>
  <r>
    <s v="ORD-10025"/>
    <x v="24"/>
    <s v="CUST-0189"/>
    <s v="PROD-006"/>
    <x v="1"/>
    <s v="B2B Sales"/>
    <n v="4"/>
    <n v="0.1"/>
    <s v="No"/>
    <n v="4"/>
    <n v="5"/>
    <s v="Headset"/>
    <s v="Technology"/>
    <n v="98"/>
    <n v="46"/>
    <s v="Consumer"/>
    <n v="352.8"/>
    <n v="184"/>
    <n v="168.8"/>
    <n v="0.47845804988662133"/>
  </r>
  <r>
    <s v="ORD-10026"/>
    <x v="25"/>
    <s v="CUST-0160"/>
    <s v="PROD-013"/>
    <x v="3"/>
    <s v="Retail Store"/>
    <n v="1"/>
    <n v="0.1"/>
    <s v="No"/>
    <n v="2"/>
    <n v="4"/>
    <s v="Phone Charger"/>
    <s v="Accessories"/>
    <n v="32"/>
    <n v="13"/>
    <s v="Consumer"/>
    <n v="28.8"/>
    <n v="13"/>
    <n v="15.8"/>
    <n v="0.54861111111111116"/>
  </r>
  <r>
    <s v="ORD-10027"/>
    <x v="26"/>
    <s v="CUST-0022"/>
    <s v="PROD-012"/>
    <x v="4"/>
    <s v="Retail Store"/>
    <n v="1"/>
    <n v="0.05"/>
    <s v="No"/>
    <n v="4"/>
    <n v="4"/>
    <s v="USB-C Hub"/>
    <s v="Accessories"/>
    <n v="68"/>
    <n v="31"/>
    <s v="Corporate"/>
    <n v="64.599999999999994"/>
    <n v="31"/>
    <n v="33.599999999999994"/>
    <n v="0.52012383900928794"/>
  </r>
  <r>
    <s v="ORD-10028"/>
    <x v="27"/>
    <s v="CUST-0222"/>
    <s v="PROD-012"/>
    <x v="1"/>
    <s v="Retail Store"/>
    <n v="3"/>
    <n v="0"/>
    <s v="No"/>
    <n v="5"/>
    <n v="3"/>
    <s v="USB-C Hub"/>
    <s v="Accessories"/>
    <n v="68"/>
    <n v="31"/>
    <s v="Corporate"/>
    <n v="204"/>
    <n v="93"/>
    <n v="111"/>
    <n v="0.54411764705882348"/>
  </r>
  <r>
    <s v="ORD-10029"/>
    <x v="28"/>
    <s v="CUST-0248"/>
    <s v="PROD-015"/>
    <x v="4"/>
    <s v="Retail Store"/>
    <n v="1"/>
    <n v="0.15"/>
    <s v="No"/>
    <n v="2"/>
    <n v="6"/>
    <s v="File Folder Pack"/>
    <s v="Office Supplies"/>
    <n v="23"/>
    <n v="10"/>
    <s v="Consumer"/>
    <n v="19.55"/>
    <n v="10"/>
    <n v="9.5500000000000007"/>
    <n v="0.48849104859335041"/>
  </r>
  <r>
    <s v="ORD-10030"/>
    <x v="29"/>
    <s v="CUST-0292"/>
    <s v="PROD-013"/>
    <x v="3"/>
    <s v="Retail Store"/>
    <n v="2"/>
    <n v="0.05"/>
    <s v="No"/>
    <n v="4"/>
    <n v="3"/>
    <s v="Phone Charger"/>
    <s v="Accessories"/>
    <n v="32"/>
    <n v="13"/>
    <s v="Corporate"/>
    <n v="60.8"/>
    <n v="26"/>
    <n v="34.799999999999997"/>
    <n v="0.57236842105263153"/>
  </r>
  <r>
    <s v="ORD-10031"/>
    <x v="30"/>
    <s v="CUST-0285"/>
    <s v="PROD-001"/>
    <x v="4"/>
    <s v="Online"/>
    <n v="1"/>
    <n v="0"/>
    <s v="No"/>
    <n v="3"/>
    <n v="4"/>
    <s v="Laptop"/>
    <s v="Technology"/>
    <n v="1100"/>
    <n v="720"/>
    <s v="Consumer"/>
    <n v="1100"/>
    <n v="720"/>
    <n v="380"/>
    <n v="0.34545454545454546"/>
  </r>
  <r>
    <s v="ORD-10032"/>
    <x v="31"/>
    <s v="CUST-0230"/>
    <s v="PROD-001"/>
    <x v="2"/>
    <s v="Online"/>
    <n v="3"/>
    <n v="0"/>
    <s v="No"/>
    <n v="4"/>
    <n v="5"/>
    <s v="Laptop"/>
    <s v="Technology"/>
    <n v="1100"/>
    <n v="720"/>
    <s v="Small Business"/>
    <n v="3300"/>
    <n v="2160"/>
    <n v="1140"/>
    <n v="0.34545454545454546"/>
  </r>
  <r>
    <s v="ORD-10033"/>
    <x v="32"/>
    <s v="CUST-0218"/>
    <s v="PROD-011"/>
    <x v="3"/>
    <s v="Online"/>
    <n v="1"/>
    <n v="0"/>
    <s v="No"/>
    <n v="4"/>
    <n v="5"/>
    <s v="Backpack"/>
    <s v="Accessories"/>
    <n v="85"/>
    <n v="39"/>
    <s v="Corporate"/>
    <n v="85"/>
    <n v="39"/>
    <n v="46"/>
    <n v="0.54117647058823526"/>
  </r>
  <r>
    <s v="ORD-10034"/>
    <x v="33"/>
    <s v="CUST-0099"/>
    <s v="PROD-007"/>
    <x v="1"/>
    <s v="Online"/>
    <n v="3"/>
    <n v="0.1"/>
    <s v="No"/>
    <n v="5"/>
    <n v="2"/>
    <s v="Standing Desk"/>
    <s v="Furniture"/>
    <n v="540"/>
    <n v="320"/>
    <s v="Small Business"/>
    <n v="1458"/>
    <n v="960"/>
    <n v="498"/>
    <n v="0.34156378600823045"/>
  </r>
  <r>
    <s v="ORD-10035"/>
    <x v="34"/>
    <s v="CUST-0117"/>
    <s v="PROD-012"/>
    <x v="2"/>
    <s v="Online"/>
    <n v="2"/>
    <n v="0"/>
    <s v="Yes"/>
    <n v="4"/>
    <n v="6"/>
    <s v="USB-C Hub"/>
    <s v="Accessories"/>
    <n v="68"/>
    <n v="31"/>
    <s v="Consumer"/>
    <n v="136"/>
    <n v="62"/>
    <n v="74"/>
    <n v="0.54411764705882348"/>
  </r>
  <r>
    <s v="ORD-10036"/>
    <x v="35"/>
    <s v="CUST-0007"/>
    <s v="PROD-010"/>
    <x v="4"/>
    <s v="Online"/>
    <n v="1"/>
    <n v="0"/>
    <s v="Yes"/>
    <n v="4"/>
    <n v="5"/>
    <s v="Laptop Stand"/>
    <s v="Accessories"/>
    <n v="48"/>
    <n v="22"/>
    <s v="Small Business"/>
    <n v="48"/>
    <n v="22"/>
    <n v="26"/>
    <n v="0.54166666666666663"/>
  </r>
  <r>
    <s v="ORD-10037"/>
    <x v="36"/>
    <s v="CUST-0038"/>
    <s v="PROD-002"/>
    <x v="2"/>
    <s v="Retail Store"/>
    <n v="7"/>
    <n v="0"/>
    <s v="No"/>
    <n v="4"/>
    <n v="4"/>
    <s v="Monitor"/>
    <s v="Technology"/>
    <n v="310"/>
    <n v="190"/>
    <s v="Corporate"/>
    <n v="2170"/>
    <n v="1330"/>
    <n v="840"/>
    <n v="0.38709677419354838"/>
  </r>
  <r>
    <s v="ORD-10038"/>
    <x v="37"/>
    <s v="CUST-0268"/>
    <s v="PROD-013"/>
    <x v="4"/>
    <s v="Online"/>
    <n v="5"/>
    <n v="0.2"/>
    <s v="No"/>
    <n v="5"/>
    <n v="5"/>
    <s v="Phone Charger"/>
    <s v="Accessories"/>
    <n v="32"/>
    <n v="13"/>
    <s v="Small Business"/>
    <n v="128"/>
    <n v="65"/>
    <n v="63"/>
    <n v="0.4921875"/>
  </r>
  <r>
    <s v="ORD-10039"/>
    <x v="38"/>
    <s v="CUST-0107"/>
    <s v="PROD-007"/>
    <x v="3"/>
    <s v="Online"/>
    <n v="1"/>
    <n v="0.05"/>
    <s v="No"/>
    <n v="4"/>
    <n v="5"/>
    <s v="Standing Desk"/>
    <s v="Furniture"/>
    <n v="540"/>
    <n v="320"/>
    <s v="Consumer"/>
    <n v="513"/>
    <n v="320"/>
    <n v="193"/>
    <n v="0.37621832358674462"/>
  </r>
  <r>
    <s v="ORD-10040"/>
    <x v="39"/>
    <s v="CUST-0150"/>
    <s v="PROD-002"/>
    <x v="3"/>
    <s v="Retail Store"/>
    <n v="3"/>
    <n v="0"/>
    <s v="No"/>
    <n v="5"/>
    <n v="5"/>
    <s v="Monitor"/>
    <s v="Technology"/>
    <n v="310"/>
    <n v="190"/>
    <s v="Consumer"/>
    <n v="930"/>
    <n v="570"/>
    <n v="360"/>
    <n v="0.38709677419354838"/>
  </r>
  <r>
    <s v="ORD-10041"/>
    <x v="40"/>
    <s v="CUST-0218"/>
    <s v="PROD-004"/>
    <x v="4"/>
    <s v="Retail Store"/>
    <n v="6"/>
    <n v="0.1"/>
    <s v="No"/>
    <n v="3"/>
    <n v="3"/>
    <s v="Mouse"/>
    <s v="Technology"/>
    <n v="42"/>
    <n v="19"/>
    <s v="Corporate"/>
    <n v="226.8"/>
    <n v="114"/>
    <n v="112.80000000000001"/>
    <n v="0.49735449735449738"/>
  </r>
  <r>
    <s v="ORD-10042"/>
    <x v="9"/>
    <s v="CUST-0148"/>
    <s v="PROD-015"/>
    <x v="2"/>
    <s v="Retail Store"/>
    <n v="3"/>
    <n v="0.2"/>
    <s v="No"/>
    <n v="4"/>
    <n v="1"/>
    <s v="File Folder Pack"/>
    <s v="Office Supplies"/>
    <n v="23"/>
    <n v="10"/>
    <s v="Corporate"/>
    <n v="55.2"/>
    <n v="30"/>
    <n v="25.200000000000003"/>
    <n v="0.45652173913043481"/>
  </r>
  <r>
    <s v="ORD-10043"/>
    <x v="41"/>
    <s v="CUST-0222"/>
    <s v="PROD-011"/>
    <x v="1"/>
    <s v="Online"/>
    <n v="1"/>
    <n v="0.1"/>
    <s v="No"/>
    <n v="4"/>
    <n v="1"/>
    <s v="Backpack"/>
    <s v="Accessories"/>
    <n v="85"/>
    <n v="39"/>
    <s v="Corporate"/>
    <n v="76.5"/>
    <n v="39"/>
    <n v="37.5"/>
    <n v="0.49019607843137253"/>
  </r>
  <r>
    <s v="ORD-10044"/>
    <x v="42"/>
    <s v="CUST-0296"/>
    <s v="PROD-002"/>
    <x v="1"/>
    <s v="Online"/>
    <n v="2"/>
    <n v="0"/>
    <s v="No"/>
    <n v="5"/>
    <n v="4"/>
    <s v="Monitor"/>
    <s v="Technology"/>
    <n v="310"/>
    <n v="190"/>
    <s v="Corporate"/>
    <n v="620"/>
    <n v="380"/>
    <n v="240"/>
    <n v="0.38709677419354838"/>
  </r>
  <r>
    <s v="ORD-10045"/>
    <x v="36"/>
    <s v="CUST-0047"/>
    <s v="PROD-016"/>
    <x v="3"/>
    <s v="Online"/>
    <n v="3"/>
    <n v="0.15"/>
    <s v="No"/>
    <n v="5"/>
    <n v="3"/>
    <s v="Desk Organiser"/>
    <s v="Office Supplies"/>
    <n v="28"/>
    <n v="12"/>
    <s v="Consumer"/>
    <n v="71.399999999999991"/>
    <n v="36"/>
    <n v="35.399999999999991"/>
    <n v="0.49579831932773105"/>
  </r>
  <r>
    <s v="ORD-10046"/>
    <x v="43"/>
    <s v="CUST-0282"/>
    <s v="PROD-002"/>
    <x v="4"/>
    <s v="Online"/>
    <n v="2"/>
    <n v="0.2"/>
    <s v="No"/>
    <n v="4"/>
    <n v="1"/>
    <s v="Monitor"/>
    <s v="Technology"/>
    <n v="310"/>
    <n v="190"/>
    <s v="Consumer"/>
    <n v="496"/>
    <n v="380"/>
    <n v="116"/>
    <n v="0.23387096774193547"/>
  </r>
  <r>
    <s v="ORD-10047"/>
    <x v="44"/>
    <s v="CUST-0237"/>
    <s v="PROD-014"/>
    <x v="2"/>
    <s v="Retail Store"/>
    <n v="3"/>
    <n v="0.05"/>
    <s v="No"/>
    <n v="2"/>
    <n v="5"/>
    <s v="Printer Paper"/>
    <s v="Office Supplies"/>
    <n v="17"/>
    <n v="8"/>
    <s v="Small Business"/>
    <n v="48.449999999999996"/>
    <n v="24"/>
    <n v="24.449999999999996"/>
    <n v="0.50464396284829716"/>
  </r>
  <r>
    <s v="ORD-10048"/>
    <x v="45"/>
    <s v="CUST-0225"/>
    <s v="PROD-016"/>
    <x v="2"/>
    <s v="B2B Sales"/>
    <n v="3"/>
    <n v="0"/>
    <s v="No"/>
    <n v="4"/>
    <n v="5"/>
    <s v="Desk Organiser"/>
    <s v="Office Supplies"/>
    <n v="28"/>
    <n v="12"/>
    <s v="Consumer"/>
    <n v="84"/>
    <n v="36"/>
    <n v="48"/>
    <n v="0.5714285714285714"/>
  </r>
  <r>
    <s v="ORD-10049"/>
    <x v="46"/>
    <s v="CUST-0048"/>
    <s v="PROD-008"/>
    <x v="0"/>
    <s v="B2B Sales"/>
    <n v="2"/>
    <n v="0"/>
    <s v="No"/>
    <n v="4"/>
    <n v="3"/>
    <s v="Office Chair"/>
    <s v="Furniture"/>
    <n v="255"/>
    <n v="145"/>
    <s v="Consumer"/>
    <n v="510"/>
    <n v="290"/>
    <n v="220"/>
    <n v="0.43137254901960786"/>
  </r>
  <r>
    <s v="ORD-10050"/>
    <x v="47"/>
    <s v="CUST-0140"/>
    <s v="PROD-014"/>
    <x v="0"/>
    <s v="B2B Sales"/>
    <n v="1"/>
    <n v="0.05"/>
    <s v="No"/>
    <n v="5"/>
    <n v="5"/>
    <s v="Printer Paper"/>
    <s v="Office Supplies"/>
    <n v="17"/>
    <n v="8"/>
    <s v="Consumer"/>
    <n v="16.149999999999999"/>
    <n v="8"/>
    <n v="8.1499999999999986"/>
    <n v="0.50464396284829716"/>
  </r>
  <r>
    <s v="ORD-10051"/>
    <x v="48"/>
    <s v="CUST-0036"/>
    <s v="PROD-009"/>
    <x v="0"/>
    <s v="B2B Sales"/>
    <n v="2"/>
    <n v="0.1"/>
    <s v="No"/>
    <n v="1"/>
    <n v="7"/>
    <s v="Bookshelf"/>
    <s v="Furniture"/>
    <n v="185"/>
    <n v="105"/>
    <s v="Corporate"/>
    <n v="333"/>
    <n v="210"/>
    <n v="123"/>
    <n v="0.36936936936936937"/>
  </r>
  <r>
    <s v="ORD-10052"/>
    <x v="0"/>
    <s v="CUST-0229"/>
    <s v="PROD-016"/>
    <x v="3"/>
    <s v="Retail Store"/>
    <n v="2"/>
    <n v="0"/>
    <s v="No"/>
    <n v="3"/>
    <n v="2"/>
    <s v="Desk Organiser"/>
    <s v="Office Supplies"/>
    <n v="28"/>
    <n v="12"/>
    <s v="Consumer"/>
    <n v="56"/>
    <n v="24"/>
    <n v="32"/>
    <n v="0.5714285714285714"/>
  </r>
  <r>
    <s v="ORD-10053"/>
    <x v="49"/>
    <s v="CUST-0197"/>
    <s v="PROD-008"/>
    <x v="0"/>
    <s v="Online"/>
    <n v="1"/>
    <n v="0.05"/>
    <s v="Yes"/>
    <n v="4"/>
    <n v="6"/>
    <s v="Office Chair"/>
    <s v="Furniture"/>
    <n v="255"/>
    <n v="145"/>
    <s v="Corporate"/>
    <n v="242.25"/>
    <n v="145"/>
    <n v="97.25"/>
    <n v="0.40144478844169246"/>
  </r>
  <r>
    <s v="ORD-10054"/>
    <x v="50"/>
    <s v="CUST-0065"/>
    <s v="PROD-011"/>
    <x v="0"/>
    <s v="B2B Sales"/>
    <n v="2"/>
    <n v="0.05"/>
    <s v="No"/>
    <n v="5"/>
    <n v="4"/>
    <s v="Backpack"/>
    <s v="Accessories"/>
    <n v="85"/>
    <n v="39"/>
    <s v="Small Business"/>
    <n v="161.5"/>
    <n v="78"/>
    <n v="83.5"/>
    <n v="0.51702786377708976"/>
  </r>
  <r>
    <s v="ORD-10055"/>
    <x v="51"/>
    <s v="CUST-0039"/>
    <s v="PROD-016"/>
    <x v="0"/>
    <s v="Online"/>
    <n v="3"/>
    <n v="0"/>
    <s v="No"/>
    <n v="4"/>
    <n v="5"/>
    <s v="Desk Organiser"/>
    <s v="Office Supplies"/>
    <n v="28"/>
    <n v="12"/>
    <s v="Small Business"/>
    <n v="84"/>
    <n v="36"/>
    <n v="48"/>
    <n v="0.5714285714285714"/>
  </r>
  <r>
    <s v="ORD-10056"/>
    <x v="52"/>
    <s v="CUST-0163"/>
    <s v="PROD-016"/>
    <x v="0"/>
    <s v="Online"/>
    <n v="1"/>
    <n v="0.05"/>
    <s v="Yes"/>
    <n v="5"/>
    <n v="5"/>
    <s v="Desk Organiser"/>
    <s v="Office Supplies"/>
    <n v="28"/>
    <n v="12"/>
    <s v="Consumer"/>
    <n v="26.599999999999998"/>
    <n v="12"/>
    <n v="14.599999999999998"/>
    <n v="0.54887218045112773"/>
  </r>
  <r>
    <s v="ORD-10057"/>
    <x v="53"/>
    <s v="CUST-0052"/>
    <s v="PROD-015"/>
    <x v="2"/>
    <s v="Online"/>
    <n v="1"/>
    <n v="0"/>
    <s v="No"/>
    <n v="4"/>
    <n v="4"/>
    <s v="File Folder Pack"/>
    <s v="Office Supplies"/>
    <n v="23"/>
    <n v="10"/>
    <s v="Consumer"/>
    <n v="23"/>
    <n v="10"/>
    <n v="13"/>
    <n v="0.56521739130434778"/>
  </r>
  <r>
    <s v="ORD-10058"/>
    <x v="54"/>
    <s v="CUST-0126"/>
    <s v="PROD-014"/>
    <x v="4"/>
    <s v="Retail Store"/>
    <n v="1"/>
    <n v="0"/>
    <s v="No"/>
    <n v="5"/>
    <n v="2"/>
    <s v="Printer Paper"/>
    <s v="Office Supplies"/>
    <n v="17"/>
    <n v="8"/>
    <s v="Consumer"/>
    <n v="17"/>
    <n v="8"/>
    <n v="9"/>
    <n v="0.52941176470588236"/>
  </r>
  <r>
    <s v="ORD-10059"/>
    <x v="55"/>
    <s v="CUST-0299"/>
    <s v="PROD-005"/>
    <x v="3"/>
    <s v="Retail Store"/>
    <n v="2"/>
    <n v="0.1"/>
    <s v="No"/>
    <n v="4"/>
    <n v="3"/>
    <s v="Webcam"/>
    <s v="Technology"/>
    <n v="115"/>
    <n v="58"/>
    <s v="Consumer"/>
    <n v="207"/>
    <n v="116"/>
    <n v="91"/>
    <n v="0.43961352657004832"/>
  </r>
  <r>
    <s v="ORD-10060"/>
    <x v="19"/>
    <s v="CUST-0081"/>
    <s v="PROD-003"/>
    <x v="4"/>
    <s v="Online"/>
    <n v="3"/>
    <n v="0.05"/>
    <s v="No"/>
    <n v="4"/>
    <n v="3"/>
    <s v="Keyboard"/>
    <s v="Technology"/>
    <n v="75"/>
    <n v="38"/>
    <s v="Corporate"/>
    <n v="213.75"/>
    <n v="114"/>
    <n v="99.75"/>
    <n v="0.46666666666666667"/>
  </r>
  <r>
    <s v="ORD-10061"/>
    <x v="56"/>
    <s v="CUST-0197"/>
    <s v="PROD-016"/>
    <x v="2"/>
    <s v="Online"/>
    <n v="2"/>
    <n v="0"/>
    <s v="No"/>
    <n v="1"/>
    <n v="7"/>
    <s v="Desk Organiser"/>
    <s v="Office Supplies"/>
    <n v="28"/>
    <n v="12"/>
    <s v="Corporate"/>
    <n v="56"/>
    <n v="24"/>
    <n v="32"/>
    <n v="0.5714285714285714"/>
  </r>
  <r>
    <s v="ORD-10062"/>
    <x v="57"/>
    <s v="CUST-0290"/>
    <s v="PROD-002"/>
    <x v="0"/>
    <s v="Retail Store"/>
    <n v="5"/>
    <n v="0.15"/>
    <s v="No"/>
    <n v="3"/>
    <n v="3"/>
    <s v="Monitor"/>
    <s v="Technology"/>
    <n v="310"/>
    <n v="190"/>
    <s v="Consumer"/>
    <n v="1317.5"/>
    <n v="950"/>
    <n v="367.5"/>
    <n v="0.27893738140417457"/>
  </r>
  <r>
    <s v="ORD-10063"/>
    <x v="58"/>
    <s v="CUST-0098"/>
    <s v="PROD-009"/>
    <x v="1"/>
    <s v="Retail Store"/>
    <n v="3"/>
    <n v="0.15"/>
    <s v="No"/>
    <n v="5"/>
    <n v="1"/>
    <s v="Bookshelf"/>
    <s v="Furniture"/>
    <n v="185"/>
    <n v="105"/>
    <s v="Corporate"/>
    <n v="471.75"/>
    <n v="315"/>
    <n v="156.75"/>
    <n v="0.33227344992050872"/>
  </r>
  <r>
    <s v="ORD-10064"/>
    <x v="59"/>
    <s v="CUST-0226"/>
    <s v="PROD-002"/>
    <x v="4"/>
    <s v="Retail Store"/>
    <n v="1"/>
    <n v="0"/>
    <s v="No"/>
    <n v="3"/>
    <n v="2"/>
    <s v="Monitor"/>
    <s v="Technology"/>
    <n v="310"/>
    <n v="190"/>
    <s v="Corporate"/>
    <n v="310"/>
    <n v="190"/>
    <n v="120"/>
    <n v="0.38709677419354838"/>
  </r>
  <r>
    <s v="ORD-10065"/>
    <x v="60"/>
    <s v="CUST-0188"/>
    <s v="PROD-009"/>
    <x v="0"/>
    <s v="Online"/>
    <n v="5"/>
    <n v="0.05"/>
    <s v="No"/>
    <n v="5"/>
    <n v="3"/>
    <s v="Bookshelf"/>
    <s v="Furniture"/>
    <n v="185"/>
    <n v="105"/>
    <s v="Consumer"/>
    <n v="878.75"/>
    <n v="525"/>
    <n v="353.75"/>
    <n v="0.40256045519203415"/>
  </r>
  <r>
    <s v="ORD-10066"/>
    <x v="61"/>
    <s v="CUST-0240"/>
    <s v="PROD-003"/>
    <x v="2"/>
    <s v="B2B Sales"/>
    <n v="5"/>
    <n v="0.1"/>
    <s v="Yes"/>
    <n v="5"/>
    <n v="8"/>
    <s v="Keyboard"/>
    <s v="Technology"/>
    <n v="75"/>
    <n v="38"/>
    <s v="Corporate"/>
    <n v="337.5"/>
    <n v="190"/>
    <n v="147.5"/>
    <n v="0.43703703703703706"/>
  </r>
  <r>
    <s v="ORD-10067"/>
    <x v="62"/>
    <s v="CUST-0203"/>
    <s v="PROD-001"/>
    <x v="3"/>
    <s v="Online"/>
    <n v="2"/>
    <n v="0.1"/>
    <s v="No"/>
    <n v="4"/>
    <n v="3"/>
    <s v="Laptop"/>
    <s v="Technology"/>
    <n v="1100"/>
    <n v="720"/>
    <s v="Small Business"/>
    <n v="1980"/>
    <n v="1440"/>
    <n v="540"/>
    <n v="0.27272727272727271"/>
  </r>
  <r>
    <s v="ORD-10068"/>
    <x v="63"/>
    <s v="CUST-0120"/>
    <s v="PROD-016"/>
    <x v="2"/>
    <s v="B2B Sales"/>
    <n v="3"/>
    <n v="0.15"/>
    <s v="No"/>
    <n v="2"/>
    <n v="7"/>
    <s v="Desk Organiser"/>
    <s v="Office Supplies"/>
    <n v="28"/>
    <n v="12"/>
    <s v="Consumer"/>
    <n v="71.399999999999991"/>
    <n v="36"/>
    <n v="35.399999999999991"/>
    <n v="0.49579831932773105"/>
  </r>
  <r>
    <s v="ORD-10069"/>
    <x v="64"/>
    <s v="CUST-0060"/>
    <s v="PROD-005"/>
    <x v="2"/>
    <s v="Online"/>
    <n v="8"/>
    <n v="0"/>
    <s v="No"/>
    <n v="4"/>
    <n v="4"/>
    <s v="Webcam"/>
    <s v="Technology"/>
    <n v="115"/>
    <n v="58"/>
    <s v="Consumer"/>
    <n v="920"/>
    <n v="464"/>
    <n v="456"/>
    <n v="0.4956521739130435"/>
  </r>
  <r>
    <s v="ORD-10070"/>
    <x v="65"/>
    <s v="CUST-0190"/>
    <s v="PROD-014"/>
    <x v="4"/>
    <s v="Retail Store"/>
    <n v="5"/>
    <n v="0.05"/>
    <s v="No"/>
    <n v="5"/>
    <n v="3"/>
    <s v="Printer Paper"/>
    <s v="Office Supplies"/>
    <n v="17"/>
    <n v="8"/>
    <s v="Consumer"/>
    <n v="80.75"/>
    <n v="40"/>
    <n v="40.75"/>
    <n v="0.50464396284829727"/>
  </r>
  <r>
    <s v="ORD-10071"/>
    <x v="66"/>
    <s v="CUST-0190"/>
    <s v="PROD-007"/>
    <x v="4"/>
    <s v="B2B Sales"/>
    <n v="5"/>
    <n v="0"/>
    <s v="No"/>
    <n v="4"/>
    <n v="3"/>
    <s v="Standing Desk"/>
    <s v="Furniture"/>
    <n v="540"/>
    <n v="320"/>
    <s v="Consumer"/>
    <n v="2700"/>
    <n v="1600"/>
    <n v="1100"/>
    <n v="0.40740740740740738"/>
  </r>
  <r>
    <s v="ORD-10072"/>
    <x v="67"/>
    <s v="CUST-0204"/>
    <s v="PROD-009"/>
    <x v="2"/>
    <s v="Online"/>
    <n v="5"/>
    <n v="0"/>
    <s v="No"/>
    <n v="5"/>
    <n v="5"/>
    <s v="Bookshelf"/>
    <s v="Furniture"/>
    <n v="185"/>
    <n v="105"/>
    <s v="Consumer"/>
    <n v="925"/>
    <n v="525"/>
    <n v="400"/>
    <n v="0.43243243243243246"/>
  </r>
  <r>
    <s v="ORD-10073"/>
    <x v="68"/>
    <s v="CUST-0026"/>
    <s v="PROD-011"/>
    <x v="3"/>
    <s v="Online"/>
    <n v="3"/>
    <n v="0"/>
    <s v="No"/>
    <n v="3"/>
    <n v="2"/>
    <s v="Backpack"/>
    <s v="Accessories"/>
    <n v="85"/>
    <n v="39"/>
    <s v="Consumer"/>
    <n v="255"/>
    <n v="117"/>
    <n v="138"/>
    <n v="0.54117647058823526"/>
  </r>
  <r>
    <s v="ORD-10074"/>
    <x v="69"/>
    <s v="CUST-0169"/>
    <s v="PROD-005"/>
    <x v="0"/>
    <s v="Retail Store"/>
    <n v="1"/>
    <n v="0.2"/>
    <s v="Yes"/>
    <n v="4"/>
    <n v="3"/>
    <s v="Webcam"/>
    <s v="Technology"/>
    <n v="115"/>
    <n v="58"/>
    <s v="Consumer"/>
    <n v="92"/>
    <n v="58"/>
    <n v="34"/>
    <n v="0.36956521739130432"/>
  </r>
  <r>
    <s v="ORD-10075"/>
    <x v="25"/>
    <s v="CUST-0068"/>
    <s v="PROD-001"/>
    <x v="3"/>
    <s v="Retail Store"/>
    <n v="3"/>
    <n v="0"/>
    <s v="No"/>
    <n v="3"/>
    <n v="4"/>
    <s v="Laptop"/>
    <s v="Technology"/>
    <n v="1100"/>
    <n v="720"/>
    <s v="Consumer"/>
    <n v="3300"/>
    <n v="2160"/>
    <n v="1140"/>
    <n v="0.34545454545454546"/>
  </r>
  <r>
    <s v="ORD-10076"/>
    <x v="70"/>
    <s v="CUST-0059"/>
    <s v="PROD-003"/>
    <x v="4"/>
    <s v="Retail Store"/>
    <n v="2"/>
    <n v="0"/>
    <s v="No"/>
    <n v="5"/>
    <n v="1"/>
    <s v="Keyboard"/>
    <s v="Technology"/>
    <n v="75"/>
    <n v="38"/>
    <s v="Consumer"/>
    <n v="150"/>
    <n v="76"/>
    <n v="74"/>
    <n v="0.49333333333333335"/>
  </r>
  <r>
    <s v="ORD-10077"/>
    <x v="71"/>
    <s v="CUST-0155"/>
    <s v="PROD-015"/>
    <x v="1"/>
    <s v="Online"/>
    <n v="8"/>
    <n v="0.15"/>
    <s v="No"/>
    <n v="2"/>
    <n v="5"/>
    <s v="File Folder Pack"/>
    <s v="Office Supplies"/>
    <n v="23"/>
    <n v="10"/>
    <s v="Consumer"/>
    <n v="156.4"/>
    <n v="80"/>
    <n v="76.400000000000006"/>
    <n v="0.48849104859335041"/>
  </r>
  <r>
    <s v="ORD-10078"/>
    <x v="72"/>
    <s v="CUST-0165"/>
    <s v="PROD-005"/>
    <x v="2"/>
    <s v="Online"/>
    <n v="3"/>
    <n v="0.05"/>
    <s v="No"/>
    <n v="5"/>
    <n v="5"/>
    <s v="Webcam"/>
    <s v="Technology"/>
    <n v="115"/>
    <n v="58"/>
    <s v="Small Business"/>
    <n v="327.75"/>
    <n v="174"/>
    <n v="153.75"/>
    <n v="0.46910755148741418"/>
  </r>
  <r>
    <s v="ORD-10079"/>
    <x v="73"/>
    <s v="CUST-0233"/>
    <s v="PROD-014"/>
    <x v="2"/>
    <s v="Retail Store"/>
    <n v="5"/>
    <n v="0.05"/>
    <s v="No"/>
    <n v="5"/>
    <n v="2"/>
    <s v="Printer Paper"/>
    <s v="Office Supplies"/>
    <n v="17"/>
    <n v="8"/>
    <s v="Corporate"/>
    <n v="80.75"/>
    <n v="40"/>
    <n v="40.75"/>
    <n v="0.50464396284829727"/>
  </r>
  <r>
    <s v="ORD-10080"/>
    <x v="74"/>
    <s v="CUST-0232"/>
    <s v="PROD-008"/>
    <x v="3"/>
    <s v="Retail Store"/>
    <n v="2"/>
    <n v="0.1"/>
    <s v="No"/>
    <n v="4"/>
    <n v="3"/>
    <s v="Office Chair"/>
    <s v="Furniture"/>
    <n v="255"/>
    <n v="145"/>
    <s v="Consumer"/>
    <n v="459"/>
    <n v="290"/>
    <n v="169"/>
    <n v="0.36819172113289761"/>
  </r>
  <r>
    <s v="ORD-10081"/>
    <x v="75"/>
    <s v="CUST-0079"/>
    <s v="PROD-016"/>
    <x v="2"/>
    <s v="B2B Sales"/>
    <n v="1"/>
    <n v="0"/>
    <s v="No"/>
    <n v="5"/>
    <n v="5"/>
    <s v="Desk Organiser"/>
    <s v="Office Supplies"/>
    <n v="28"/>
    <n v="12"/>
    <s v="Consumer"/>
    <n v="28"/>
    <n v="12"/>
    <n v="16"/>
    <n v="0.5714285714285714"/>
  </r>
  <r>
    <s v="ORD-10082"/>
    <x v="76"/>
    <s v="CUST-0288"/>
    <s v="PROD-011"/>
    <x v="1"/>
    <s v="Online"/>
    <n v="5"/>
    <n v="0.2"/>
    <s v="No"/>
    <n v="5"/>
    <n v="1"/>
    <s v="Backpack"/>
    <s v="Accessories"/>
    <n v="85"/>
    <n v="39"/>
    <s v="Consumer"/>
    <n v="340"/>
    <n v="195"/>
    <n v="145"/>
    <n v="0.4264705882352941"/>
  </r>
  <r>
    <s v="ORD-10083"/>
    <x v="45"/>
    <s v="CUST-0160"/>
    <s v="PROD-012"/>
    <x v="2"/>
    <s v="Retail Store"/>
    <n v="1"/>
    <n v="0.05"/>
    <s v="No"/>
    <n v="4"/>
    <n v="5"/>
    <s v="USB-C Hub"/>
    <s v="Accessories"/>
    <n v="68"/>
    <n v="31"/>
    <s v="Consumer"/>
    <n v="64.599999999999994"/>
    <n v="31"/>
    <n v="33.599999999999994"/>
    <n v="0.52012383900928794"/>
  </r>
  <r>
    <s v="ORD-10084"/>
    <x v="77"/>
    <s v="CUST-0059"/>
    <s v="PROD-009"/>
    <x v="4"/>
    <s v="Retail Store"/>
    <n v="5"/>
    <n v="0.2"/>
    <s v="No"/>
    <n v="5"/>
    <n v="5"/>
    <s v="Bookshelf"/>
    <s v="Furniture"/>
    <n v="185"/>
    <n v="105"/>
    <s v="Consumer"/>
    <n v="740"/>
    <n v="525"/>
    <n v="215"/>
    <n v="0.29054054054054052"/>
  </r>
  <r>
    <s v="ORD-10085"/>
    <x v="25"/>
    <s v="CUST-0137"/>
    <s v="PROD-001"/>
    <x v="2"/>
    <s v="Retail Store"/>
    <n v="1"/>
    <n v="0"/>
    <s v="No"/>
    <n v="5"/>
    <n v="5"/>
    <s v="Laptop"/>
    <s v="Technology"/>
    <n v="1100"/>
    <n v="720"/>
    <s v="Consumer"/>
    <n v="1100"/>
    <n v="720"/>
    <n v="380"/>
    <n v="0.34545454545454546"/>
  </r>
  <r>
    <s v="ORD-10086"/>
    <x v="43"/>
    <s v="CUST-0036"/>
    <s v="PROD-005"/>
    <x v="1"/>
    <s v="B2B Sales"/>
    <n v="1"/>
    <n v="0.05"/>
    <s v="No"/>
    <n v="4"/>
    <n v="2"/>
    <s v="Webcam"/>
    <s v="Technology"/>
    <n v="115"/>
    <n v="58"/>
    <s v="Corporate"/>
    <n v="109.25"/>
    <n v="58"/>
    <n v="51.25"/>
    <n v="0.46910755148741418"/>
  </r>
  <r>
    <s v="ORD-10087"/>
    <x v="78"/>
    <s v="CUST-0160"/>
    <s v="PROD-011"/>
    <x v="0"/>
    <s v="Retail Store"/>
    <n v="1"/>
    <n v="0"/>
    <s v="No"/>
    <n v="5"/>
    <n v="1"/>
    <s v="Backpack"/>
    <s v="Accessories"/>
    <n v="85"/>
    <n v="39"/>
    <s v="Consumer"/>
    <n v="85"/>
    <n v="39"/>
    <n v="46"/>
    <n v="0.54117647058823526"/>
  </r>
  <r>
    <s v="ORD-10088"/>
    <x v="79"/>
    <s v="CUST-0227"/>
    <s v="PROD-014"/>
    <x v="4"/>
    <s v="Online"/>
    <n v="1"/>
    <n v="0.1"/>
    <s v="No"/>
    <n v="4"/>
    <n v="3"/>
    <s v="Printer Paper"/>
    <s v="Office Supplies"/>
    <n v="17"/>
    <n v="8"/>
    <s v="Corporate"/>
    <n v="15.3"/>
    <n v="8"/>
    <n v="7.3000000000000007"/>
    <n v="0.47712418300653597"/>
  </r>
  <r>
    <s v="ORD-10089"/>
    <x v="80"/>
    <s v="CUST-0250"/>
    <s v="PROD-010"/>
    <x v="2"/>
    <s v="Online"/>
    <n v="3"/>
    <n v="0"/>
    <s v="No"/>
    <n v="3"/>
    <n v="2"/>
    <s v="Laptop Stand"/>
    <s v="Accessories"/>
    <n v="48"/>
    <n v="22"/>
    <s v="Consumer"/>
    <n v="144"/>
    <n v="66"/>
    <n v="78"/>
    <n v="0.54166666666666663"/>
  </r>
  <r>
    <s v="ORD-10090"/>
    <x v="81"/>
    <s v="CUST-0149"/>
    <s v="PROD-011"/>
    <x v="2"/>
    <s v="Retail Store"/>
    <n v="2"/>
    <n v="0"/>
    <s v="No"/>
    <n v="3"/>
    <n v="5"/>
    <s v="Backpack"/>
    <s v="Accessories"/>
    <n v="85"/>
    <n v="39"/>
    <s v="Consumer"/>
    <n v="170"/>
    <n v="78"/>
    <n v="92"/>
    <n v="0.54117647058823526"/>
  </r>
  <r>
    <s v="ORD-10091"/>
    <x v="82"/>
    <s v="CUST-0037"/>
    <s v="PROD-013"/>
    <x v="0"/>
    <s v="Online"/>
    <n v="1"/>
    <n v="0.15"/>
    <s v="No"/>
    <n v="4"/>
    <n v="5"/>
    <s v="Phone Charger"/>
    <s v="Accessories"/>
    <n v="32"/>
    <n v="13"/>
    <s v="Small Business"/>
    <n v="27.2"/>
    <n v="13"/>
    <n v="14.2"/>
    <n v="0.5220588235294118"/>
  </r>
  <r>
    <s v="ORD-10092"/>
    <x v="83"/>
    <s v="CUST-0214"/>
    <s v="PROD-010"/>
    <x v="2"/>
    <s v="Online"/>
    <n v="2"/>
    <n v="0.1"/>
    <s v="No"/>
    <n v="5"/>
    <n v="3"/>
    <s v="Laptop Stand"/>
    <s v="Accessories"/>
    <n v="48"/>
    <n v="22"/>
    <s v="Consumer"/>
    <n v="86.4"/>
    <n v="44"/>
    <n v="42.400000000000006"/>
    <n v="0.49074074074074076"/>
  </r>
  <r>
    <s v="ORD-10093"/>
    <x v="84"/>
    <s v="CUST-0224"/>
    <s v="PROD-004"/>
    <x v="3"/>
    <s v="Retail Store"/>
    <n v="2"/>
    <n v="0"/>
    <s v="No"/>
    <n v="4"/>
    <n v="3"/>
    <s v="Mouse"/>
    <s v="Technology"/>
    <n v="42"/>
    <n v="19"/>
    <s v="Corporate"/>
    <n v="84"/>
    <n v="38"/>
    <n v="46"/>
    <n v="0.54761904761904767"/>
  </r>
  <r>
    <s v="ORD-10094"/>
    <x v="85"/>
    <s v="CUST-0040"/>
    <s v="PROD-004"/>
    <x v="4"/>
    <s v="Online"/>
    <n v="4"/>
    <n v="0"/>
    <s v="Yes"/>
    <n v="5"/>
    <n v="4"/>
    <s v="Mouse"/>
    <s v="Technology"/>
    <n v="42"/>
    <n v="19"/>
    <s v="Corporate"/>
    <n v="168"/>
    <n v="76"/>
    <n v="92"/>
    <n v="0.54761904761904767"/>
  </r>
  <r>
    <s v="ORD-10095"/>
    <x v="35"/>
    <s v="CUST-0075"/>
    <s v="PROD-009"/>
    <x v="2"/>
    <s v="Retail Store"/>
    <n v="4"/>
    <n v="0.05"/>
    <s v="No"/>
    <n v="5"/>
    <n v="4"/>
    <s v="Bookshelf"/>
    <s v="Furniture"/>
    <n v="185"/>
    <n v="105"/>
    <s v="Corporate"/>
    <n v="703"/>
    <n v="420"/>
    <n v="283"/>
    <n v="0.40256045519203415"/>
  </r>
  <r>
    <s v="ORD-10096"/>
    <x v="29"/>
    <s v="CUST-0289"/>
    <s v="PROD-015"/>
    <x v="1"/>
    <s v="B2B Sales"/>
    <n v="3"/>
    <n v="0.2"/>
    <s v="No"/>
    <n v="5"/>
    <n v="3"/>
    <s v="File Folder Pack"/>
    <s v="Office Supplies"/>
    <n v="23"/>
    <n v="10"/>
    <s v="Consumer"/>
    <n v="55.2"/>
    <n v="30"/>
    <n v="25.200000000000003"/>
    <n v="0.45652173913043481"/>
  </r>
  <r>
    <s v="ORD-10097"/>
    <x v="86"/>
    <s v="CUST-0226"/>
    <s v="PROD-003"/>
    <x v="4"/>
    <s v="Retail Store"/>
    <n v="4"/>
    <n v="0.05"/>
    <s v="No"/>
    <n v="2"/>
    <n v="8"/>
    <s v="Keyboard"/>
    <s v="Technology"/>
    <n v="75"/>
    <n v="38"/>
    <s v="Corporate"/>
    <n v="285"/>
    <n v="152"/>
    <n v="133"/>
    <n v="0.46666666666666667"/>
  </r>
  <r>
    <s v="ORD-10098"/>
    <x v="87"/>
    <s v="CUST-0030"/>
    <s v="PROD-012"/>
    <x v="0"/>
    <s v="Online"/>
    <n v="5"/>
    <n v="0.15"/>
    <s v="No"/>
    <n v="4"/>
    <n v="4"/>
    <s v="USB-C Hub"/>
    <s v="Accessories"/>
    <n v="68"/>
    <n v="31"/>
    <s v="Corporate"/>
    <n v="289"/>
    <n v="155"/>
    <n v="134"/>
    <n v="0.46366782006920415"/>
  </r>
  <r>
    <s v="ORD-10099"/>
    <x v="88"/>
    <s v="CUST-0284"/>
    <s v="PROD-002"/>
    <x v="4"/>
    <s v="Retail Store"/>
    <n v="3"/>
    <n v="0"/>
    <s v="No"/>
    <n v="3"/>
    <n v="1"/>
    <s v="Monitor"/>
    <s v="Technology"/>
    <n v="310"/>
    <n v="190"/>
    <s v="Consumer"/>
    <n v="930"/>
    <n v="570"/>
    <n v="360"/>
    <n v="0.38709677419354838"/>
  </r>
  <r>
    <s v="ORD-10100"/>
    <x v="89"/>
    <s v="CUST-0053"/>
    <s v="PROD-011"/>
    <x v="0"/>
    <s v="Online"/>
    <n v="3"/>
    <n v="0"/>
    <s v="No"/>
    <n v="5"/>
    <n v="5"/>
    <s v="Backpack"/>
    <s v="Accessories"/>
    <n v="85"/>
    <n v="39"/>
    <s v="Consumer"/>
    <n v="255"/>
    <n v="117"/>
    <n v="138"/>
    <n v="0.54117647058823526"/>
  </r>
  <r>
    <s v="ORD-10101"/>
    <x v="90"/>
    <s v="CUST-0082"/>
    <s v="PROD-012"/>
    <x v="3"/>
    <s v="Online"/>
    <n v="2"/>
    <n v="0"/>
    <s v="No"/>
    <n v="5"/>
    <n v="3"/>
    <s v="USB-C Hub"/>
    <s v="Accessories"/>
    <n v="68"/>
    <n v="31"/>
    <s v="Consumer"/>
    <n v="136"/>
    <n v="62"/>
    <n v="74"/>
    <n v="0.54411764705882348"/>
  </r>
  <r>
    <s v="ORD-10102"/>
    <x v="91"/>
    <s v="CUST-0169"/>
    <s v="PROD-004"/>
    <x v="4"/>
    <s v="Online"/>
    <n v="1"/>
    <n v="0.15"/>
    <s v="Yes"/>
    <n v="4"/>
    <n v="5"/>
    <s v="Mouse"/>
    <s v="Technology"/>
    <n v="42"/>
    <n v="19"/>
    <s v="Consumer"/>
    <n v="35.699999999999996"/>
    <n v="19"/>
    <n v="16.699999999999996"/>
    <n v="0.46778711484593832"/>
  </r>
  <r>
    <s v="ORD-10103"/>
    <x v="92"/>
    <s v="CUST-0299"/>
    <s v="PROD-005"/>
    <x v="0"/>
    <s v="Online"/>
    <n v="3"/>
    <n v="0.1"/>
    <s v="No"/>
    <n v="5"/>
    <n v="1"/>
    <s v="Webcam"/>
    <s v="Technology"/>
    <n v="115"/>
    <n v="58"/>
    <s v="Consumer"/>
    <n v="310.5"/>
    <n v="174"/>
    <n v="136.5"/>
    <n v="0.43961352657004832"/>
  </r>
  <r>
    <s v="ORD-10104"/>
    <x v="93"/>
    <s v="CUST-0287"/>
    <s v="PROD-013"/>
    <x v="1"/>
    <s v="Online"/>
    <n v="1"/>
    <n v="0.1"/>
    <s v="Yes"/>
    <n v="5"/>
    <n v="6"/>
    <s v="Phone Charger"/>
    <s v="Accessories"/>
    <n v="32"/>
    <n v="13"/>
    <s v="Small Business"/>
    <n v="28.8"/>
    <n v="13"/>
    <n v="15.8"/>
    <n v="0.54861111111111116"/>
  </r>
  <r>
    <s v="ORD-10105"/>
    <x v="94"/>
    <s v="CUST-0261"/>
    <s v="PROD-012"/>
    <x v="2"/>
    <s v="Online"/>
    <n v="7"/>
    <n v="0"/>
    <s v="No"/>
    <n v="3"/>
    <n v="2"/>
    <s v="USB-C Hub"/>
    <s v="Accessories"/>
    <n v="68"/>
    <n v="31"/>
    <s v="Small Business"/>
    <n v="476"/>
    <n v="217"/>
    <n v="259"/>
    <n v="0.54411764705882348"/>
  </r>
  <r>
    <s v="ORD-10106"/>
    <x v="51"/>
    <s v="CUST-0040"/>
    <s v="PROD-010"/>
    <x v="0"/>
    <s v="Online"/>
    <n v="4"/>
    <n v="0.15"/>
    <s v="No"/>
    <n v="1"/>
    <n v="5"/>
    <s v="Laptop Stand"/>
    <s v="Accessories"/>
    <n v="48"/>
    <n v="22"/>
    <s v="Corporate"/>
    <n v="163.19999999999999"/>
    <n v="88"/>
    <n v="75.199999999999989"/>
    <n v="0.46078431372549017"/>
  </r>
  <r>
    <s v="ORD-10107"/>
    <x v="95"/>
    <s v="CUST-0079"/>
    <s v="PROD-006"/>
    <x v="2"/>
    <s v="Retail Store"/>
    <n v="3"/>
    <n v="0.15"/>
    <s v="No"/>
    <n v="2"/>
    <n v="5"/>
    <s v="Headset"/>
    <s v="Technology"/>
    <n v="98"/>
    <n v="46"/>
    <s v="Consumer"/>
    <n v="249.9"/>
    <n v="138"/>
    <n v="111.9"/>
    <n v="0.44777911164465789"/>
  </r>
  <r>
    <s v="ORD-10108"/>
    <x v="96"/>
    <s v="CUST-0146"/>
    <s v="PROD-015"/>
    <x v="3"/>
    <s v="Online"/>
    <n v="7"/>
    <n v="0.1"/>
    <s v="No"/>
    <n v="3"/>
    <n v="5"/>
    <s v="File Folder Pack"/>
    <s v="Office Supplies"/>
    <n v="23"/>
    <n v="10"/>
    <s v="Consumer"/>
    <n v="144.9"/>
    <n v="70"/>
    <n v="74.900000000000006"/>
    <n v="0.51690821256038644"/>
  </r>
  <r>
    <s v="ORD-10109"/>
    <x v="97"/>
    <s v="CUST-0237"/>
    <s v="PROD-010"/>
    <x v="0"/>
    <s v="Retail Store"/>
    <n v="2"/>
    <n v="0"/>
    <s v="No"/>
    <n v="4"/>
    <n v="3"/>
    <s v="Laptop Stand"/>
    <s v="Accessories"/>
    <n v="48"/>
    <n v="22"/>
    <s v="Small Business"/>
    <n v="96"/>
    <n v="44"/>
    <n v="52"/>
    <n v="0.54166666666666663"/>
  </r>
  <r>
    <s v="ORD-10110"/>
    <x v="98"/>
    <s v="CUST-0247"/>
    <s v="PROD-012"/>
    <x v="4"/>
    <s v="Online"/>
    <n v="5"/>
    <n v="0.15"/>
    <s v="No"/>
    <n v="5"/>
    <n v="3"/>
    <s v="USB-C Hub"/>
    <s v="Accessories"/>
    <n v="68"/>
    <n v="31"/>
    <s v="Consumer"/>
    <n v="289"/>
    <n v="155"/>
    <n v="134"/>
    <n v="0.46366782006920415"/>
  </r>
  <r>
    <s v="ORD-10111"/>
    <x v="99"/>
    <s v="CUST-0263"/>
    <s v="PROD-005"/>
    <x v="0"/>
    <s v="Online"/>
    <n v="6"/>
    <n v="0.1"/>
    <s v="No"/>
    <n v="5"/>
    <n v="4"/>
    <s v="Webcam"/>
    <s v="Technology"/>
    <n v="115"/>
    <n v="58"/>
    <s v="Consumer"/>
    <n v="621"/>
    <n v="348"/>
    <n v="273"/>
    <n v="0.43961352657004832"/>
  </r>
  <r>
    <s v="ORD-10112"/>
    <x v="100"/>
    <s v="CUST-0203"/>
    <s v="PROD-012"/>
    <x v="3"/>
    <s v="B2B Sales"/>
    <n v="2"/>
    <n v="0"/>
    <s v="Yes"/>
    <n v="5"/>
    <n v="5"/>
    <s v="USB-C Hub"/>
    <s v="Accessories"/>
    <n v="68"/>
    <n v="31"/>
    <s v="Small Business"/>
    <n v="136"/>
    <n v="62"/>
    <n v="74"/>
    <n v="0.54411764705882348"/>
  </r>
  <r>
    <s v="ORD-10113"/>
    <x v="101"/>
    <s v="CUST-0020"/>
    <s v="PROD-010"/>
    <x v="0"/>
    <s v="Online"/>
    <n v="5"/>
    <n v="0.1"/>
    <s v="No"/>
    <n v="5"/>
    <n v="1"/>
    <s v="Laptop Stand"/>
    <s v="Accessories"/>
    <n v="48"/>
    <n v="22"/>
    <s v="Consumer"/>
    <n v="216"/>
    <n v="110"/>
    <n v="106"/>
    <n v="0.49074074074074076"/>
  </r>
  <r>
    <s v="ORD-10114"/>
    <x v="102"/>
    <s v="CUST-0132"/>
    <s v="PROD-007"/>
    <x v="0"/>
    <s v="Retail Store"/>
    <n v="4"/>
    <n v="0.05"/>
    <s v="No"/>
    <n v="4"/>
    <n v="3"/>
    <s v="Standing Desk"/>
    <s v="Furniture"/>
    <n v="540"/>
    <n v="320"/>
    <s v="Consumer"/>
    <n v="2052"/>
    <n v="1280"/>
    <n v="772"/>
    <n v="0.37621832358674462"/>
  </r>
  <r>
    <s v="ORD-10115"/>
    <x v="103"/>
    <s v="CUST-0025"/>
    <s v="PROD-008"/>
    <x v="3"/>
    <s v="Retail Store"/>
    <n v="2"/>
    <n v="0"/>
    <s v="No"/>
    <n v="4"/>
    <n v="1"/>
    <s v="Office Chair"/>
    <s v="Furniture"/>
    <n v="255"/>
    <n v="145"/>
    <s v="Small Business"/>
    <n v="510"/>
    <n v="290"/>
    <n v="220"/>
    <n v="0.43137254901960786"/>
  </r>
  <r>
    <s v="ORD-10116"/>
    <x v="104"/>
    <s v="CUST-0295"/>
    <s v="PROD-008"/>
    <x v="1"/>
    <s v="Online"/>
    <n v="1"/>
    <n v="0"/>
    <s v="No"/>
    <n v="3"/>
    <n v="1"/>
    <s v="Office Chair"/>
    <s v="Furniture"/>
    <n v="255"/>
    <n v="145"/>
    <s v="Corporate"/>
    <n v="255"/>
    <n v="145"/>
    <n v="110"/>
    <n v="0.43137254901960786"/>
  </r>
  <r>
    <s v="ORD-10117"/>
    <x v="105"/>
    <s v="CUST-0185"/>
    <s v="PROD-003"/>
    <x v="0"/>
    <s v="Retail Store"/>
    <n v="4"/>
    <n v="0.05"/>
    <s v="No"/>
    <n v="5"/>
    <n v="1"/>
    <s v="Keyboard"/>
    <s v="Technology"/>
    <n v="75"/>
    <n v="38"/>
    <s v="Consumer"/>
    <n v="285"/>
    <n v="152"/>
    <n v="133"/>
    <n v="0.46666666666666667"/>
  </r>
  <r>
    <s v="ORD-10118"/>
    <x v="106"/>
    <s v="CUST-0192"/>
    <s v="PROD-009"/>
    <x v="1"/>
    <s v="Online"/>
    <n v="1"/>
    <n v="0"/>
    <s v="No"/>
    <n v="2"/>
    <n v="8"/>
    <s v="Bookshelf"/>
    <s v="Furniture"/>
    <n v="185"/>
    <n v="105"/>
    <s v="Consumer"/>
    <n v="185"/>
    <n v="105"/>
    <n v="80"/>
    <n v="0.43243243243243246"/>
  </r>
  <r>
    <s v="ORD-10119"/>
    <x v="107"/>
    <s v="CUST-0023"/>
    <s v="PROD-012"/>
    <x v="4"/>
    <s v="Retail Store"/>
    <n v="1"/>
    <n v="0.1"/>
    <s v="No"/>
    <n v="5"/>
    <n v="2"/>
    <s v="USB-C Hub"/>
    <s v="Accessories"/>
    <n v="68"/>
    <n v="31"/>
    <s v="Consumer"/>
    <n v="61.2"/>
    <n v="31"/>
    <n v="30.200000000000003"/>
    <n v="0.49346405228758172"/>
  </r>
  <r>
    <s v="ORD-10120"/>
    <x v="108"/>
    <s v="CUST-0033"/>
    <s v="PROD-015"/>
    <x v="2"/>
    <s v="Online"/>
    <n v="4"/>
    <n v="0.15"/>
    <s v="No"/>
    <n v="4"/>
    <n v="4"/>
    <s v="File Folder Pack"/>
    <s v="Office Supplies"/>
    <n v="23"/>
    <n v="10"/>
    <s v="Corporate"/>
    <n v="78.2"/>
    <n v="40"/>
    <n v="38.200000000000003"/>
    <n v="0.48849104859335041"/>
  </r>
  <r>
    <s v="ORD-10121"/>
    <x v="109"/>
    <s v="CUST-0243"/>
    <s v="PROD-009"/>
    <x v="2"/>
    <s v="Retail Store"/>
    <n v="1"/>
    <n v="0.15"/>
    <s v="No"/>
    <n v="5"/>
    <n v="3"/>
    <s v="Bookshelf"/>
    <s v="Furniture"/>
    <n v="185"/>
    <n v="105"/>
    <s v="Corporate"/>
    <n v="157.25"/>
    <n v="105"/>
    <n v="52.25"/>
    <n v="0.33227344992050872"/>
  </r>
  <r>
    <s v="ORD-10122"/>
    <x v="110"/>
    <s v="CUST-0189"/>
    <s v="PROD-014"/>
    <x v="0"/>
    <s v="Retail Store"/>
    <n v="6"/>
    <n v="0"/>
    <s v="Yes"/>
    <n v="4"/>
    <n v="7"/>
    <s v="Printer Paper"/>
    <s v="Office Supplies"/>
    <n v="17"/>
    <n v="8"/>
    <s v="Consumer"/>
    <n v="102"/>
    <n v="48"/>
    <n v="54"/>
    <n v="0.52941176470588236"/>
  </r>
  <r>
    <s v="ORD-10123"/>
    <x v="111"/>
    <s v="CUST-0137"/>
    <s v="PROD-003"/>
    <x v="1"/>
    <s v="Online"/>
    <n v="3"/>
    <n v="0.1"/>
    <s v="No"/>
    <n v="4"/>
    <n v="1"/>
    <s v="Keyboard"/>
    <s v="Technology"/>
    <n v="75"/>
    <n v="38"/>
    <s v="Consumer"/>
    <n v="202.5"/>
    <n v="114"/>
    <n v="88.5"/>
    <n v="0.43703703703703706"/>
  </r>
  <r>
    <s v="ORD-10124"/>
    <x v="112"/>
    <s v="CUST-0152"/>
    <s v="PROD-010"/>
    <x v="4"/>
    <s v="Retail Store"/>
    <n v="1"/>
    <n v="0"/>
    <s v="No"/>
    <n v="5"/>
    <n v="3"/>
    <s v="Laptop Stand"/>
    <s v="Accessories"/>
    <n v="48"/>
    <n v="22"/>
    <s v="Corporate"/>
    <n v="48"/>
    <n v="22"/>
    <n v="26"/>
    <n v="0.54166666666666663"/>
  </r>
  <r>
    <s v="ORD-10125"/>
    <x v="113"/>
    <s v="CUST-0141"/>
    <s v="PROD-002"/>
    <x v="2"/>
    <s v="Retail Store"/>
    <n v="2"/>
    <n v="0.1"/>
    <s v="No"/>
    <n v="5"/>
    <n v="2"/>
    <s v="Monitor"/>
    <s v="Technology"/>
    <n v="310"/>
    <n v="190"/>
    <s v="Consumer"/>
    <n v="558"/>
    <n v="380"/>
    <n v="178"/>
    <n v="0.31899641577060933"/>
  </r>
  <r>
    <s v="ORD-10126"/>
    <x v="114"/>
    <s v="CUST-0018"/>
    <s v="PROD-005"/>
    <x v="2"/>
    <s v="Retail Store"/>
    <n v="2"/>
    <n v="0"/>
    <s v="No"/>
    <n v="4"/>
    <n v="4"/>
    <s v="Webcam"/>
    <s v="Technology"/>
    <n v="115"/>
    <n v="58"/>
    <s v="Corporate"/>
    <n v="230"/>
    <n v="116"/>
    <n v="114"/>
    <n v="0.4956521739130435"/>
  </r>
  <r>
    <s v="ORD-10127"/>
    <x v="115"/>
    <s v="CUST-0191"/>
    <s v="PROD-015"/>
    <x v="1"/>
    <s v="Retail Store"/>
    <n v="2"/>
    <n v="0"/>
    <s v="No"/>
    <n v="3"/>
    <n v="1"/>
    <s v="File Folder Pack"/>
    <s v="Office Supplies"/>
    <n v="23"/>
    <n v="10"/>
    <s v="Consumer"/>
    <n v="46"/>
    <n v="20"/>
    <n v="26"/>
    <n v="0.56521739130434778"/>
  </r>
  <r>
    <s v="ORD-10128"/>
    <x v="25"/>
    <s v="CUST-0096"/>
    <s v="PROD-016"/>
    <x v="4"/>
    <s v="B2B Sales"/>
    <n v="1"/>
    <n v="0.1"/>
    <s v="No"/>
    <n v="3"/>
    <n v="5"/>
    <s v="Desk Organiser"/>
    <s v="Office Supplies"/>
    <n v="28"/>
    <n v="12"/>
    <s v="Consumer"/>
    <n v="25.2"/>
    <n v="12"/>
    <n v="13.2"/>
    <n v="0.52380952380952384"/>
  </r>
  <r>
    <s v="ORD-10129"/>
    <x v="116"/>
    <s v="CUST-0252"/>
    <s v="PROD-007"/>
    <x v="2"/>
    <s v="B2B Sales"/>
    <n v="2"/>
    <n v="0.15"/>
    <s v="No"/>
    <n v="2"/>
    <n v="6"/>
    <s v="Standing Desk"/>
    <s v="Furniture"/>
    <n v="540"/>
    <n v="320"/>
    <s v="Corporate"/>
    <n v="918"/>
    <n v="640"/>
    <n v="278"/>
    <n v="0.30283224400871461"/>
  </r>
  <r>
    <s v="ORD-10130"/>
    <x v="117"/>
    <s v="CUST-0282"/>
    <s v="PROD-010"/>
    <x v="0"/>
    <s v="B2B Sales"/>
    <n v="4"/>
    <n v="0.15"/>
    <s v="No"/>
    <n v="5"/>
    <n v="5"/>
    <s v="Laptop Stand"/>
    <s v="Accessories"/>
    <n v="48"/>
    <n v="22"/>
    <s v="Consumer"/>
    <n v="163.19999999999999"/>
    <n v="88"/>
    <n v="75.199999999999989"/>
    <n v="0.46078431372549017"/>
  </r>
  <r>
    <s v="ORD-10131"/>
    <x v="118"/>
    <s v="CUST-0063"/>
    <s v="PROD-007"/>
    <x v="0"/>
    <s v="Online"/>
    <n v="2"/>
    <n v="0"/>
    <s v="No"/>
    <n v="4"/>
    <n v="5"/>
    <s v="Standing Desk"/>
    <s v="Furniture"/>
    <n v="540"/>
    <n v="320"/>
    <s v="Corporate"/>
    <n v="1080"/>
    <n v="640"/>
    <n v="440"/>
    <n v="0.40740740740740738"/>
  </r>
  <r>
    <s v="ORD-10132"/>
    <x v="119"/>
    <s v="CUST-0045"/>
    <s v="PROD-003"/>
    <x v="3"/>
    <s v="B2B Sales"/>
    <n v="4"/>
    <n v="0.05"/>
    <s v="No"/>
    <n v="5"/>
    <n v="1"/>
    <s v="Keyboard"/>
    <s v="Technology"/>
    <n v="75"/>
    <n v="38"/>
    <s v="Consumer"/>
    <n v="285"/>
    <n v="152"/>
    <n v="133"/>
    <n v="0.46666666666666667"/>
  </r>
  <r>
    <s v="ORD-10133"/>
    <x v="120"/>
    <s v="CUST-0163"/>
    <s v="PROD-003"/>
    <x v="4"/>
    <s v="Retail Store"/>
    <n v="2"/>
    <n v="0.15"/>
    <s v="No"/>
    <n v="5"/>
    <n v="2"/>
    <s v="Keyboard"/>
    <s v="Technology"/>
    <n v="75"/>
    <n v="38"/>
    <s v="Consumer"/>
    <n v="127.5"/>
    <n v="76"/>
    <n v="51.5"/>
    <n v="0.40392156862745099"/>
  </r>
  <r>
    <s v="ORD-10134"/>
    <x v="119"/>
    <s v="CUST-0222"/>
    <s v="PROD-002"/>
    <x v="0"/>
    <s v="Retail Store"/>
    <n v="1"/>
    <n v="0"/>
    <s v="Yes"/>
    <n v="3"/>
    <n v="8"/>
    <s v="Monitor"/>
    <s v="Technology"/>
    <n v="310"/>
    <n v="190"/>
    <s v="Corporate"/>
    <n v="310"/>
    <n v="190"/>
    <n v="120"/>
    <n v="0.38709677419354838"/>
  </r>
  <r>
    <s v="ORD-10135"/>
    <x v="121"/>
    <s v="CUST-0129"/>
    <s v="PROD-007"/>
    <x v="1"/>
    <s v="Retail Store"/>
    <n v="1"/>
    <n v="0"/>
    <s v="No"/>
    <n v="4"/>
    <n v="2"/>
    <s v="Standing Desk"/>
    <s v="Furniture"/>
    <n v="540"/>
    <n v="320"/>
    <s v="Small Business"/>
    <n v="540"/>
    <n v="320"/>
    <n v="220"/>
    <n v="0.40740740740740738"/>
  </r>
  <r>
    <s v="ORD-10136"/>
    <x v="122"/>
    <s v="CUST-0298"/>
    <s v="PROD-005"/>
    <x v="2"/>
    <s v="Retail Store"/>
    <n v="6"/>
    <n v="0"/>
    <s v="Yes"/>
    <n v="2"/>
    <n v="2"/>
    <s v="Webcam"/>
    <s v="Technology"/>
    <n v="115"/>
    <n v="58"/>
    <s v="Consumer"/>
    <n v="690"/>
    <n v="348"/>
    <n v="342"/>
    <n v="0.4956521739130435"/>
  </r>
  <r>
    <s v="ORD-10137"/>
    <x v="123"/>
    <s v="CUST-0296"/>
    <s v="PROD-009"/>
    <x v="1"/>
    <s v="Retail Store"/>
    <n v="2"/>
    <n v="0.05"/>
    <s v="No"/>
    <n v="5"/>
    <n v="3"/>
    <s v="Bookshelf"/>
    <s v="Furniture"/>
    <n v="185"/>
    <n v="105"/>
    <s v="Corporate"/>
    <n v="351.5"/>
    <n v="210"/>
    <n v="141.5"/>
    <n v="0.40256045519203415"/>
  </r>
  <r>
    <s v="ORD-10138"/>
    <x v="124"/>
    <s v="CUST-0248"/>
    <s v="PROD-008"/>
    <x v="0"/>
    <s v="Retail Store"/>
    <n v="1"/>
    <n v="0"/>
    <s v="No"/>
    <n v="4"/>
    <n v="4"/>
    <s v="Office Chair"/>
    <s v="Furniture"/>
    <n v="255"/>
    <n v="145"/>
    <s v="Consumer"/>
    <n v="255"/>
    <n v="145"/>
    <n v="110"/>
    <n v="0.43137254901960786"/>
  </r>
  <r>
    <s v="ORD-10139"/>
    <x v="29"/>
    <s v="CUST-0105"/>
    <s v="PROD-011"/>
    <x v="1"/>
    <s v="Online"/>
    <n v="4"/>
    <n v="0.1"/>
    <s v="No"/>
    <n v="5"/>
    <n v="2"/>
    <s v="Backpack"/>
    <s v="Accessories"/>
    <n v="85"/>
    <n v="39"/>
    <s v="Consumer"/>
    <n v="306"/>
    <n v="156"/>
    <n v="150"/>
    <n v="0.49019607843137253"/>
  </r>
  <r>
    <s v="ORD-10140"/>
    <x v="115"/>
    <s v="CUST-0264"/>
    <s v="PROD-004"/>
    <x v="3"/>
    <s v="Online"/>
    <n v="1"/>
    <n v="0"/>
    <s v="No"/>
    <n v="4"/>
    <n v="4"/>
    <s v="Mouse"/>
    <s v="Technology"/>
    <n v="42"/>
    <n v="19"/>
    <s v="Consumer"/>
    <n v="42"/>
    <n v="19"/>
    <n v="23"/>
    <n v="0.54761904761904767"/>
  </r>
  <r>
    <s v="ORD-10141"/>
    <x v="125"/>
    <s v="CUST-0128"/>
    <s v="PROD-006"/>
    <x v="0"/>
    <s v="B2B Sales"/>
    <n v="4"/>
    <n v="0"/>
    <s v="No"/>
    <n v="5"/>
    <n v="4"/>
    <s v="Headset"/>
    <s v="Technology"/>
    <n v="98"/>
    <n v="46"/>
    <s v="Small Business"/>
    <n v="392"/>
    <n v="184"/>
    <n v="208"/>
    <n v="0.53061224489795922"/>
  </r>
  <r>
    <s v="ORD-10142"/>
    <x v="126"/>
    <s v="CUST-0158"/>
    <s v="PROD-016"/>
    <x v="2"/>
    <s v="B2B Sales"/>
    <n v="2"/>
    <n v="0.2"/>
    <s v="No"/>
    <n v="4"/>
    <n v="1"/>
    <s v="Desk Organiser"/>
    <s v="Office Supplies"/>
    <n v="28"/>
    <n v="12"/>
    <s v="Corporate"/>
    <n v="44.800000000000004"/>
    <n v="24"/>
    <n v="20.800000000000004"/>
    <n v="0.46428571428571436"/>
  </r>
  <r>
    <s v="ORD-10143"/>
    <x v="127"/>
    <s v="CUST-0254"/>
    <s v="PROD-016"/>
    <x v="3"/>
    <s v="Online"/>
    <n v="1"/>
    <n v="0"/>
    <s v="No"/>
    <n v="4"/>
    <n v="4"/>
    <s v="Desk Organiser"/>
    <s v="Office Supplies"/>
    <n v="28"/>
    <n v="12"/>
    <s v="Consumer"/>
    <n v="28"/>
    <n v="12"/>
    <n v="16"/>
    <n v="0.5714285714285714"/>
  </r>
  <r>
    <s v="ORD-10144"/>
    <x v="128"/>
    <s v="CUST-0024"/>
    <s v="PROD-013"/>
    <x v="2"/>
    <s v="Retail Store"/>
    <n v="2"/>
    <n v="0"/>
    <s v="No"/>
    <n v="4"/>
    <n v="5"/>
    <s v="Phone Charger"/>
    <s v="Accessories"/>
    <n v="32"/>
    <n v="13"/>
    <s v="Consumer"/>
    <n v="64"/>
    <n v="26"/>
    <n v="38"/>
    <n v="0.59375"/>
  </r>
  <r>
    <s v="ORD-10145"/>
    <x v="129"/>
    <s v="CUST-0061"/>
    <s v="PROD-005"/>
    <x v="0"/>
    <s v="Online"/>
    <n v="4"/>
    <n v="0"/>
    <s v="Yes"/>
    <n v="5"/>
    <n v="6"/>
    <s v="Webcam"/>
    <s v="Technology"/>
    <n v="115"/>
    <n v="58"/>
    <s v="Small Business"/>
    <n v="460"/>
    <n v="232"/>
    <n v="228"/>
    <n v="0.4956521739130435"/>
  </r>
  <r>
    <s v="ORD-10146"/>
    <x v="130"/>
    <s v="CUST-0021"/>
    <s v="PROD-002"/>
    <x v="2"/>
    <s v="Retail Store"/>
    <n v="4"/>
    <n v="0.05"/>
    <s v="No"/>
    <n v="5"/>
    <n v="2"/>
    <s v="Monitor"/>
    <s v="Technology"/>
    <n v="310"/>
    <n v="190"/>
    <s v="Small Business"/>
    <n v="1178"/>
    <n v="760"/>
    <n v="418"/>
    <n v="0.35483870967741937"/>
  </r>
  <r>
    <s v="ORD-10147"/>
    <x v="112"/>
    <s v="CUST-0164"/>
    <s v="PROD-006"/>
    <x v="3"/>
    <s v="Retail Store"/>
    <n v="5"/>
    <n v="0.05"/>
    <s v="No"/>
    <n v="4"/>
    <n v="4"/>
    <s v="Headset"/>
    <s v="Technology"/>
    <n v="98"/>
    <n v="46"/>
    <s v="Small Business"/>
    <n v="465.5"/>
    <n v="230"/>
    <n v="235.5"/>
    <n v="0.50590762620837804"/>
  </r>
  <r>
    <s v="ORD-10148"/>
    <x v="131"/>
    <s v="CUST-0154"/>
    <s v="PROD-016"/>
    <x v="0"/>
    <s v="Online"/>
    <n v="3"/>
    <n v="0.2"/>
    <s v="No"/>
    <n v="5"/>
    <n v="1"/>
    <s v="Desk Organiser"/>
    <s v="Office Supplies"/>
    <n v="28"/>
    <n v="12"/>
    <s v="Corporate"/>
    <n v="67.2"/>
    <n v="36"/>
    <n v="31.200000000000003"/>
    <n v="0.4642857142857143"/>
  </r>
  <r>
    <s v="ORD-10149"/>
    <x v="132"/>
    <s v="CUST-0136"/>
    <s v="PROD-008"/>
    <x v="1"/>
    <s v="Retail Store"/>
    <n v="1"/>
    <n v="0.05"/>
    <s v="No"/>
    <n v="5"/>
    <n v="2"/>
    <s v="Office Chair"/>
    <s v="Furniture"/>
    <n v="255"/>
    <n v="145"/>
    <s v="Consumer"/>
    <n v="242.25"/>
    <n v="145"/>
    <n v="97.25"/>
    <n v="0.40144478844169246"/>
  </r>
  <r>
    <s v="ORD-10150"/>
    <x v="133"/>
    <s v="CUST-0017"/>
    <s v="PROD-004"/>
    <x v="2"/>
    <s v="Online"/>
    <n v="2"/>
    <n v="0"/>
    <s v="No"/>
    <n v="4"/>
    <n v="5"/>
    <s v="Mouse"/>
    <s v="Technology"/>
    <n v="42"/>
    <n v="19"/>
    <s v="Consumer"/>
    <n v="84"/>
    <n v="38"/>
    <n v="46"/>
    <n v="0.54761904761904767"/>
  </r>
  <r>
    <s v="ORD-10151"/>
    <x v="134"/>
    <s v="CUST-0032"/>
    <s v="PROD-005"/>
    <x v="4"/>
    <s v="Retail Store"/>
    <n v="8"/>
    <n v="0.05"/>
    <s v="No"/>
    <n v="5"/>
    <n v="4"/>
    <s v="Webcam"/>
    <s v="Technology"/>
    <n v="115"/>
    <n v="58"/>
    <s v="Corporate"/>
    <n v="874"/>
    <n v="464"/>
    <n v="410"/>
    <n v="0.46910755148741418"/>
  </r>
  <r>
    <s v="ORD-10152"/>
    <x v="135"/>
    <s v="CUST-0176"/>
    <s v="PROD-012"/>
    <x v="1"/>
    <s v="B2B Sales"/>
    <n v="3"/>
    <n v="0.1"/>
    <s v="No"/>
    <n v="4"/>
    <n v="2"/>
    <s v="USB-C Hub"/>
    <s v="Accessories"/>
    <n v="68"/>
    <n v="31"/>
    <s v="Consumer"/>
    <n v="183.6"/>
    <n v="93"/>
    <n v="90.6"/>
    <n v="0.49346405228758167"/>
  </r>
  <r>
    <s v="ORD-10153"/>
    <x v="136"/>
    <s v="CUST-0286"/>
    <s v="PROD-010"/>
    <x v="3"/>
    <s v="B2B Sales"/>
    <n v="1"/>
    <n v="0"/>
    <s v="No"/>
    <n v="5"/>
    <n v="3"/>
    <s v="Laptop Stand"/>
    <s v="Accessories"/>
    <n v="48"/>
    <n v="22"/>
    <s v="Small Business"/>
    <n v="48"/>
    <n v="22"/>
    <n v="26"/>
    <n v="0.54166666666666663"/>
  </r>
  <r>
    <s v="ORD-10154"/>
    <x v="137"/>
    <s v="CUST-0179"/>
    <s v="PROD-009"/>
    <x v="3"/>
    <s v="Retail Store"/>
    <n v="2"/>
    <n v="0.15"/>
    <s v="No"/>
    <n v="4"/>
    <n v="2"/>
    <s v="Bookshelf"/>
    <s v="Furniture"/>
    <n v="185"/>
    <n v="105"/>
    <s v="Consumer"/>
    <n v="314.5"/>
    <n v="210"/>
    <n v="104.5"/>
    <n v="0.33227344992050872"/>
  </r>
  <r>
    <s v="ORD-10155"/>
    <x v="138"/>
    <s v="CUST-0022"/>
    <s v="PROD-010"/>
    <x v="0"/>
    <s v="Online"/>
    <n v="6"/>
    <n v="0.05"/>
    <s v="No"/>
    <n v="3"/>
    <n v="5"/>
    <s v="Laptop Stand"/>
    <s v="Accessories"/>
    <n v="48"/>
    <n v="22"/>
    <s v="Corporate"/>
    <n v="273.59999999999997"/>
    <n v="132"/>
    <n v="141.59999999999997"/>
    <n v="0.51754385964912275"/>
  </r>
  <r>
    <s v="ORD-10156"/>
    <x v="139"/>
    <s v="CUST-0288"/>
    <s v="PROD-009"/>
    <x v="2"/>
    <s v="Retail Store"/>
    <n v="3"/>
    <n v="0"/>
    <s v="No"/>
    <n v="4"/>
    <n v="2"/>
    <s v="Bookshelf"/>
    <s v="Furniture"/>
    <n v="185"/>
    <n v="105"/>
    <s v="Consumer"/>
    <n v="555"/>
    <n v="315"/>
    <n v="240"/>
    <n v="0.43243243243243246"/>
  </r>
  <r>
    <s v="ORD-10157"/>
    <x v="98"/>
    <s v="CUST-0052"/>
    <s v="PROD-014"/>
    <x v="3"/>
    <s v="Online"/>
    <n v="3"/>
    <n v="0"/>
    <s v="Yes"/>
    <n v="5"/>
    <n v="6"/>
    <s v="Printer Paper"/>
    <s v="Office Supplies"/>
    <n v="17"/>
    <n v="8"/>
    <s v="Consumer"/>
    <n v="51"/>
    <n v="24"/>
    <n v="27"/>
    <n v="0.52941176470588236"/>
  </r>
  <r>
    <s v="ORD-10158"/>
    <x v="140"/>
    <s v="CUST-0245"/>
    <s v="PROD-007"/>
    <x v="1"/>
    <s v="Online"/>
    <n v="1"/>
    <n v="0"/>
    <s v="No"/>
    <n v="5"/>
    <n v="2"/>
    <s v="Standing Desk"/>
    <s v="Furniture"/>
    <n v="540"/>
    <n v="320"/>
    <s v="Consumer"/>
    <n v="540"/>
    <n v="320"/>
    <n v="220"/>
    <n v="0.40740740740740738"/>
  </r>
  <r>
    <s v="ORD-10159"/>
    <x v="141"/>
    <s v="CUST-0020"/>
    <s v="PROD-006"/>
    <x v="3"/>
    <s v="B2B Sales"/>
    <n v="6"/>
    <n v="0"/>
    <s v="No"/>
    <n v="5"/>
    <n v="2"/>
    <s v="Headset"/>
    <s v="Technology"/>
    <n v="98"/>
    <n v="46"/>
    <s v="Consumer"/>
    <n v="588"/>
    <n v="276"/>
    <n v="312"/>
    <n v="0.53061224489795922"/>
  </r>
  <r>
    <s v="ORD-10160"/>
    <x v="142"/>
    <s v="CUST-0020"/>
    <s v="PROD-001"/>
    <x v="3"/>
    <s v="Retail Store"/>
    <n v="6"/>
    <n v="0"/>
    <s v="No"/>
    <n v="5"/>
    <n v="5"/>
    <s v="Laptop"/>
    <s v="Technology"/>
    <n v="1100"/>
    <n v="720"/>
    <s v="Consumer"/>
    <n v="6600"/>
    <n v="4320"/>
    <n v="2280"/>
    <n v="0.34545454545454546"/>
  </r>
  <r>
    <s v="ORD-10161"/>
    <x v="143"/>
    <s v="CUST-0069"/>
    <s v="PROD-015"/>
    <x v="3"/>
    <s v="Retail Store"/>
    <n v="2"/>
    <n v="0.1"/>
    <s v="No"/>
    <n v="5"/>
    <n v="1"/>
    <s v="File Folder Pack"/>
    <s v="Office Supplies"/>
    <n v="23"/>
    <n v="10"/>
    <s v="Consumer"/>
    <n v="41.4"/>
    <n v="20"/>
    <n v="21.4"/>
    <n v="0.51690821256038644"/>
  </r>
  <r>
    <s v="ORD-10162"/>
    <x v="144"/>
    <s v="CUST-0152"/>
    <s v="PROD-007"/>
    <x v="2"/>
    <s v="B2B Sales"/>
    <n v="6"/>
    <n v="0.1"/>
    <s v="No"/>
    <n v="2"/>
    <n v="3"/>
    <s v="Standing Desk"/>
    <s v="Furniture"/>
    <n v="540"/>
    <n v="320"/>
    <s v="Corporate"/>
    <n v="2916"/>
    <n v="1920"/>
    <n v="996"/>
    <n v="0.34156378600823045"/>
  </r>
  <r>
    <s v="ORD-10163"/>
    <x v="145"/>
    <s v="CUST-0245"/>
    <s v="PROD-011"/>
    <x v="0"/>
    <s v="Online"/>
    <n v="2"/>
    <n v="0"/>
    <s v="No"/>
    <n v="4"/>
    <n v="5"/>
    <s v="Backpack"/>
    <s v="Accessories"/>
    <n v="85"/>
    <n v="39"/>
    <s v="Consumer"/>
    <n v="170"/>
    <n v="78"/>
    <n v="92"/>
    <n v="0.54117647058823526"/>
  </r>
  <r>
    <s v="ORD-10164"/>
    <x v="146"/>
    <s v="CUST-0006"/>
    <s v="PROD-009"/>
    <x v="1"/>
    <s v="Retail Store"/>
    <n v="1"/>
    <n v="0"/>
    <s v="No"/>
    <n v="4"/>
    <n v="5"/>
    <s v="Bookshelf"/>
    <s v="Furniture"/>
    <n v="185"/>
    <n v="105"/>
    <s v="Corporate"/>
    <n v="185"/>
    <n v="105"/>
    <n v="80"/>
    <n v="0.43243243243243246"/>
  </r>
  <r>
    <s v="ORD-10165"/>
    <x v="147"/>
    <s v="CUST-0061"/>
    <s v="PROD-010"/>
    <x v="3"/>
    <s v="Online"/>
    <n v="7"/>
    <n v="0.05"/>
    <s v="No"/>
    <n v="5"/>
    <n v="3"/>
    <s v="Laptop Stand"/>
    <s v="Accessories"/>
    <n v="48"/>
    <n v="22"/>
    <s v="Small Business"/>
    <n v="319.2"/>
    <n v="154"/>
    <n v="165.2"/>
    <n v="0.51754385964912275"/>
  </r>
  <r>
    <s v="ORD-10166"/>
    <x v="148"/>
    <s v="CUST-0282"/>
    <s v="PROD-016"/>
    <x v="1"/>
    <s v="Retail Store"/>
    <n v="5"/>
    <n v="0.1"/>
    <s v="No"/>
    <n v="4"/>
    <n v="1"/>
    <s v="Desk Organiser"/>
    <s v="Office Supplies"/>
    <n v="28"/>
    <n v="12"/>
    <s v="Consumer"/>
    <n v="126"/>
    <n v="60"/>
    <n v="66"/>
    <n v="0.52380952380952384"/>
  </r>
  <r>
    <s v="ORD-10167"/>
    <x v="70"/>
    <s v="CUST-0229"/>
    <s v="PROD-012"/>
    <x v="2"/>
    <s v="Retail Store"/>
    <n v="1"/>
    <n v="0.05"/>
    <s v="No"/>
    <n v="4"/>
    <n v="2"/>
    <s v="USB-C Hub"/>
    <s v="Accessories"/>
    <n v="68"/>
    <n v="31"/>
    <s v="Consumer"/>
    <n v="64.599999999999994"/>
    <n v="31"/>
    <n v="33.599999999999994"/>
    <n v="0.52012383900928794"/>
  </r>
  <r>
    <s v="ORD-10168"/>
    <x v="149"/>
    <s v="CUST-0168"/>
    <s v="PROD-015"/>
    <x v="2"/>
    <s v="Online"/>
    <n v="3"/>
    <n v="0"/>
    <s v="No"/>
    <n v="5"/>
    <n v="4"/>
    <s v="File Folder Pack"/>
    <s v="Office Supplies"/>
    <n v="23"/>
    <n v="10"/>
    <s v="Corporate"/>
    <n v="69"/>
    <n v="30"/>
    <n v="39"/>
    <n v="0.56521739130434778"/>
  </r>
  <r>
    <s v="ORD-10169"/>
    <x v="150"/>
    <s v="CUST-0263"/>
    <s v="PROD-014"/>
    <x v="4"/>
    <s v="Online"/>
    <n v="2"/>
    <n v="0.1"/>
    <s v="No"/>
    <n v="4"/>
    <n v="1"/>
    <s v="Printer Paper"/>
    <s v="Office Supplies"/>
    <n v="17"/>
    <n v="8"/>
    <s v="Consumer"/>
    <n v="30.6"/>
    <n v="16"/>
    <n v="14.600000000000001"/>
    <n v="0.47712418300653597"/>
  </r>
  <r>
    <s v="ORD-10170"/>
    <x v="151"/>
    <s v="CUST-0297"/>
    <s v="PROD-003"/>
    <x v="2"/>
    <s v="Online"/>
    <n v="1"/>
    <n v="0.2"/>
    <s v="Yes"/>
    <n v="2"/>
    <n v="5"/>
    <s v="Keyboard"/>
    <s v="Technology"/>
    <n v="75"/>
    <n v="38"/>
    <s v="Consumer"/>
    <n v="60"/>
    <n v="38"/>
    <n v="22"/>
    <n v="0.36666666666666664"/>
  </r>
  <r>
    <s v="ORD-10171"/>
    <x v="152"/>
    <s v="CUST-0210"/>
    <s v="PROD-006"/>
    <x v="1"/>
    <s v="Retail Store"/>
    <n v="8"/>
    <n v="0.05"/>
    <s v="No"/>
    <n v="5"/>
    <n v="4"/>
    <s v="Headset"/>
    <s v="Technology"/>
    <n v="98"/>
    <n v="46"/>
    <s v="Small Business"/>
    <n v="744.8"/>
    <n v="368"/>
    <n v="376.79999999999995"/>
    <n v="0.50590762620837804"/>
  </r>
  <r>
    <s v="ORD-10172"/>
    <x v="153"/>
    <s v="CUST-0194"/>
    <s v="PROD-013"/>
    <x v="2"/>
    <s v="B2B Sales"/>
    <n v="5"/>
    <n v="0"/>
    <s v="No"/>
    <n v="3"/>
    <n v="5"/>
    <s v="Phone Charger"/>
    <s v="Accessories"/>
    <n v="32"/>
    <n v="13"/>
    <s v="Small Business"/>
    <n v="160"/>
    <n v="65"/>
    <n v="95"/>
    <n v="0.59375"/>
  </r>
  <r>
    <s v="ORD-10173"/>
    <x v="154"/>
    <s v="CUST-0271"/>
    <s v="PROD-005"/>
    <x v="1"/>
    <s v="Online"/>
    <n v="1"/>
    <n v="0"/>
    <s v="No"/>
    <n v="5"/>
    <n v="5"/>
    <s v="Webcam"/>
    <s v="Technology"/>
    <n v="115"/>
    <n v="58"/>
    <s v="Small Business"/>
    <n v="115"/>
    <n v="58"/>
    <n v="57"/>
    <n v="0.4956521739130435"/>
  </r>
  <r>
    <s v="ORD-10174"/>
    <x v="155"/>
    <s v="CUST-0273"/>
    <s v="PROD-013"/>
    <x v="0"/>
    <s v="Online"/>
    <n v="2"/>
    <n v="0"/>
    <s v="Yes"/>
    <n v="5"/>
    <n v="2"/>
    <s v="Phone Charger"/>
    <s v="Accessories"/>
    <n v="32"/>
    <n v="13"/>
    <s v="Corporate"/>
    <n v="64"/>
    <n v="26"/>
    <n v="38"/>
    <n v="0.59375"/>
  </r>
  <r>
    <s v="ORD-10175"/>
    <x v="156"/>
    <s v="CUST-0009"/>
    <s v="PROD-008"/>
    <x v="2"/>
    <s v="Online"/>
    <n v="1"/>
    <n v="0.05"/>
    <s v="No"/>
    <n v="2"/>
    <n v="5"/>
    <s v="Office Chair"/>
    <s v="Furniture"/>
    <n v="255"/>
    <n v="145"/>
    <s v="Consumer"/>
    <n v="242.25"/>
    <n v="145"/>
    <n v="97.25"/>
    <n v="0.40144478844169246"/>
  </r>
  <r>
    <s v="ORD-10176"/>
    <x v="157"/>
    <s v="CUST-0120"/>
    <s v="PROD-007"/>
    <x v="1"/>
    <s v="Retail Store"/>
    <n v="1"/>
    <n v="0.2"/>
    <s v="No"/>
    <n v="5"/>
    <n v="5"/>
    <s v="Standing Desk"/>
    <s v="Furniture"/>
    <n v="540"/>
    <n v="320"/>
    <s v="Consumer"/>
    <n v="432"/>
    <n v="320"/>
    <n v="112"/>
    <n v="0.25925925925925924"/>
  </r>
  <r>
    <s v="ORD-10177"/>
    <x v="158"/>
    <s v="CUST-0296"/>
    <s v="PROD-011"/>
    <x v="3"/>
    <s v="B2B Sales"/>
    <n v="8"/>
    <n v="0.05"/>
    <s v="No"/>
    <n v="4"/>
    <n v="5"/>
    <s v="Backpack"/>
    <s v="Accessories"/>
    <n v="85"/>
    <n v="39"/>
    <s v="Corporate"/>
    <n v="646"/>
    <n v="312"/>
    <n v="334"/>
    <n v="0.51702786377708976"/>
  </r>
  <r>
    <s v="ORD-10178"/>
    <x v="159"/>
    <s v="CUST-0090"/>
    <s v="PROD-014"/>
    <x v="4"/>
    <s v="Online"/>
    <n v="2"/>
    <n v="0.05"/>
    <s v="No"/>
    <n v="4"/>
    <n v="4"/>
    <s v="Printer Paper"/>
    <s v="Office Supplies"/>
    <n v="17"/>
    <n v="8"/>
    <s v="Consumer"/>
    <n v="32.299999999999997"/>
    <n v="16"/>
    <n v="16.299999999999997"/>
    <n v="0.50464396284829716"/>
  </r>
  <r>
    <s v="ORD-10179"/>
    <x v="64"/>
    <s v="CUST-0077"/>
    <s v="PROD-010"/>
    <x v="3"/>
    <s v="Retail Store"/>
    <n v="2"/>
    <n v="0.15"/>
    <s v="No"/>
    <n v="5"/>
    <n v="4"/>
    <s v="Laptop Stand"/>
    <s v="Accessories"/>
    <n v="48"/>
    <n v="22"/>
    <s v="Small Business"/>
    <n v="81.599999999999994"/>
    <n v="44"/>
    <n v="37.599999999999994"/>
    <n v="0.46078431372549017"/>
  </r>
  <r>
    <s v="ORD-10180"/>
    <x v="160"/>
    <s v="CUST-0288"/>
    <s v="PROD-014"/>
    <x v="0"/>
    <s v="Retail Store"/>
    <n v="1"/>
    <n v="0"/>
    <s v="No"/>
    <n v="5"/>
    <n v="4"/>
    <s v="Printer Paper"/>
    <s v="Office Supplies"/>
    <n v="17"/>
    <n v="8"/>
    <s v="Consumer"/>
    <n v="17"/>
    <n v="8"/>
    <n v="9"/>
    <n v="0.52941176470588236"/>
  </r>
  <r>
    <s v="ORD-10181"/>
    <x v="115"/>
    <s v="CUST-0048"/>
    <s v="PROD-007"/>
    <x v="2"/>
    <s v="Online"/>
    <n v="3"/>
    <n v="0"/>
    <s v="No"/>
    <n v="5"/>
    <n v="5"/>
    <s v="Standing Desk"/>
    <s v="Furniture"/>
    <n v="540"/>
    <n v="320"/>
    <s v="Consumer"/>
    <n v="1620"/>
    <n v="960"/>
    <n v="660"/>
    <n v="0.40740740740740738"/>
  </r>
  <r>
    <s v="ORD-10182"/>
    <x v="161"/>
    <s v="CUST-0112"/>
    <s v="PROD-016"/>
    <x v="2"/>
    <s v="B2B Sales"/>
    <n v="1"/>
    <n v="0.15"/>
    <s v="No"/>
    <n v="3"/>
    <n v="1"/>
    <s v="Desk Organiser"/>
    <s v="Office Supplies"/>
    <n v="28"/>
    <n v="12"/>
    <s v="Consumer"/>
    <n v="23.8"/>
    <n v="12"/>
    <n v="11.8"/>
    <n v="0.49579831932773111"/>
  </r>
  <r>
    <s v="ORD-10183"/>
    <x v="162"/>
    <s v="CUST-0125"/>
    <s v="PROD-007"/>
    <x v="3"/>
    <s v="Online"/>
    <n v="2"/>
    <n v="0"/>
    <s v="No"/>
    <n v="5"/>
    <n v="3"/>
    <s v="Standing Desk"/>
    <s v="Furniture"/>
    <n v="540"/>
    <n v="320"/>
    <s v="Consumer"/>
    <n v="1080"/>
    <n v="640"/>
    <n v="440"/>
    <n v="0.40740740740740738"/>
  </r>
  <r>
    <s v="ORD-10184"/>
    <x v="163"/>
    <s v="CUST-0185"/>
    <s v="PROD-016"/>
    <x v="4"/>
    <s v="Retail Store"/>
    <n v="4"/>
    <n v="0.1"/>
    <s v="No"/>
    <n v="3"/>
    <n v="3"/>
    <s v="Desk Organiser"/>
    <s v="Office Supplies"/>
    <n v="28"/>
    <n v="12"/>
    <s v="Consumer"/>
    <n v="100.8"/>
    <n v="48"/>
    <n v="52.8"/>
    <n v="0.52380952380952384"/>
  </r>
  <r>
    <s v="ORD-10185"/>
    <x v="164"/>
    <s v="CUST-0024"/>
    <s v="PROD-008"/>
    <x v="1"/>
    <s v="Online"/>
    <n v="3"/>
    <n v="0.05"/>
    <s v="No"/>
    <n v="4"/>
    <n v="2"/>
    <s v="Office Chair"/>
    <s v="Furniture"/>
    <n v="255"/>
    <n v="145"/>
    <s v="Consumer"/>
    <n v="726.75"/>
    <n v="435"/>
    <n v="291.75"/>
    <n v="0.40144478844169246"/>
  </r>
  <r>
    <s v="ORD-10186"/>
    <x v="165"/>
    <s v="CUST-0118"/>
    <s v="PROD-013"/>
    <x v="4"/>
    <s v="Online"/>
    <n v="3"/>
    <n v="0.2"/>
    <s v="No"/>
    <n v="5"/>
    <n v="4"/>
    <s v="Phone Charger"/>
    <s v="Accessories"/>
    <n v="32"/>
    <n v="13"/>
    <s v="Corporate"/>
    <n v="76.800000000000011"/>
    <n v="39"/>
    <n v="37.800000000000011"/>
    <n v="0.49218750000000006"/>
  </r>
  <r>
    <s v="ORD-10187"/>
    <x v="31"/>
    <s v="CUST-0236"/>
    <s v="PROD-006"/>
    <x v="1"/>
    <s v="Online"/>
    <n v="1"/>
    <n v="0.05"/>
    <s v="No"/>
    <n v="5"/>
    <n v="1"/>
    <s v="Headset"/>
    <s v="Technology"/>
    <n v="98"/>
    <n v="46"/>
    <s v="Consumer"/>
    <n v="93.1"/>
    <n v="46"/>
    <n v="47.099999999999994"/>
    <n v="0.50590762620837804"/>
  </r>
  <r>
    <s v="ORD-10188"/>
    <x v="105"/>
    <s v="CUST-0018"/>
    <s v="PROD-003"/>
    <x v="0"/>
    <s v="Retail Store"/>
    <n v="4"/>
    <n v="0"/>
    <s v="No"/>
    <n v="3"/>
    <n v="2"/>
    <s v="Keyboard"/>
    <s v="Technology"/>
    <n v="75"/>
    <n v="38"/>
    <s v="Corporate"/>
    <n v="300"/>
    <n v="152"/>
    <n v="148"/>
    <n v="0.49333333333333335"/>
  </r>
  <r>
    <s v="ORD-10189"/>
    <x v="166"/>
    <s v="CUST-0112"/>
    <s v="PROD-015"/>
    <x v="3"/>
    <s v="Retail Store"/>
    <n v="3"/>
    <n v="0.05"/>
    <s v="No"/>
    <n v="4"/>
    <n v="1"/>
    <s v="File Folder Pack"/>
    <s v="Office Supplies"/>
    <n v="23"/>
    <n v="10"/>
    <s v="Consumer"/>
    <n v="65.55"/>
    <n v="30"/>
    <n v="35.549999999999997"/>
    <n v="0.54233409610983985"/>
  </r>
  <r>
    <s v="ORD-10190"/>
    <x v="167"/>
    <s v="CUST-0283"/>
    <s v="PROD-014"/>
    <x v="2"/>
    <s v="Retail Store"/>
    <n v="1"/>
    <n v="0.2"/>
    <s v="No"/>
    <n v="5"/>
    <n v="4"/>
    <s v="Printer Paper"/>
    <s v="Office Supplies"/>
    <n v="17"/>
    <n v="8"/>
    <s v="Corporate"/>
    <n v="13.600000000000001"/>
    <n v="8"/>
    <n v="5.6000000000000014"/>
    <n v="0.41176470588235298"/>
  </r>
  <r>
    <s v="ORD-10191"/>
    <x v="168"/>
    <s v="CUST-0055"/>
    <s v="PROD-004"/>
    <x v="4"/>
    <s v="Online"/>
    <n v="3"/>
    <n v="0"/>
    <s v="No"/>
    <n v="5"/>
    <n v="1"/>
    <s v="Mouse"/>
    <s v="Technology"/>
    <n v="42"/>
    <n v="19"/>
    <s v="Corporate"/>
    <n v="126"/>
    <n v="57"/>
    <n v="69"/>
    <n v="0.54761904761904767"/>
  </r>
  <r>
    <s v="ORD-10192"/>
    <x v="169"/>
    <s v="CUST-0208"/>
    <s v="PROD-015"/>
    <x v="4"/>
    <s v="B2B Sales"/>
    <n v="1"/>
    <n v="0.1"/>
    <s v="No"/>
    <n v="5"/>
    <n v="1"/>
    <s v="File Folder Pack"/>
    <s v="Office Supplies"/>
    <n v="23"/>
    <n v="10"/>
    <s v="Consumer"/>
    <n v="20.7"/>
    <n v="10"/>
    <n v="10.7"/>
    <n v="0.51690821256038644"/>
  </r>
  <r>
    <s v="ORD-10193"/>
    <x v="170"/>
    <s v="CUST-0208"/>
    <s v="PROD-013"/>
    <x v="3"/>
    <s v="Online"/>
    <n v="3"/>
    <n v="0.1"/>
    <s v="No"/>
    <n v="5"/>
    <n v="3"/>
    <s v="Phone Charger"/>
    <s v="Accessories"/>
    <n v="32"/>
    <n v="13"/>
    <s v="Consumer"/>
    <n v="86.4"/>
    <n v="39"/>
    <n v="47.400000000000006"/>
    <n v="0.54861111111111116"/>
  </r>
  <r>
    <s v="ORD-10194"/>
    <x v="26"/>
    <s v="CUST-0049"/>
    <s v="PROD-002"/>
    <x v="3"/>
    <s v="B2B Sales"/>
    <n v="3"/>
    <n v="0.05"/>
    <s v="No"/>
    <n v="5"/>
    <n v="3"/>
    <s v="Monitor"/>
    <s v="Technology"/>
    <n v="310"/>
    <n v="190"/>
    <s v="Corporate"/>
    <n v="883.5"/>
    <n v="570"/>
    <n v="313.5"/>
    <n v="0.35483870967741937"/>
  </r>
  <r>
    <s v="ORD-10195"/>
    <x v="109"/>
    <s v="CUST-0289"/>
    <s v="PROD-002"/>
    <x v="2"/>
    <s v="B2B Sales"/>
    <n v="1"/>
    <n v="0"/>
    <s v="No"/>
    <n v="5"/>
    <n v="4"/>
    <s v="Monitor"/>
    <s v="Technology"/>
    <n v="310"/>
    <n v="190"/>
    <s v="Consumer"/>
    <n v="310"/>
    <n v="190"/>
    <n v="120"/>
    <n v="0.38709677419354838"/>
  </r>
  <r>
    <s v="ORD-10196"/>
    <x v="171"/>
    <s v="CUST-0154"/>
    <s v="PROD-006"/>
    <x v="4"/>
    <s v="Retail Store"/>
    <n v="5"/>
    <n v="0.1"/>
    <s v="No"/>
    <n v="4"/>
    <n v="2"/>
    <s v="Headset"/>
    <s v="Technology"/>
    <n v="98"/>
    <n v="46"/>
    <s v="Corporate"/>
    <n v="441"/>
    <n v="230"/>
    <n v="211"/>
    <n v="0.47845804988662133"/>
  </r>
  <r>
    <s v="ORD-10197"/>
    <x v="121"/>
    <s v="CUST-0257"/>
    <s v="PROD-012"/>
    <x v="2"/>
    <s v="Online"/>
    <n v="5"/>
    <n v="0"/>
    <s v="No"/>
    <n v="5"/>
    <n v="4"/>
    <s v="USB-C Hub"/>
    <s v="Accessories"/>
    <n v="68"/>
    <n v="31"/>
    <s v="Consumer"/>
    <n v="340"/>
    <n v="155"/>
    <n v="185"/>
    <n v="0.54411764705882348"/>
  </r>
  <r>
    <s v="ORD-10198"/>
    <x v="172"/>
    <s v="CUST-0016"/>
    <s v="PROD-009"/>
    <x v="0"/>
    <s v="Online"/>
    <n v="1"/>
    <n v="0.05"/>
    <s v="No"/>
    <n v="3"/>
    <n v="5"/>
    <s v="Bookshelf"/>
    <s v="Furniture"/>
    <n v="185"/>
    <n v="105"/>
    <s v="Corporate"/>
    <n v="175.75"/>
    <n v="105"/>
    <n v="70.75"/>
    <n v="0.40256045519203415"/>
  </r>
  <r>
    <s v="ORD-10199"/>
    <x v="52"/>
    <s v="CUST-0044"/>
    <s v="PROD-010"/>
    <x v="0"/>
    <s v="Retail Store"/>
    <n v="1"/>
    <n v="0"/>
    <s v="No"/>
    <n v="5"/>
    <n v="4"/>
    <s v="Laptop Stand"/>
    <s v="Accessories"/>
    <n v="48"/>
    <n v="22"/>
    <s v="Consumer"/>
    <n v="48"/>
    <n v="22"/>
    <n v="26"/>
    <n v="0.54166666666666663"/>
  </r>
  <r>
    <s v="ORD-10200"/>
    <x v="173"/>
    <s v="CUST-0185"/>
    <s v="PROD-004"/>
    <x v="2"/>
    <s v="B2B Sales"/>
    <n v="2"/>
    <n v="0.1"/>
    <s v="No"/>
    <n v="2"/>
    <n v="8"/>
    <s v="Mouse"/>
    <s v="Technology"/>
    <n v="42"/>
    <n v="19"/>
    <s v="Consumer"/>
    <n v="75.600000000000009"/>
    <n v="38"/>
    <n v="37.600000000000009"/>
    <n v="0.49735449735449744"/>
  </r>
  <r>
    <s v="ORD-10201"/>
    <x v="174"/>
    <s v="CUST-0285"/>
    <s v="PROD-014"/>
    <x v="2"/>
    <s v="Online"/>
    <n v="3"/>
    <n v="0.05"/>
    <s v="No"/>
    <n v="5"/>
    <n v="1"/>
    <s v="Printer Paper"/>
    <s v="Office Supplies"/>
    <n v="17"/>
    <n v="8"/>
    <s v="Consumer"/>
    <n v="48.449999999999996"/>
    <n v="24"/>
    <n v="24.449999999999996"/>
    <n v="0.50464396284829716"/>
  </r>
  <r>
    <s v="ORD-10202"/>
    <x v="175"/>
    <s v="CUST-0212"/>
    <s v="PROD-013"/>
    <x v="0"/>
    <s v="Retail Store"/>
    <n v="3"/>
    <n v="0.2"/>
    <s v="No"/>
    <n v="4"/>
    <n v="4"/>
    <s v="Phone Charger"/>
    <s v="Accessories"/>
    <n v="32"/>
    <n v="13"/>
    <s v="Corporate"/>
    <n v="76.800000000000011"/>
    <n v="39"/>
    <n v="37.800000000000011"/>
    <n v="0.49218750000000006"/>
  </r>
  <r>
    <s v="ORD-10203"/>
    <x v="176"/>
    <s v="CUST-0072"/>
    <s v="PROD-009"/>
    <x v="3"/>
    <s v="Retail Store"/>
    <n v="1"/>
    <n v="0"/>
    <s v="No"/>
    <n v="4"/>
    <n v="1"/>
    <s v="Bookshelf"/>
    <s v="Furniture"/>
    <n v="185"/>
    <n v="105"/>
    <s v="Small Business"/>
    <n v="185"/>
    <n v="105"/>
    <n v="80"/>
    <n v="0.43243243243243246"/>
  </r>
  <r>
    <s v="ORD-10204"/>
    <x v="177"/>
    <s v="CUST-0129"/>
    <s v="PROD-008"/>
    <x v="1"/>
    <s v="Retail Store"/>
    <n v="3"/>
    <n v="0"/>
    <s v="No"/>
    <n v="1"/>
    <n v="7"/>
    <s v="Office Chair"/>
    <s v="Furniture"/>
    <n v="255"/>
    <n v="145"/>
    <s v="Small Business"/>
    <n v="765"/>
    <n v="435"/>
    <n v="330"/>
    <n v="0.43137254901960786"/>
  </r>
  <r>
    <s v="ORD-10205"/>
    <x v="52"/>
    <s v="CUST-0169"/>
    <s v="PROD-015"/>
    <x v="3"/>
    <s v="Retail Store"/>
    <n v="5"/>
    <n v="0.2"/>
    <s v="No"/>
    <n v="4"/>
    <n v="2"/>
    <s v="File Folder Pack"/>
    <s v="Office Supplies"/>
    <n v="23"/>
    <n v="10"/>
    <s v="Consumer"/>
    <n v="92"/>
    <n v="50"/>
    <n v="42"/>
    <n v="0.45652173913043476"/>
  </r>
  <r>
    <s v="ORD-10206"/>
    <x v="162"/>
    <s v="CUST-0161"/>
    <s v="PROD-006"/>
    <x v="0"/>
    <s v="B2B Sales"/>
    <n v="1"/>
    <n v="0.1"/>
    <s v="No"/>
    <n v="4"/>
    <n v="2"/>
    <s v="Headset"/>
    <s v="Technology"/>
    <n v="98"/>
    <n v="46"/>
    <s v="Consumer"/>
    <n v="88.2"/>
    <n v="46"/>
    <n v="42.2"/>
    <n v="0.47845804988662133"/>
  </r>
  <r>
    <s v="ORD-10207"/>
    <x v="178"/>
    <s v="CUST-0193"/>
    <s v="PROD-009"/>
    <x v="0"/>
    <s v="Online"/>
    <n v="1"/>
    <n v="0.05"/>
    <s v="No"/>
    <n v="4"/>
    <n v="5"/>
    <s v="Bookshelf"/>
    <s v="Furniture"/>
    <n v="185"/>
    <n v="105"/>
    <s v="Consumer"/>
    <n v="175.75"/>
    <n v="105"/>
    <n v="70.75"/>
    <n v="0.40256045519203415"/>
  </r>
  <r>
    <s v="ORD-10208"/>
    <x v="179"/>
    <s v="CUST-0237"/>
    <s v="PROD-007"/>
    <x v="4"/>
    <s v="Online"/>
    <n v="3"/>
    <n v="0.1"/>
    <s v="No"/>
    <n v="4"/>
    <n v="4"/>
    <s v="Standing Desk"/>
    <s v="Furniture"/>
    <n v="540"/>
    <n v="320"/>
    <s v="Small Business"/>
    <n v="1458"/>
    <n v="960"/>
    <n v="498"/>
    <n v="0.34156378600823045"/>
  </r>
  <r>
    <s v="ORD-10209"/>
    <x v="180"/>
    <s v="CUST-0156"/>
    <s v="PROD-008"/>
    <x v="3"/>
    <s v="Online"/>
    <n v="2"/>
    <n v="0"/>
    <s v="No"/>
    <n v="4"/>
    <n v="5"/>
    <s v="Office Chair"/>
    <s v="Furniture"/>
    <n v="255"/>
    <n v="145"/>
    <s v="Consumer"/>
    <n v="510"/>
    <n v="290"/>
    <n v="220"/>
    <n v="0.43137254901960786"/>
  </r>
  <r>
    <s v="ORD-10210"/>
    <x v="43"/>
    <s v="CUST-0274"/>
    <s v="PROD-014"/>
    <x v="4"/>
    <s v="Retail Store"/>
    <n v="2"/>
    <n v="0.15"/>
    <s v="No"/>
    <n v="5"/>
    <n v="1"/>
    <s v="Printer Paper"/>
    <s v="Office Supplies"/>
    <n v="17"/>
    <n v="8"/>
    <s v="Small Business"/>
    <n v="28.9"/>
    <n v="16"/>
    <n v="12.899999999999999"/>
    <n v="0.44636678200692037"/>
  </r>
  <r>
    <s v="ORD-10211"/>
    <x v="181"/>
    <s v="CUST-0128"/>
    <s v="PROD-012"/>
    <x v="2"/>
    <s v="Retail Store"/>
    <n v="3"/>
    <n v="0.05"/>
    <s v="No"/>
    <n v="5"/>
    <n v="3"/>
    <s v="USB-C Hub"/>
    <s v="Accessories"/>
    <n v="68"/>
    <n v="31"/>
    <s v="Small Business"/>
    <n v="193.79999999999998"/>
    <n v="93"/>
    <n v="100.79999999999998"/>
    <n v="0.52012383900928794"/>
  </r>
  <r>
    <s v="ORD-10212"/>
    <x v="74"/>
    <s v="CUST-0055"/>
    <s v="PROD-001"/>
    <x v="2"/>
    <s v="Online"/>
    <n v="4"/>
    <n v="0.05"/>
    <s v="No"/>
    <n v="3"/>
    <n v="3"/>
    <s v="Laptop"/>
    <s v="Technology"/>
    <n v="1100"/>
    <n v="720"/>
    <s v="Corporate"/>
    <n v="4180"/>
    <n v="2880"/>
    <n v="1300"/>
    <n v="0.31100478468899523"/>
  </r>
  <r>
    <s v="ORD-10213"/>
    <x v="182"/>
    <s v="CUST-0238"/>
    <s v="PROD-005"/>
    <x v="3"/>
    <s v="Online"/>
    <n v="1"/>
    <n v="0"/>
    <s v="Yes"/>
    <n v="3"/>
    <n v="5"/>
    <s v="Webcam"/>
    <s v="Technology"/>
    <n v="115"/>
    <n v="58"/>
    <s v="Consumer"/>
    <n v="115"/>
    <n v="58"/>
    <n v="57"/>
    <n v="0.4956521739130435"/>
  </r>
  <r>
    <s v="ORD-10214"/>
    <x v="183"/>
    <s v="CUST-0176"/>
    <s v="PROD-015"/>
    <x v="0"/>
    <s v="Retail Store"/>
    <n v="2"/>
    <n v="0"/>
    <s v="No"/>
    <n v="4"/>
    <n v="1"/>
    <s v="File Folder Pack"/>
    <s v="Office Supplies"/>
    <n v="23"/>
    <n v="10"/>
    <s v="Consumer"/>
    <n v="46"/>
    <n v="20"/>
    <n v="26"/>
    <n v="0.56521739130434778"/>
  </r>
  <r>
    <s v="ORD-10215"/>
    <x v="184"/>
    <s v="CUST-0023"/>
    <s v="PROD-004"/>
    <x v="2"/>
    <s v="Online"/>
    <n v="1"/>
    <n v="0.1"/>
    <s v="Yes"/>
    <n v="5"/>
    <n v="7"/>
    <s v="Mouse"/>
    <s v="Technology"/>
    <n v="42"/>
    <n v="19"/>
    <s v="Consumer"/>
    <n v="37.800000000000004"/>
    <n v="19"/>
    <n v="18.800000000000004"/>
    <n v="0.49735449735449744"/>
  </r>
  <r>
    <s v="ORD-10216"/>
    <x v="185"/>
    <s v="CUST-0082"/>
    <s v="PROD-011"/>
    <x v="4"/>
    <s v="B2B Sales"/>
    <n v="1"/>
    <n v="0"/>
    <s v="No"/>
    <n v="5"/>
    <n v="4"/>
    <s v="Backpack"/>
    <s v="Accessories"/>
    <n v="85"/>
    <n v="39"/>
    <s v="Consumer"/>
    <n v="85"/>
    <n v="39"/>
    <n v="46"/>
    <n v="0.54117647058823526"/>
  </r>
  <r>
    <s v="ORD-10217"/>
    <x v="186"/>
    <s v="CUST-0015"/>
    <s v="PROD-007"/>
    <x v="4"/>
    <s v="Online"/>
    <n v="1"/>
    <n v="0"/>
    <s v="No"/>
    <n v="5"/>
    <n v="1"/>
    <s v="Standing Desk"/>
    <s v="Furniture"/>
    <n v="540"/>
    <n v="320"/>
    <s v="Corporate"/>
    <n v="540"/>
    <n v="320"/>
    <n v="220"/>
    <n v="0.40740740740740738"/>
  </r>
  <r>
    <s v="ORD-10218"/>
    <x v="187"/>
    <s v="CUST-0053"/>
    <s v="PROD-006"/>
    <x v="3"/>
    <s v="Online"/>
    <n v="1"/>
    <n v="0.1"/>
    <s v="No"/>
    <n v="5"/>
    <n v="3"/>
    <s v="Headset"/>
    <s v="Technology"/>
    <n v="98"/>
    <n v="46"/>
    <s v="Consumer"/>
    <n v="88.2"/>
    <n v="46"/>
    <n v="42.2"/>
    <n v="0.47845804988662133"/>
  </r>
  <r>
    <s v="ORD-10219"/>
    <x v="188"/>
    <s v="CUST-0201"/>
    <s v="PROD-004"/>
    <x v="3"/>
    <s v="B2B Sales"/>
    <n v="3"/>
    <n v="0.1"/>
    <s v="No"/>
    <n v="4"/>
    <n v="5"/>
    <s v="Mouse"/>
    <s v="Technology"/>
    <n v="42"/>
    <n v="19"/>
    <s v="Small Business"/>
    <n v="113.4"/>
    <n v="57"/>
    <n v="56.400000000000006"/>
    <n v="0.49735449735449738"/>
  </r>
  <r>
    <s v="ORD-10220"/>
    <x v="189"/>
    <s v="CUST-0044"/>
    <s v="PROD-005"/>
    <x v="3"/>
    <s v="Online"/>
    <n v="1"/>
    <n v="0"/>
    <s v="No"/>
    <n v="4"/>
    <n v="5"/>
    <s v="Webcam"/>
    <s v="Technology"/>
    <n v="115"/>
    <n v="58"/>
    <s v="Consumer"/>
    <n v="115"/>
    <n v="58"/>
    <n v="57"/>
    <n v="0.4956521739130435"/>
  </r>
  <r>
    <s v="ORD-10221"/>
    <x v="190"/>
    <s v="CUST-0295"/>
    <s v="PROD-013"/>
    <x v="4"/>
    <s v="Retail Store"/>
    <n v="2"/>
    <n v="0.15"/>
    <s v="Yes"/>
    <n v="3"/>
    <n v="6"/>
    <s v="Phone Charger"/>
    <s v="Accessories"/>
    <n v="32"/>
    <n v="13"/>
    <s v="Corporate"/>
    <n v="54.4"/>
    <n v="26"/>
    <n v="28.4"/>
    <n v="0.5220588235294118"/>
  </r>
  <r>
    <s v="ORD-10222"/>
    <x v="191"/>
    <s v="CUST-0072"/>
    <s v="PROD-006"/>
    <x v="3"/>
    <s v="Online"/>
    <n v="1"/>
    <n v="0"/>
    <s v="No"/>
    <n v="3"/>
    <n v="4"/>
    <s v="Headset"/>
    <s v="Technology"/>
    <n v="98"/>
    <n v="46"/>
    <s v="Small Business"/>
    <n v="98"/>
    <n v="46"/>
    <n v="52"/>
    <n v="0.53061224489795922"/>
  </r>
  <r>
    <s v="ORD-10223"/>
    <x v="192"/>
    <s v="CUST-0259"/>
    <s v="PROD-016"/>
    <x v="3"/>
    <s v="Retail Store"/>
    <n v="4"/>
    <n v="0"/>
    <s v="No"/>
    <n v="4"/>
    <n v="2"/>
    <s v="Desk Organiser"/>
    <s v="Office Supplies"/>
    <n v="28"/>
    <n v="12"/>
    <s v="Consumer"/>
    <n v="112"/>
    <n v="48"/>
    <n v="64"/>
    <n v="0.5714285714285714"/>
  </r>
  <r>
    <s v="ORD-10224"/>
    <x v="193"/>
    <s v="CUST-0017"/>
    <s v="PROD-009"/>
    <x v="3"/>
    <s v="Online"/>
    <n v="4"/>
    <n v="0.05"/>
    <s v="No"/>
    <n v="4"/>
    <n v="5"/>
    <s v="Bookshelf"/>
    <s v="Furniture"/>
    <n v="185"/>
    <n v="105"/>
    <s v="Consumer"/>
    <n v="703"/>
    <n v="420"/>
    <n v="283"/>
    <n v="0.40256045519203415"/>
  </r>
  <r>
    <s v="ORD-10225"/>
    <x v="194"/>
    <s v="CUST-0294"/>
    <s v="PROD-004"/>
    <x v="3"/>
    <s v="Retail Store"/>
    <n v="8"/>
    <n v="0.05"/>
    <s v="No"/>
    <n v="5"/>
    <n v="4"/>
    <s v="Mouse"/>
    <s v="Technology"/>
    <n v="42"/>
    <n v="19"/>
    <s v="Consumer"/>
    <n v="319.2"/>
    <n v="152"/>
    <n v="167.2"/>
    <n v="0.52380952380952384"/>
  </r>
  <r>
    <s v="ORD-10226"/>
    <x v="19"/>
    <s v="CUST-0112"/>
    <s v="PROD-014"/>
    <x v="2"/>
    <s v="B2B Sales"/>
    <n v="4"/>
    <n v="0"/>
    <s v="Yes"/>
    <n v="4"/>
    <n v="4"/>
    <s v="Printer Paper"/>
    <s v="Office Supplies"/>
    <n v="17"/>
    <n v="8"/>
    <s v="Consumer"/>
    <n v="68"/>
    <n v="32"/>
    <n v="36"/>
    <n v="0.52941176470588236"/>
  </r>
  <r>
    <s v="ORD-10227"/>
    <x v="157"/>
    <s v="CUST-0061"/>
    <s v="PROD-008"/>
    <x v="2"/>
    <s v="Retail Store"/>
    <n v="3"/>
    <n v="0.15"/>
    <s v="No"/>
    <n v="4"/>
    <n v="5"/>
    <s v="Office Chair"/>
    <s v="Furniture"/>
    <n v="255"/>
    <n v="145"/>
    <s v="Small Business"/>
    <n v="650.25"/>
    <n v="435"/>
    <n v="215.25"/>
    <n v="0.33102652825836215"/>
  </r>
  <r>
    <s v="ORD-10228"/>
    <x v="180"/>
    <s v="CUST-0106"/>
    <s v="PROD-007"/>
    <x v="0"/>
    <s v="Retail Store"/>
    <n v="2"/>
    <n v="0.05"/>
    <s v="No"/>
    <n v="5"/>
    <n v="3"/>
    <s v="Standing Desk"/>
    <s v="Furniture"/>
    <n v="540"/>
    <n v="320"/>
    <s v="Corporate"/>
    <n v="1026"/>
    <n v="640"/>
    <n v="386"/>
    <n v="0.37621832358674462"/>
  </r>
  <r>
    <s v="ORD-10229"/>
    <x v="142"/>
    <s v="CUST-0294"/>
    <s v="PROD-009"/>
    <x v="0"/>
    <s v="Retail Store"/>
    <n v="6"/>
    <n v="0.1"/>
    <s v="No"/>
    <n v="5"/>
    <n v="4"/>
    <s v="Bookshelf"/>
    <s v="Furniture"/>
    <n v="185"/>
    <n v="105"/>
    <s v="Consumer"/>
    <n v="999"/>
    <n v="630"/>
    <n v="369"/>
    <n v="0.36936936936936937"/>
  </r>
  <r>
    <s v="ORD-10230"/>
    <x v="195"/>
    <s v="CUST-0142"/>
    <s v="PROD-005"/>
    <x v="1"/>
    <s v="Online"/>
    <n v="1"/>
    <n v="0"/>
    <s v="No"/>
    <n v="5"/>
    <n v="4"/>
    <s v="Webcam"/>
    <s v="Technology"/>
    <n v="115"/>
    <n v="58"/>
    <s v="Corporate"/>
    <n v="115"/>
    <n v="58"/>
    <n v="57"/>
    <n v="0.4956521739130435"/>
  </r>
  <r>
    <s v="ORD-10231"/>
    <x v="196"/>
    <s v="CUST-0073"/>
    <s v="PROD-009"/>
    <x v="1"/>
    <s v="Online"/>
    <n v="1"/>
    <n v="0.1"/>
    <s v="No"/>
    <n v="4"/>
    <n v="3"/>
    <s v="Bookshelf"/>
    <s v="Furniture"/>
    <n v="185"/>
    <n v="105"/>
    <s v="Small Business"/>
    <n v="166.5"/>
    <n v="105"/>
    <n v="61.5"/>
    <n v="0.36936936936936937"/>
  </r>
  <r>
    <s v="ORD-10232"/>
    <x v="197"/>
    <s v="CUST-0233"/>
    <s v="PROD-016"/>
    <x v="3"/>
    <s v="Online"/>
    <n v="4"/>
    <n v="0.1"/>
    <s v="No"/>
    <n v="4"/>
    <n v="3"/>
    <s v="Desk Organiser"/>
    <s v="Office Supplies"/>
    <n v="28"/>
    <n v="12"/>
    <s v="Corporate"/>
    <n v="100.8"/>
    <n v="48"/>
    <n v="52.8"/>
    <n v="0.52380952380952384"/>
  </r>
  <r>
    <s v="ORD-10233"/>
    <x v="198"/>
    <s v="CUST-0274"/>
    <s v="PROD-013"/>
    <x v="2"/>
    <s v="Online"/>
    <n v="1"/>
    <n v="0"/>
    <s v="No"/>
    <n v="4"/>
    <n v="5"/>
    <s v="Phone Charger"/>
    <s v="Accessories"/>
    <n v="32"/>
    <n v="13"/>
    <s v="Small Business"/>
    <n v="32"/>
    <n v="13"/>
    <n v="19"/>
    <n v="0.59375"/>
  </r>
  <r>
    <s v="ORD-10234"/>
    <x v="199"/>
    <s v="CUST-0290"/>
    <s v="PROD-016"/>
    <x v="0"/>
    <s v="B2B Sales"/>
    <n v="4"/>
    <n v="0"/>
    <s v="No"/>
    <n v="5"/>
    <n v="1"/>
    <s v="Desk Organiser"/>
    <s v="Office Supplies"/>
    <n v="28"/>
    <n v="12"/>
    <s v="Consumer"/>
    <n v="112"/>
    <n v="48"/>
    <n v="64"/>
    <n v="0.5714285714285714"/>
  </r>
  <r>
    <s v="ORD-10235"/>
    <x v="110"/>
    <s v="CUST-0081"/>
    <s v="PROD-015"/>
    <x v="4"/>
    <s v="B2B Sales"/>
    <n v="2"/>
    <n v="0.2"/>
    <s v="No"/>
    <n v="5"/>
    <n v="3"/>
    <s v="File Folder Pack"/>
    <s v="Office Supplies"/>
    <n v="23"/>
    <n v="10"/>
    <s v="Corporate"/>
    <n v="36.800000000000004"/>
    <n v="20"/>
    <n v="16.800000000000004"/>
    <n v="0.45652173913043487"/>
  </r>
  <r>
    <s v="ORD-10236"/>
    <x v="200"/>
    <s v="CUST-0141"/>
    <s v="PROD-003"/>
    <x v="1"/>
    <s v="Online"/>
    <n v="2"/>
    <n v="0.15"/>
    <s v="No"/>
    <n v="4"/>
    <n v="3"/>
    <s v="Keyboard"/>
    <s v="Technology"/>
    <n v="75"/>
    <n v="38"/>
    <s v="Consumer"/>
    <n v="127.5"/>
    <n v="76"/>
    <n v="51.5"/>
    <n v="0.40392156862745099"/>
  </r>
  <r>
    <s v="ORD-10237"/>
    <x v="201"/>
    <s v="CUST-0220"/>
    <s v="PROD-003"/>
    <x v="1"/>
    <s v="Online"/>
    <n v="2"/>
    <n v="0"/>
    <s v="No"/>
    <n v="5"/>
    <n v="1"/>
    <s v="Keyboard"/>
    <s v="Technology"/>
    <n v="75"/>
    <n v="38"/>
    <s v="Consumer"/>
    <n v="150"/>
    <n v="76"/>
    <n v="74"/>
    <n v="0.49333333333333335"/>
  </r>
  <r>
    <s v="ORD-10238"/>
    <x v="57"/>
    <s v="CUST-0176"/>
    <s v="PROD-004"/>
    <x v="0"/>
    <s v="Online"/>
    <n v="1"/>
    <n v="0"/>
    <s v="No"/>
    <n v="5"/>
    <n v="1"/>
    <s v="Mouse"/>
    <s v="Technology"/>
    <n v="42"/>
    <n v="19"/>
    <s v="Consumer"/>
    <n v="42"/>
    <n v="19"/>
    <n v="23"/>
    <n v="0.54761904761904767"/>
  </r>
  <r>
    <s v="ORD-10239"/>
    <x v="35"/>
    <s v="CUST-0161"/>
    <s v="PROD-012"/>
    <x v="0"/>
    <s v="Online"/>
    <n v="4"/>
    <n v="0.1"/>
    <s v="No"/>
    <n v="5"/>
    <n v="2"/>
    <s v="USB-C Hub"/>
    <s v="Accessories"/>
    <n v="68"/>
    <n v="31"/>
    <s v="Consumer"/>
    <n v="244.8"/>
    <n v="124"/>
    <n v="120.80000000000001"/>
    <n v="0.49346405228758172"/>
  </r>
  <r>
    <s v="ORD-10240"/>
    <x v="202"/>
    <s v="CUST-0272"/>
    <s v="PROD-001"/>
    <x v="1"/>
    <s v="Online"/>
    <n v="2"/>
    <n v="0"/>
    <s v="No"/>
    <n v="5"/>
    <n v="5"/>
    <s v="Laptop"/>
    <s v="Technology"/>
    <n v="1100"/>
    <n v="720"/>
    <s v="Consumer"/>
    <n v="2200"/>
    <n v="1440"/>
    <n v="760"/>
    <n v="0.34545454545454546"/>
  </r>
  <r>
    <s v="ORD-10241"/>
    <x v="203"/>
    <s v="CUST-0112"/>
    <s v="PROD-003"/>
    <x v="0"/>
    <s v="Online"/>
    <n v="1"/>
    <n v="0.1"/>
    <s v="No"/>
    <n v="4"/>
    <n v="2"/>
    <s v="Keyboard"/>
    <s v="Technology"/>
    <n v="75"/>
    <n v="38"/>
    <s v="Consumer"/>
    <n v="67.5"/>
    <n v="38"/>
    <n v="29.5"/>
    <n v="0.43703703703703706"/>
  </r>
  <r>
    <s v="ORD-10242"/>
    <x v="204"/>
    <s v="CUST-0142"/>
    <s v="PROD-003"/>
    <x v="3"/>
    <s v="Retail Store"/>
    <n v="4"/>
    <n v="0"/>
    <s v="Yes"/>
    <n v="1"/>
    <n v="5"/>
    <s v="Keyboard"/>
    <s v="Technology"/>
    <n v="75"/>
    <n v="38"/>
    <s v="Corporate"/>
    <n v="300"/>
    <n v="152"/>
    <n v="148"/>
    <n v="0.49333333333333335"/>
  </r>
  <r>
    <s v="ORD-10243"/>
    <x v="205"/>
    <s v="CUST-0261"/>
    <s v="PROD-007"/>
    <x v="1"/>
    <s v="Online"/>
    <n v="1"/>
    <n v="0.15"/>
    <s v="Yes"/>
    <n v="4"/>
    <n v="3"/>
    <s v="Standing Desk"/>
    <s v="Furniture"/>
    <n v="540"/>
    <n v="320"/>
    <s v="Small Business"/>
    <n v="459"/>
    <n v="320"/>
    <n v="139"/>
    <n v="0.30283224400871461"/>
  </r>
  <r>
    <s v="ORD-10244"/>
    <x v="206"/>
    <s v="CUST-0037"/>
    <s v="PROD-001"/>
    <x v="0"/>
    <s v="B2B Sales"/>
    <n v="1"/>
    <n v="0.15"/>
    <s v="No"/>
    <n v="4"/>
    <n v="2"/>
    <s v="Laptop"/>
    <s v="Technology"/>
    <n v="1100"/>
    <n v="720"/>
    <s v="Small Business"/>
    <n v="935"/>
    <n v="720"/>
    <n v="215"/>
    <n v="0.22994652406417113"/>
  </r>
  <r>
    <s v="ORD-10245"/>
    <x v="134"/>
    <s v="CUST-0038"/>
    <s v="PROD-001"/>
    <x v="4"/>
    <s v="Online"/>
    <n v="1"/>
    <n v="0.15"/>
    <s v="Yes"/>
    <n v="4"/>
    <n v="7"/>
    <s v="Laptop"/>
    <s v="Technology"/>
    <n v="1100"/>
    <n v="720"/>
    <s v="Corporate"/>
    <n v="935"/>
    <n v="720"/>
    <n v="215"/>
    <n v="0.22994652406417113"/>
  </r>
  <r>
    <s v="ORD-10246"/>
    <x v="94"/>
    <s v="CUST-0206"/>
    <s v="PROD-003"/>
    <x v="1"/>
    <s v="Retail Store"/>
    <n v="1"/>
    <n v="0"/>
    <s v="No"/>
    <n v="5"/>
    <n v="2"/>
    <s v="Keyboard"/>
    <s v="Technology"/>
    <n v="75"/>
    <n v="38"/>
    <s v="Consumer"/>
    <n v="75"/>
    <n v="38"/>
    <n v="37"/>
    <n v="0.49333333333333335"/>
  </r>
  <r>
    <s v="ORD-10247"/>
    <x v="207"/>
    <s v="CUST-0168"/>
    <s v="PROD-013"/>
    <x v="4"/>
    <s v="Retail Store"/>
    <n v="3"/>
    <n v="0.05"/>
    <s v="No"/>
    <n v="4"/>
    <n v="2"/>
    <s v="Phone Charger"/>
    <s v="Accessories"/>
    <n v="32"/>
    <n v="13"/>
    <s v="Corporate"/>
    <n v="91.199999999999989"/>
    <n v="39"/>
    <n v="52.199999999999989"/>
    <n v="0.57236842105263153"/>
  </r>
  <r>
    <s v="ORD-10248"/>
    <x v="160"/>
    <s v="CUST-0126"/>
    <s v="PROD-003"/>
    <x v="0"/>
    <s v="Online"/>
    <n v="3"/>
    <n v="0"/>
    <s v="No"/>
    <n v="5"/>
    <n v="2"/>
    <s v="Keyboard"/>
    <s v="Technology"/>
    <n v="75"/>
    <n v="38"/>
    <s v="Consumer"/>
    <n v="225"/>
    <n v="114"/>
    <n v="111"/>
    <n v="0.49333333333333335"/>
  </r>
  <r>
    <s v="ORD-10249"/>
    <x v="208"/>
    <s v="CUST-0007"/>
    <s v="PROD-005"/>
    <x v="1"/>
    <s v="Online"/>
    <n v="7"/>
    <n v="0.05"/>
    <s v="No"/>
    <n v="5"/>
    <n v="2"/>
    <s v="Webcam"/>
    <s v="Technology"/>
    <n v="115"/>
    <n v="58"/>
    <s v="Small Business"/>
    <n v="764.75"/>
    <n v="406"/>
    <n v="358.75"/>
    <n v="0.46910755148741418"/>
  </r>
  <r>
    <s v="ORD-10250"/>
    <x v="209"/>
    <s v="CUST-0065"/>
    <s v="PROD-009"/>
    <x v="1"/>
    <s v="Online"/>
    <n v="6"/>
    <n v="0"/>
    <s v="No"/>
    <n v="4"/>
    <n v="3"/>
    <s v="Bookshelf"/>
    <s v="Furniture"/>
    <n v="185"/>
    <n v="105"/>
    <s v="Small Business"/>
    <n v="1110"/>
    <n v="630"/>
    <n v="480"/>
    <n v="0.43243243243243246"/>
  </r>
  <r>
    <s v="ORD-10251"/>
    <x v="210"/>
    <s v="CUST-0040"/>
    <s v="PROD-016"/>
    <x v="4"/>
    <s v="Online"/>
    <n v="2"/>
    <n v="0.05"/>
    <s v="No"/>
    <n v="4"/>
    <n v="1"/>
    <s v="Desk Organiser"/>
    <s v="Office Supplies"/>
    <n v="28"/>
    <n v="12"/>
    <s v="Corporate"/>
    <n v="53.199999999999996"/>
    <n v="24"/>
    <n v="29.199999999999996"/>
    <n v="0.54887218045112773"/>
  </r>
  <r>
    <s v="ORD-10252"/>
    <x v="211"/>
    <s v="CUST-0060"/>
    <s v="PROD-008"/>
    <x v="1"/>
    <s v="Online"/>
    <n v="5"/>
    <n v="0"/>
    <s v="No"/>
    <n v="4"/>
    <n v="2"/>
    <s v="Office Chair"/>
    <s v="Furniture"/>
    <n v="255"/>
    <n v="145"/>
    <s v="Consumer"/>
    <n v="1275"/>
    <n v="725"/>
    <n v="550"/>
    <n v="0.43137254901960786"/>
  </r>
  <r>
    <s v="ORD-10253"/>
    <x v="168"/>
    <s v="CUST-0019"/>
    <s v="PROD-014"/>
    <x v="3"/>
    <s v="Online"/>
    <n v="6"/>
    <n v="0"/>
    <s v="No"/>
    <n v="4"/>
    <n v="1"/>
    <s v="Printer Paper"/>
    <s v="Office Supplies"/>
    <n v="17"/>
    <n v="8"/>
    <s v="Small Business"/>
    <n v="102"/>
    <n v="48"/>
    <n v="54"/>
    <n v="0.52941176470588236"/>
  </r>
  <r>
    <s v="ORD-10254"/>
    <x v="212"/>
    <s v="CUST-0027"/>
    <s v="PROD-006"/>
    <x v="3"/>
    <s v="Retail Store"/>
    <n v="1"/>
    <n v="0"/>
    <s v="No"/>
    <n v="5"/>
    <n v="3"/>
    <s v="Headset"/>
    <s v="Technology"/>
    <n v="98"/>
    <n v="46"/>
    <s v="Consumer"/>
    <n v="98"/>
    <n v="46"/>
    <n v="52"/>
    <n v="0.53061224489795922"/>
  </r>
  <r>
    <s v="ORD-10255"/>
    <x v="112"/>
    <s v="CUST-0045"/>
    <s v="PROD-015"/>
    <x v="2"/>
    <s v="Online"/>
    <n v="3"/>
    <n v="0"/>
    <s v="No"/>
    <n v="4"/>
    <n v="5"/>
    <s v="File Folder Pack"/>
    <s v="Office Supplies"/>
    <n v="23"/>
    <n v="10"/>
    <s v="Consumer"/>
    <n v="69"/>
    <n v="30"/>
    <n v="39"/>
    <n v="0.56521739130434778"/>
  </r>
  <r>
    <s v="ORD-10256"/>
    <x v="143"/>
    <s v="CUST-0101"/>
    <s v="PROD-008"/>
    <x v="2"/>
    <s v="B2B Sales"/>
    <n v="1"/>
    <n v="0.05"/>
    <s v="No"/>
    <n v="5"/>
    <n v="1"/>
    <s v="Office Chair"/>
    <s v="Furniture"/>
    <n v="255"/>
    <n v="145"/>
    <s v="Consumer"/>
    <n v="242.25"/>
    <n v="145"/>
    <n v="97.25"/>
    <n v="0.40144478844169246"/>
  </r>
  <r>
    <s v="ORD-10257"/>
    <x v="11"/>
    <s v="CUST-0001"/>
    <s v="PROD-013"/>
    <x v="0"/>
    <s v="Retail Store"/>
    <n v="1"/>
    <n v="0.05"/>
    <s v="No"/>
    <n v="4"/>
    <n v="1"/>
    <s v="Phone Charger"/>
    <s v="Accessories"/>
    <n v="32"/>
    <n v="13"/>
    <s v="Corporate"/>
    <n v="30.4"/>
    <n v="13"/>
    <n v="17.399999999999999"/>
    <n v="0.57236842105263153"/>
  </r>
  <r>
    <s v="ORD-10258"/>
    <x v="213"/>
    <s v="CUST-0144"/>
    <s v="PROD-003"/>
    <x v="2"/>
    <s v="Online"/>
    <n v="5"/>
    <n v="0"/>
    <s v="No"/>
    <n v="4"/>
    <n v="1"/>
    <s v="Keyboard"/>
    <s v="Technology"/>
    <n v="75"/>
    <n v="38"/>
    <s v="Small Business"/>
    <n v="375"/>
    <n v="190"/>
    <n v="185"/>
    <n v="0.49333333333333335"/>
  </r>
  <r>
    <s v="ORD-10259"/>
    <x v="88"/>
    <s v="CUST-0049"/>
    <s v="PROD-005"/>
    <x v="1"/>
    <s v="Online"/>
    <n v="3"/>
    <n v="0"/>
    <s v="No"/>
    <n v="3"/>
    <n v="3"/>
    <s v="Webcam"/>
    <s v="Technology"/>
    <n v="115"/>
    <n v="58"/>
    <s v="Corporate"/>
    <n v="345"/>
    <n v="174"/>
    <n v="171"/>
    <n v="0.4956521739130435"/>
  </r>
  <r>
    <s v="ORD-10260"/>
    <x v="163"/>
    <s v="CUST-0162"/>
    <s v="PROD-013"/>
    <x v="1"/>
    <s v="Retail Store"/>
    <n v="1"/>
    <n v="0"/>
    <s v="No"/>
    <n v="3"/>
    <n v="5"/>
    <s v="Phone Charger"/>
    <s v="Accessories"/>
    <n v="32"/>
    <n v="13"/>
    <s v="Corporate"/>
    <n v="32"/>
    <n v="13"/>
    <n v="19"/>
    <n v="0.59375"/>
  </r>
  <r>
    <s v="ORD-10261"/>
    <x v="181"/>
    <s v="CUST-0080"/>
    <s v="PROD-004"/>
    <x v="2"/>
    <s v="Online"/>
    <n v="2"/>
    <n v="0.05"/>
    <s v="Yes"/>
    <n v="3"/>
    <n v="7"/>
    <s v="Mouse"/>
    <s v="Technology"/>
    <n v="42"/>
    <n v="19"/>
    <s v="Consumer"/>
    <n v="79.8"/>
    <n v="38"/>
    <n v="41.8"/>
    <n v="0.52380952380952384"/>
  </r>
  <r>
    <s v="ORD-10262"/>
    <x v="214"/>
    <s v="CUST-0062"/>
    <s v="PROD-003"/>
    <x v="2"/>
    <s v="Retail Store"/>
    <n v="5"/>
    <n v="0.1"/>
    <s v="No"/>
    <n v="5"/>
    <n v="3"/>
    <s v="Keyboard"/>
    <s v="Technology"/>
    <n v="75"/>
    <n v="38"/>
    <s v="Corporate"/>
    <n v="337.5"/>
    <n v="190"/>
    <n v="147.5"/>
    <n v="0.43703703703703706"/>
  </r>
  <r>
    <s v="ORD-10263"/>
    <x v="215"/>
    <s v="CUST-0047"/>
    <s v="PROD-008"/>
    <x v="0"/>
    <s v="Online"/>
    <n v="1"/>
    <n v="0"/>
    <s v="No"/>
    <n v="3"/>
    <n v="4"/>
    <s v="Office Chair"/>
    <s v="Furniture"/>
    <n v="255"/>
    <n v="145"/>
    <s v="Consumer"/>
    <n v="255"/>
    <n v="145"/>
    <n v="110"/>
    <n v="0.43137254901960786"/>
  </r>
  <r>
    <s v="ORD-10264"/>
    <x v="216"/>
    <s v="CUST-0285"/>
    <s v="PROD-008"/>
    <x v="2"/>
    <s v="Online"/>
    <n v="4"/>
    <n v="0"/>
    <s v="No"/>
    <n v="5"/>
    <n v="2"/>
    <s v="Office Chair"/>
    <s v="Furniture"/>
    <n v="255"/>
    <n v="145"/>
    <s v="Consumer"/>
    <n v="1020"/>
    <n v="580"/>
    <n v="440"/>
    <n v="0.43137254901960786"/>
  </r>
  <r>
    <s v="ORD-10265"/>
    <x v="199"/>
    <s v="CUST-0102"/>
    <s v="PROD-013"/>
    <x v="3"/>
    <s v="Retail Store"/>
    <n v="3"/>
    <n v="0.05"/>
    <s v="No"/>
    <n v="5"/>
    <n v="1"/>
    <s v="Phone Charger"/>
    <s v="Accessories"/>
    <n v="32"/>
    <n v="13"/>
    <s v="Corporate"/>
    <n v="91.199999999999989"/>
    <n v="39"/>
    <n v="52.199999999999989"/>
    <n v="0.57236842105263153"/>
  </r>
  <r>
    <s v="ORD-10266"/>
    <x v="117"/>
    <s v="CUST-0102"/>
    <s v="PROD-015"/>
    <x v="0"/>
    <s v="Online"/>
    <n v="5"/>
    <n v="0.1"/>
    <s v="No"/>
    <n v="5"/>
    <n v="1"/>
    <s v="File Folder Pack"/>
    <s v="Office Supplies"/>
    <n v="23"/>
    <n v="10"/>
    <s v="Corporate"/>
    <n v="103.5"/>
    <n v="50"/>
    <n v="53.5"/>
    <n v="0.51690821256038644"/>
  </r>
  <r>
    <s v="ORD-10267"/>
    <x v="85"/>
    <s v="CUST-0294"/>
    <s v="PROD-014"/>
    <x v="0"/>
    <s v="Online"/>
    <n v="1"/>
    <n v="0.1"/>
    <s v="No"/>
    <n v="3"/>
    <n v="2"/>
    <s v="Printer Paper"/>
    <s v="Office Supplies"/>
    <n v="17"/>
    <n v="8"/>
    <s v="Consumer"/>
    <n v="15.3"/>
    <n v="8"/>
    <n v="7.3000000000000007"/>
    <n v="0.47712418300653597"/>
  </r>
  <r>
    <s v="ORD-10268"/>
    <x v="16"/>
    <s v="CUST-0144"/>
    <s v="PROD-015"/>
    <x v="0"/>
    <s v="Online"/>
    <n v="3"/>
    <n v="0"/>
    <s v="No"/>
    <n v="4"/>
    <n v="5"/>
    <s v="File Folder Pack"/>
    <s v="Office Supplies"/>
    <n v="23"/>
    <n v="10"/>
    <s v="Small Business"/>
    <n v="69"/>
    <n v="30"/>
    <n v="39"/>
    <n v="0.56521739130434778"/>
  </r>
  <r>
    <s v="ORD-10269"/>
    <x v="162"/>
    <s v="CUST-0032"/>
    <s v="PROD-003"/>
    <x v="3"/>
    <s v="Online"/>
    <n v="1"/>
    <n v="0.15"/>
    <s v="No"/>
    <n v="5"/>
    <n v="5"/>
    <s v="Keyboard"/>
    <s v="Technology"/>
    <n v="75"/>
    <n v="38"/>
    <s v="Corporate"/>
    <n v="63.75"/>
    <n v="38"/>
    <n v="25.75"/>
    <n v="0.40392156862745099"/>
  </r>
  <r>
    <s v="ORD-10270"/>
    <x v="102"/>
    <s v="CUST-0196"/>
    <s v="PROD-012"/>
    <x v="4"/>
    <s v="Retail Store"/>
    <n v="2"/>
    <n v="0.05"/>
    <s v="No"/>
    <n v="4"/>
    <n v="1"/>
    <s v="USB-C Hub"/>
    <s v="Accessories"/>
    <n v="68"/>
    <n v="31"/>
    <s v="Small Business"/>
    <n v="129.19999999999999"/>
    <n v="62"/>
    <n v="67.199999999999989"/>
    <n v="0.52012383900928794"/>
  </r>
  <r>
    <s v="ORD-10271"/>
    <x v="158"/>
    <s v="CUST-0113"/>
    <s v="PROD-001"/>
    <x v="0"/>
    <s v="Retail Store"/>
    <n v="1"/>
    <n v="0.2"/>
    <s v="No"/>
    <n v="5"/>
    <n v="2"/>
    <s v="Laptop"/>
    <s v="Technology"/>
    <n v="1100"/>
    <n v="720"/>
    <s v="Corporate"/>
    <n v="880"/>
    <n v="720"/>
    <n v="160"/>
    <n v="0.18181818181818182"/>
  </r>
  <r>
    <s v="ORD-10272"/>
    <x v="217"/>
    <s v="CUST-0052"/>
    <s v="PROD-008"/>
    <x v="1"/>
    <s v="Online"/>
    <n v="4"/>
    <n v="0.15"/>
    <s v="No"/>
    <n v="5"/>
    <n v="2"/>
    <s v="Office Chair"/>
    <s v="Furniture"/>
    <n v="255"/>
    <n v="145"/>
    <s v="Consumer"/>
    <n v="867"/>
    <n v="580"/>
    <n v="287"/>
    <n v="0.33102652825836215"/>
  </r>
  <r>
    <s v="ORD-10273"/>
    <x v="218"/>
    <s v="CUST-0199"/>
    <s v="PROD-012"/>
    <x v="0"/>
    <s v="B2B Sales"/>
    <n v="1"/>
    <n v="0"/>
    <s v="No"/>
    <n v="5"/>
    <n v="3"/>
    <s v="USB-C Hub"/>
    <s v="Accessories"/>
    <n v="68"/>
    <n v="31"/>
    <s v="Small Business"/>
    <n v="68"/>
    <n v="31"/>
    <n v="37"/>
    <n v="0.54411764705882348"/>
  </r>
  <r>
    <s v="ORD-10274"/>
    <x v="159"/>
    <s v="CUST-0015"/>
    <s v="PROD-012"/>
    <x v="0"/>
    <s v="Retail Store"/>
    <n v="3"/>
    <n v="0"/>
    <s v="Yes"/>
    <n v="5"/>
    <n v="7"/>
    <s v="USB-C Hub"/>
    <s v="Accessories"/>
    <n v="68"/>
    <n v="31"/>
    <s v="Corporate"/>
    <n v="204"/>
    <n v="93"/>
    <n v="111"/>
    <n v="0.54411764705882348"/>
  </r>
  <r>
    <s v="ORD-10275"/>
    <x v="219"/>
    <s v="CUST-0252"/>
    <s v="PROD-002"/>
    <x v="2"/>
    <s v="Online"/>
    <n v="1"/>
    <n v="0.05"/>
    <s v="No"/>
    <n v="5"/>
    <n v="2"/>
    <s v="Monitor"/>
    <s v="Technology"/>
    <n v="310"/>
    <n v="190"/>
    <s v="Corporate"/>
    <n v="294.5"/>
    <n v="190"/>
    <n v="104.5"/>
    <n v="0.35483870967741937"/>
  </r>
  <r>
    <s v="ORD-10276"/>
    <x v="199"/>
    <s v="CUST-0175"/>
    <s v="PROD-006"/>
    <x v="0"/>
    <s v="B2B Sales"/>
    <n v="2"/>
    <n v="0"/>
    <s v="No"/>
    <n v="5"/>
    <n v="1"/>
    <s v="Headset"/>
    <s v="Technology"/>
    <n v="98"/>
    <n v="46"/>
    <s v="Small Business"/>
    <n v="196"/>
    <n v="92"/>
    <n v="104"/>
    <n v="0.53061224489795922"/>
  </r>
  <r>
    <s v="ORD-10277"/>
    <x v="70"/>
    <s v="CUST-0187"/>
    <s v="PROD-003"/>
    <x v="3"/>
    <s v="B2B Sales"/>
    <n v="2"/>
    <n v="0"/>
    <s v="No"/>
    <n v="3"/>
    <n v="2"/>
    <s v="Keyboard"/>
    <s v="Technology"/>
    <n v="75"/>
    <n v="38"/>
    <s v="Small Business"/>
    <n v="150"/>
    <n v="76"/>
    <n v="74"/>
    <n v="0.49333333333333335"/>
  </r>
  <r>
    <s v="ORD-10278"/>
    <x v="220"/>
    <s v="CUST-0250"/>
    <s v="PROD-011"/>
    <x v="2"/>
    <s v="B2B Sales"/>
    <n v="3"/>
    <n v="0.15"/>
    <s v="No"/>
    <n v="3"/>
    <n v="5"/>
    <s v="Backpack"/>
    <s v="Accessories"/>
    <n v="85"/>
    <n v="39"/>
    <s v="Consumer"/>
    <n v="216.75"/>
    <n v="117"/>
    <n v="99.75"/>
    <n v="0.46020761245674741"/>
  </r>
  <r>
    <s v="ORD-10279"/>
    <x v="219"/>
    <s v="CUST-0194"/>
    <s v="PROD-010"/>
    <x v="1"/>
    <s v="Online"/>
    <n v="1"/>
    <n v="0"/>
    <s v="No"/>
    <n v="4"/>
    <n v="5"/>
    <s v="Laptop Stand"/>
    <s v="Accessories"/>
    <n v="48"/>
    <n v="22"/>
    <s v="Small Business"/>
    <n v="48"/>
    <n v="22"/>
    <n v="26"/>
    <n v="0.54166666666666663"/>
  </r>
  <r>
    <s v="ORD-10280"/>
    <x v="66"/>
    <s v="CUST-0094"/>
    <s v="PROD-011"/>
    <x v="0"/>
    <s v="B2B Sales"/>
    <n v="1"/>
    <n v="0.05"/>
    <s v="Yes"/>
    <n v="3"/>
    <n v="3"/>
    <s v="Backpack"/>
    <s v="Accessories"/>
    <n v="85"/>
    <n v="39"/>
    <s v="Consumer"/>
    <n v="80.75"/>
    <n v="39"/>
    <n v="41.75"/>
    <n v="0.51702786377708976"/>
  </r>
  <r>
    <s v="ORD-10281"/>
    <x v="221"/>
    <s v="CUST-0164"/>
    <s v="PROD-006"/>
    <x v="1"/>
    <s v="B2B Sales"/>
    <n v="5"/>
    <n v="0.1"/>
    <s v="No"/>
    <n v="4"/>
    <n v="1"/>
    <s v="Headset"/>
    <s v="Technology"/>
    <n v="98"/>
    <n v="46"/>
    <s v="Small Business"/>
    <n v="441"/>
    <n v="230"/>
    <n v="211"/>
    <n v="0.47845804988662133"/>
  </r>
  <r>
    <s v="ORD-10282"/>
    <x v="214"/>
    <s v="CUST-0108"/>
    <s v="PROD-008"/>
    <x v="1"/>
    <s v="Online"/>
    <n v="4"/>
    <n v="0.1"/>
    <s v="No"/>
    <n v="4"/>
    <n v="4"/>
    <s v="Office Chair"/>
    <s v="Furniture"/>
    <n v="255"/>
    <n v="145"/>
    <s v="Consumer"/>
    <n v="918"/>
    <n v="580"/>
    <n v="338"/>
    <n v="0.36819172113289761"/>
  </r>
  <r>
    <s v="ORD-10283"/>
    <x v="222"/>
    <s v="CUST-0212"/>
    <s v="PROD-016"/>
    <x v="0"/>
    <s v="Online"/>
    <n v="2"/>
    <n v="0.1"/>
    <s v="No"/>
    <n v="4"/>
    <n v="2"/>
    <s v="Desk Organiser"/>
    <s v="Office Supplies"/>
    <n v="28"/>
    <n v="12"/>
    <s v="Corporate"/>
    <n v="50.4"/>
    <n v="24"/>
    <n v="26.4"/>
    <n v="0.52380952380952384"/>
  </r>
  <r>
    <s v="ORD-10284"/>
    <x v="223"/>
    <s v="CUST-0232"/>
    <s v="PROD-003"/>
    <x v="0"/>
    <s v="Online"/>
    <n v="1"/>
    <n v="0"/>
    <s v="No"/>
    <n v="4"/>
    <n v="4"/>
    <s v="Keyboard"/>
    <s v="Technology"/>
    <n v="75"/>
    <n v="38"/>
    <s v="Consumer"/>
    <n v="75"/>
    <n v="38"/>
    <n v="37"/>
    <n v="0.49333333333333335"/>
  </r>
  <r>
    <s v="ORD-10285"/>
    <x v="224"/>
    <s v="CUST-0039"/>
    <s v="PROD-003"/>
    <x v="3"/>
    <s v="B2B Sales"/>
    <n v="6"/>
    <n v="0.1"/>
    <s v="No"/>
    <n v="5"/>
    <n v="5"/>
    <s v="Keyboard"/>
    <s v="Technology"/>
    <n v="75"/>
    <n v="38"/>
    <s v="Small Business"/>
    <n v="405"/>
    <n v="228"/>
    <n v="177"/>
    <n v="0.43703703703703706"/>
  </r>
  <r>
    <s v="ORD-10286"/>
    <x v="225"/>
    <s v="CUST-0081"/>
    <s v="PROD-002"/>
    <x v="2"/>
    <s v="Online"/>
    <n v="1"/>
    <n v="0.1"/>
    <s v="No"/>
    <n v="5"/>
    <n v="3"/>
    <s v="Monitor"/>
    <s v="Technology"/>
    <n v="310"/>
    <n v="190"/>
    <s v="Corporate"/>
    <n v="279"/>
    <n v="190"/>
    <n v="89"/>
    <n v="0.31899641577060933"/>
  </r>
  <r>
    <s v="ORD-10287"/>
    <x v="127"/>
    <s v="CUST-0153"/>
    <s v="PROD-008"/>
    <x v="2"/>
    <s v="Online"/>
    <n v="2"/>
    <n v="0.05"/>
    <s v="No"/>
    <n v="1"/>
    <n v="4"/>
    <s v="Office Chair"/>
    <s v="Furniture"/>
    <n v="255"/>
    <n v="145"/>
    <s v="Consumer"/>
    <n v="484.5"/>
    <n v="290"/>
    <n v="194.5"/>
    <n v="0.40144478844169246"/>
  </r>
  <r>
    <s v="ORD-10288"/>
    <x v="137"/>
    <s v="CUST-0103"/>
    <s v="PROD-004"/>
    <x v="2"/>
    <s v="Online"/>
    <n v="1"/>
    <n v="0"/>
    <s v="No"/>
    <n v="4"/>
    <n v="4"/>
    <s v="Mouse"/>
    <s v="Technology"/>
    <n v="42"/>
    <n v="19"/>
    <s v="Corporate"/>
    <n v="42"/>
    <n v="19"/>
    <n v="23"/>
    <n v="0.54761904761904767"/>
  </r>
  <r>
    <s v="ORD-10289"/>
    <x v="134"/>
    <s v="CUST-0251"/>
    <s v="PROD-009"/>
    <x v="2"/>
    <s v="Retail Store"/>
    <n v="1"/>
    <n v="0.15"/>
    <s v="No"/>
    <n v="4"/>
    <n v="3"/>
    <s v="Bookshelf"/>
    <s v="Furniture"/>
    <n v="185"/>
    <n v="105"/>
    <s v="Consumer"/>
    <n v="157.25"/>
    <n v="105"/>
    <n v="52.25"/>
    <n v="0.33227344992050872"/>
  </r>
  <r>
    <s v="ORD-10290"/>
    <x v="226"/>
    <s v="CUST-0239"/>
    <s v="PROD-009"/>
    <x v="3"/>
    <s v="Online"/>
    <n v="1"/>
    <n v="0.1"/>
    <s v="No"/>
    <n v="2"/>
    <n v="7"/>
    <s v="Bookshelf"/>
    <s v="Furniture"/>
    <n v="185"/>
    <n v="105"/>
    <s v="Corporate"/>
    <n v="166.5"/>
    <n v="105"/>
    <n v="61.5"/>
    <n v="0.36936936936936937"/>
  </r>
  <r>
    <s v="ORD-10291"/>
    <x v="227"/>
    <s v="CUST-0117"/>
    <s v="PROD-002"/>
    <x v="0"/>
    <s v="Retail Store"/>
    <n v="2"/>
    <n v="0.05"/>
    <s v="No"/>
    <n v="4"/>
    <n v="2"/>
    <s v="Monitor"/>
    <s v="Technology"/>
    <n v="310"/>
    <n v="190"/>
    <s v="Consumer"/>
    <n v="589"/>
    <n v="380"/>
    <n v="209"/>
    <n v="0.35483870967741937"/>
  </r>
  <r>
    <s v="ORD-10292"/>
    <x v="140"/>
    <s v="CUST-0154"/>
    <s v="PROD-003"/>
    <x v="3"/>
    <s v="B2B Sales"/>
    <n v="1"/>
    <n v="0.05"/>
    <s v="No"/>
    <n v="4"/>
    <n v="5"/>
    <s v="Keyboard"/>
    <s v="Technology"/>
    <n v="75"/>
    <n v="38"/>
    <s v="Corporate"/>
    <n v="71.25"/>
    <n v="38"/>
    <n v="33.25"/>
    <n v="0.46666666666666667"/>
  </r>
  <r>
    <s v="ORD-10293"/>
    <x v="228"/>
    <s v="CUST-0062"/>
    <s v="PROD-015"/>
    <x v="2"/>
    <s v="B2B Sales"/>
    <n v="8"/>
    <n v="0.1"/>
    <s v="No"/>
    <n v="4"/>
    <n v="4"/>
    <s v="File Folder Pack"/>
    <s v="Office Supplies"/>
    <n v="23"/>
    <n v="10"/>
    <s v="Corporate"/>
    <n v="165.6"/>
    <n v="80"/>
    <n v="85.6"/>
    <n v="0.51690821256038644"/>
  </r>
  <r>
    <s v="ORD-10294"/>
    <x v="229"/>
    <s v="CUST-0076"/>
    <s v="PROD-009"/>
    <x v="3"/>
    <s v="Retail Store"/>
    <n v="4"/>
    <n v="0"/>
    <s v="No"/>
    <n v="4"/>
    <n v="3"/>
    <s v="Bookshelf"/>
    <s v="Furniture"/>
    <n v="185"/>
    <n v="105"/>
    <s v="Consumer"/>
    <n v="740"/>
    <n v="420"/>
    <n v="320"/>
    <n v="0.43243243243243246"/>
  </r>
  <r>
    <s v="ORD-10295"/>
    <x v="230"/>
    <s v="CUST-0235"/>
    <s v="PROD-001"/>
    <x v="0"/>
    <s v="Retail Store"/>
    <n v="2"/>
    <n v="0"/>
    <s v="No"/>
    <n v="3"/>
    <n v="5"/>
    <s v="Laptop"/>
    <s v="Technology"/>
    <n v="1100"/>
    <n v="720"/>
    <s v="Consumer"/>
    <n v="2200"/>
    <n v="1440"/>
    <n v="760"/>
    <n v="0.34545454545454546"/>
  </r>
  <r>
    <s v="ORD-10296"/>
    <x v="231"/>
    <s v="CUST-0052"/>
    <s v="PROD-004"/>
    <x v="4"/>
    <s v="Online"/>
    <n v="1"/>
    <n v="0.05"/>
    <s v="No"/>
    <n v="4"/>
    <n v="4"/>
    <s v="Mouse"/>
    <s v="Technology"/>
    <n v="42"/>
    <n v="19"/>
    <s v="Consumer"/>
    <n v="39.9"/>
    <n v="19"/>
    <n v="20.9"/>
    <n v="0.52380952380952384"/>
  </r>
  <r>
    <s v="ORD-10297"/>
    <x v="232"/>
    <s v="CUST-0293"/>
    <s v="PROD-016"/>
    <x v="2"/>
    <s v="Online"/>
    <n v="1"/>
    <n v="0.05"/>
    <s v="No"/>
    <n v="1"/>
    <n v="5"/>
    <s v="Desk Organiser"/>
    <s v="Office Supplies"/>
    <n v="28"/>
    <n v="12"/>
    <s v="Corporate"/>
    <n v="26.599999999999998"/>
    <n v="12"/>
    <n v="14.599999999999998"/>
    <n v="0.54887218045112773"/>
  </r>
  <r>
    <s v="ORD-10298"/>
    <x v="233"/>
    <s v="CUST-0244"/>
    <s v="PROD-009"/>
    <x v="0"/>
    <s v="Online"/>
    <n v="4"/>
    <n v="0"/>
    <s v="No"/>
    <n v="4"/>
    <n v="1"/>
    <s v="Bookshelf"/>
    <s v="Furniture"/>
    <n v="185"/>
    <n v="105"/>
    <s v="Small Business"/>
    <n v="740"/>
    <n v="420"/>
    <n v="320"/>
    <n v="0.43243243243243246"/>
  </r>
  <r>
    <s v="ORD-10299"/>
    <x v="234"/>
    <s v="CUST-0069"/>
    <s v="PROD-010"/>
    <x v="0"/>
    <s v="Online"/>
    <n v="5"/>
    <n v="0"/>
    <s v="No"/>
    <n v="5"/>
    <n v="2"/>
    <s v="Laptop Stand"/>
    <s v="Accessories"/>
    <n v="48"/>
    <n v="22"/>
    <s v="Consumer"/>
    <n v="240"/>
    <n v="110"/>
    <n v="130"/>
    <n v="0.54166666666666663"/>
  </r>
  <r>
    <s v="ORD-10300"/>
    <x v="10"/>
    <s v="CUST-0109"/>
    <s v="PROD-014"/>
    <x v="1"/>
    <s v="Retail Store"/>
    <n v="5"/>
    <n v="0.1"/>
    <s v="No"/>
    <n v="3"/>
    <n v="3"/>
    <s v="Printer Paper"/>
    <s v="Office Supplies"/>
    <n v="17"/>
    <n v="8"/>
    <s v="Consumer"/>
    <n v="76.5"/>
    <n v="40"/>
    <n v="36.5"/>
    <n v="0.47712418300653597"/>
  </r>
  <r>
    <s v="ORD-10301"/>
    <x v="235"/>
    <s v="CUST-0207"/>
    <s v="PROD-005"/>
    <x v="0"/>
    <s v="Retail Store"/>
    <n v="3"/>
    <n v="0"/>
    <s v="No"/>
    <n v="3"/>
    <n v="1"/>
    <s v="Webcam"/>
    <s v="Technology"/>
    <n v="115"/>
    <n v="58"/>
    <s v="Consumer"/>
    <n v="345"/>
    <n v="174"/>
    <n v="171"/>
    <n v="0.4956521739130435"/>
  </r>
  <r>
    <s v="ORD-10302"/>
    <x v="236"/>
    <s v="CUST-0017"/>
    <s v="PROD-015"/>
    <x v="2"/>
    <s v="Online"/>
    <n v="1"/>
    <n v="0"/>
    <s v="No"/>
    <n v="4"/>
    <n v="1"/>
    <s v="File Folder Pack"/>
    <s v="Office Supplies"/>
    <n v="23"/>
    <n v="10"/>
    <s v="Consumer"/>
    <n v="23"/>
    <n v="10"/>
    <n v="13"/>
    <n v="0.56521739130434778"/>
  </r>
  <r>
    <s v="ORD-10303"/>
    <x v="23"/>
    <s v="CUST-0124"/>
    <s v="PROD-012"/>
    <x v="4"/>
    <s v="Online"/>
    <n v="7"/>
    <n v="0.05"/>
    <s v="No"/>
    <n v="4"/>
    <n v="3"/>
    <s v="USB-C Hub"/>
    <s v="Accessories"/>
    <n v="68"/>
    <n v="31"/>
    <s v="Corporate"/>
    <n v="452.2"/>
    <n v="217"/>
    <n v="235.2"/>
    <n v="0.52012383900928794"/>
  </r>
  <r>
    <s v="ORD-10304"/>
    <x v="62"/>
    <s v="CUST-0146"/>
    <s v="PROD-001"/>
    <x v="3"/>
    <s v="Online"/>
    <n v="3"/>
    <n v="0.2"/>
    <s v="No"/>
    <n v="5"/>
    <n v="2"/>
    <s v="Laptop"/>
    <s v="Technology"/>
    <n v="1100"/>
    <n v="720"/>
    <s v="Consumer"/>
    <n v="2640"/>
    <n v="2160"/>
    <n v="480"/>
    <n v="0.18181818181818182"/>
  </r>
  <r>
    <s v="ORD-10305"/>
    <x v="42"/>
    <s v="CUST-0210"/>
    <s v="PROD-001"/>
    <x v="0"/>
    <s v="B2B Sales"/>
    <n v="3"/>
    <n v="0.05"/>
    <s v="No"/>
    <n v="3"/>
    <n v="1"/>
    <s v="Laptop"/>
    <s v="Technology"/>
    <n v="1100"/>
    <n v="720"/>
    <s v="Small Business"/>
    <n v="3135"/>
    <n v="2160"/>
    <n v="975"/>
    <n v="0.31100478468899523"/>
  </r>
  <r>
    <s v="ORD-10306"/>
    <x v="118"/>
    <s v="CUST-0130"/>
    <s v="PROD-010"/>
    <x v="1"/>
    <s v="Retail Store"/>
    <n v="1"/>
    <n v="0.15"/>
    <s v="No"/>
    <n v="4"/>
    <n v="2"/>
    <s v="Laptop Stand"/>
    <s v="Accessories"/>
    <n v="48"/>
    <n v="22"/>
    <s v="Small Business"/>
    <n v="40.799999999999997"/>
    <n v="22"/>
    <n v="18.799999999999997"/>
    <n v="0.46078431372549017"/>
  </r>
  <r>
    <s v="ORD-10307"/>
    <x v="237"/>
    <s v="CUST-0155"/>
    <s v="PROD-013"/>
    <x v="4"/>
    <s v="Online"/>
    <n v="8"/>
    <n v="0.2"/>
    <s v="No"/>
    <n v="4"/>
    <n v="5"/>
    <s v="Phone Charger"/>
    <s v="Accessories"/>
    <n v="32"/>
    <n v="13"/>
    <s v="Consumer"/>
    <n v="204.8"/>
    <n v="104"/>
    <n v="100.80000000000001"/>
    <n v="0.49218750000000006"/>
  </r>
  <r>
    <s v="ORD-10308"/>
    <x v="238"/>
    <s v="CUST-0153"/>
    <s v="PROD-004"/>
    <x v="4"/>
    <s v="Online"/>
    <n v="1"/>
    <n v="0"/>
    <s v="No"/>
    <n v="5"/>
    <n v="3"/>
    <s v="Mouse"/>
    <s v="Technology"/>
    <n v="42"/>
    <n v="19"/>
    <s v="Consumer"/>
    <n v="42"/>
    <n v="19"/>
    <n v="23"/>
    <n v="0.54761904761904767"/>
  </r>
  <r>
    <s v="ORD-10309"/>
    <x v="239"/>
    <s v="CUST-0077"/>
    <s v="PROD-008"/>
    <x v="0"/>
    <s v="Retail Store"/>
    <n v="4"/>
    <n v="0.05"/>
    <s v="No"/>
    <n v="5"/>
    <n v="1"/>
    <s v="Office Chair"/>
    <s v="Furniture"/>
    <n v="255"/>
    <n v="145"/>
    <s v="Small Business"/>
    <n v="969"/>
    <n v="580"/>
    <n v="389"/>
    <n v="0.40144478844169246"/>
  </r>
  <r>
    <s v="ORD-10310"/>
    <x v="55"/>
    <s v="CUST-0152"/>
    <s v="PROD-009"/>
    <x v="0"/>
    <s v="Online"/>
    <n v="4"/>
    <n v="0.05"/>
    <s v="Yes"/>
    <n v="5"/>
    <n v="5"/>
    <s v="Bookshelf"/>
    <s v="Furniture"/>
    <n v="185"/>
    <n v="105"/>
    <s v="Corporate"/>
    <n v="703"/>
    <n v="420"/>
    <n v="283"/>
    <n v="0.40256045519203415"/>
  </r>
  <r>
    <s v="ORD-10311"/>
    <x v="141"/>
    <s v="CUST-0244"/>
    <s v="PROD-012"/>
    <x v="4"/>
    <s v="B2B Sales"/>
    <n v="5"/>
    <n v="0.15"/>
    <s v="No"/>
    <n v="2"/>
    <n v="5"/>
    <s v="USB-C Hub"/>
    <s v="Accessories"/>
    <n v="68"/>
    <n v="31"/>
    <s v="Small Business"/>
    <n v="289"/>
    <n v="155"/>
    <n v="134"/>
    <n v="0.46366782006920415"/>
  </r>
  <r>
    <s v="ORD-10312"/>
    <x v="161"/>
    <s v="CUST-0094"/>
    <s v="PROD-011"/>
    <x v="1"/>
    <s v="Online"/>
    <n v="1"/>
    <n v="0.15"/>
    <s v="No"/>
    <n v="5"/>
    <n v="3"/>
    <s v="Backpack"/>
    <s v="Accessories"/>
    <n v="85"/>
    <n v="39"/>
    <s v="Consumer"/>
    <n v="72.25"/>
    <n v="39"/>
    <n v="33.25"/>
    <n v="0.46020761245674741"/>
  </r>
  <r>
    <s v="ORD-10313"/>
    <x v="240"/>
    <s v="CUST-0300"/>
    <s v="PROD-010"/>
    <x v="4"/>
    <s v="Online"/>
    <n v="1"/>
    <n v="0.05"/>
    <s v="No"/>
    <n v="5"/>
    <n v="4"/>
    <s v="Laptop Stand"/>
    <s v="Accessories"/>
    <n v="48"/>
    <n v="22"/>
    <s v="Small Business"/>
    <n v="45.599999999999994"/>
    <n v="22"/>
    <n v="23.599999999999994"/>
    <n v="0.51754385964912275"/>
  </r>
  <r>
    <s v="ORD-10314"/>
    <x v="241"/>
    <s v="CUST-0257"/>
    <s v="PROD-004"/>
    <x v="0"/>
    <s v="Online"/>
    <n v="1"/>
    <n v="0"/>
    <s v="No"/>
    <n v="3"/>
    <n v="2"/>
    <s v="Mouse"/>
    <s v="Technology"/>
    <n v="42"/>
    <n v="19"/>
    <s v="Consumer"/>
    <n v="42"/>
    <n v="19"/>
    <n v="23"/>
    <n v="0.54761904761904767"/>
  </r>
  <r>
    <s v="ORD-10315"/>
    <x v="242"/>
    <s v="CUST-0210"/>
    <s v="PROD-015"/>
    <x v="2"/>
    <s v="B2B Sales"/>
    <n v="1"/>
    <n v="0"/>
    <s v="No"/>
    <n v="5"/>
    <n v="3"/>
    <s v="File Folder Pack"/>
    <s v="Office Supplies"/>
    <n v="23"/>
    <n v="10"/>
    <s v="Small Business"/>
    <n v="23"/>
    <n v="10"/>
    <n v="13"/>
    <n v="0.56521739130434778"/>
  </r>
  <r>
    <s v="ORD-10316"/>
    <x v="160"/>
    <s v="CUST-0003"/>
    <s v="PROD-015"/>
    <x v="3"/>
    <s v="Retail Store"/>
    <n v="1"/>
    <n v="0.1"/>
    <s v="No"/>
    <n v="5"/>
    <n v="1"/>
    <s v="File Folder Pack"/>
    <s v="Office Supplies"/>
    <n v="23"/>
    <n v="10"/>
    <s v="Consumer"/>
    <n v="20.7"/>
    <n v="10"/>
    <n v="10.7"/>
    <n v="0.51690821256038644"/>
  </r>
  <r>
    <s v="ORD-10317"/>
    <x v="119"/>
    <s v="CUST-0223"/>
    <s v="PROD-014"/>
    <x v="3"/>
    <s v="B2B Sales"/>
    <n v="2"/>
    <n v="0"/>
    <s v="No"/>
    <n v="4"/>
    <n v="1"/>
    <s v="Printer Paper"/>
    <s v="Office Supplies"/>
    <n v="17"/>
    <n v="8"/>
    <s v="Corporate"/>
    <n v="34"/>
    <n v="16"/>
    <n v="18"/>
    <n v="0.52941176470588236"/>
  </r>
  <r>
    <s v="ORD-10318"/>
    <x v="243"/>
    <s v="CUST-0272"/>
    <s v="PROD-007"/>
    <x v="2"/>
    <s v="Online"/>
    <n v="4"/>
    <n v="0"/>
    <s v="No"/>
    <n v="4"/>
    <n v="1"/>
    <s v="Standing Desk"/>
    <s v="Furniture"/>
    <n v="540"/>
    <n v="320"/>
    <s v="Consumer"/>
    <n v="2160"/>
    <n v="1280"/>
    <n v="880"/>
    <n v="0.40740740740740738"/>
  </r>
  <r>
    <s v="ORD-10319"/>
    <x v="244"/>
    <s v="CUST-0258"/>
    <s v="PROD-010"/>
    <x v="2"/>
    <s v="Retail Store"/>
    <n v="1"/>
    <n v="0"/>
    <s v="No"/>
    <n v="4"/>
    <n v="3"/>
    <s v="Laptop Stand"/>
    <s v="Accessories"/>
    <n v="48"/>
    <n v="22"/>
    <s v="Consumer"/>
    <n v="48"/>
    <n v="22"/>
    <n v="26"/>
    <n v="0.54166666666666663"/>
  </r>
  <r>
    <s v="ORD-10320"/>
    <x v="225"/>
    <s v="CUST-0069"/>
    <s v="PROD-011"/>
    <x v="0"/>
    <s v="Retail Store"/>
    <n v="4"/>
    <n v="0"/>
    <s v="No"/>
    <n v="5"/>
    <n v="1"/>
    <s v="Backpack"/>
    <s v="Accessories"/>
    <n v="85"/>
    <n v="39"/>
    <s v="Consumer"/>
    <n v="340"/>
    <n v="156"/>
    <n v="184"/>
    <n v="0.54117647058823526"/>
  </r>
  <r>
    <s v="ORD-10321"/>
    <x v="234"/>
    <s v="CUST-0115"/>
    <s v="PROD-005"/>
    <x v="2"/>
    <s v="Online"/>
    <n v="2"/>
    <n v="0"/>
    <s v="No"/>
    <n v="5"/>
    <n v="4"/>
    <s v="Webcam"/>
    <s v="Technology"/>
    <n v="115"/>
    <n v="58"/>
    <s v="Small Business"/>
    <n v="230"/>
    <n v="116"/>
    <n v="114"/>
    <n v="0.4956521739130435"/>
  </r>
  <r>
    <s v="ORD-10322"/>
    <x v="81"/>
    <s v="CUST-0274"/>
    <s v="PROD-002"/>
    <x v="4"/>
    <s v="Online"/>
    <n v="1"/>
    <n v="0.15"/>
    <s v="No"/>
    <n v="3"/>
    <n v="4"/>
    <s v="Monitor"/>
    <s v="Technology"/>
    <n v="310"/>
    <n v="190"/>
    <s v="Small Business"/>
    <n v="263.5"/>
    <n v="190"/>
    <n v="73.5"/>
    <n v="0.27893738140417457"/>
  </r>
  <r>
    <s v="ORD-10323"/>
    <x v="52"/>
    <s v="CUST-0064"/>
    <s v="PROD-009"/>
    <x v="4"/>
    <s v="Online"/>
    <n v="3"/>
    <n v="0.05"/>
    <s v="No"/>
    <n v="5"/>
    <n v="5"/>
    <s v="Bookshelf"/>
    <s v="Furniture"/>
    <n v="185"/>
    <n v="105"/>
    <s v="Corporate"/>
    <n v="527.25"/>
    <n v="315"/>
    <n v="212.25"/>
    <n v="0.40256045519203415"/>
  </r>
  <r>
    <s v="ORD-10324"/>
    <x v="245"/>
    <s v="CUST-0071"/>
    <s v="PROD-014"/>
    <x v="0"/>
    <s v="Online"/>
    <n v="4"/>
    <n v="0"/>
    <s v="No"/>
    <n v="2"/>
    <n v="4"/>
    <s v="Printer Paper"/>
    <s v="Office Supplies"/>
    <n v="17"/>
    <n v="8"/>
    <s v="Consumer"/>
    <n v="68"/>
    <n v="32"/>
    <n v="36"/>
    <n v="0.52941176470588236"/>
  </r>
  <r>
    <s v="ORD-10325"/>
    <x v="246"/>
    <s v="CUST-0268"/>
    <s v="PROD-007"/>
    <x v="3"/>
    <s v="Online"/>
    <n v="1"/>
    <n v="0.05"/>
    <s v="Yes"/>
    <n v="5"/>
    <n v="7"/>
    <s v="Standing Desk"/>
    <s v="Furniture"/>
    <n v="540"/>
    <n v="320"/>
    <s v="Small Business"/>
    <n v="513"/>
    <n v="320"/>
    <n v="193"/>
    <n v="0.37621832358674462"/>
  </r>
  <r>
    <s v="ORD-10326"/>
    <x v="247"/>
    <s v="CUST-0002"/>
    <s v="PROD-001"/>
    <x v="1"/>
    <s v="B2B Sales"/>
    <n v="5"/>
    <n v="0.1"/>
    <s v="No"/>
    <n v="2"/>
    <n v="6"/>
    <s v="Laptop"/>
    <s v="Technology"/>
    <n v="1100"/>
    <n v="720"/>
    <s v="Consumer"/>
    <n v="4950"/>
    <n v="3600"/>
    <n v="1350"/>
    <n v="0.27272727272727271"/>
  </r>
  <r>
    <s v="ORD-10327"/>
    <x v="248"/>
    <s v="CUST-0132"/>
    <s v="PROD-008"/>
    <x v="4"/>
    <s v="B2B Sales"/>
    <n v="1"/>
    <n v="0"/>
    <s v="No"/>
    <n v="5"/>
    <n v="3"/>
    <s v="Office Chair"/>
    <s v="Furniture"/>
    <n v="255"/>
    <n v="145"/>
    <s v="Consumer"/>
    <n v="255"/>
    <n v="145"/>
    <n v="110"/>
    <n v="0.43137254901960786"/>
  </r>
  <r>
    <s v="ORD-10328"/>
    <x v="249"/>
    <s v="CUST-0161"/>
    <s v="PROD-014"/>
    <x v="1"/>
    <s v="Online"/>
    <n v="4"/>
    <n v="0"/>
    <s v="No"/>
    <n v="5"/>
    <n v="2"/>
    <s v="Printer Paper"/>
    <s v="Office Supplies"/>
    <n v="17"/>
    <n v="8"/>
    <s v="Consumer"/>
    <n v="68"/>
    <n v="32"/>
    <n v="36"/>
    <n v="0.52941176470588236"/>
  </r>
  <r>
    <s v="ORD-10329"/>
    <x v="250"/>
    <s v="CUST-0184"/>
    <s v="PROD-015"/>
    <x v="0"/>
    <s v="Online"/>
    <n v="4"/>
    <n v="0"/>
    <s v="No"/>
    <n v="3"/>
    <n v="4"/>
    <s v="File Folder Pack"/>
    <s v="Office Supplies"/>
    <n v="23"/>
    <n v="10"/>
    <s v="Consumer"/>
    <n v="92"/>
    <n v="40"/>
    <n v="52"/>
    <n v="0.56521739130434778"/>
  </r>
  <r>
    <s v="ORD-10330"/>
    <x v="251"/>
    <s v="CUST-0140"/>
    <s v="PROD-013"/>
    <x v="1"/>
    <s v="Online"/>
    <n v="2"/>
    <n v="0.15"/>
    <s v="No"/>
    <n v="3"/>
    <n v="1"/>
    <s v="Phone Charger"/>
    <s v="Accessories"/>
    <n v="32"/>
    <n v="13"/>
    <s v="Consumer"/>
    <n v="54.4"/>
    <n v="26"/>
    <n v="28.4"/>
    <n v="0.5220588235294118"/>
  </r>
  <r>
    <s v="ORD-10331"/>
    <x v="217"/>
    <s v="CUST-0054"/>
    <s v="PROD-014"/>
    <x v="0"/>
    <s v="Retail Store"/>
    <n v="3"/>
    <n v="0"/>
    <s v="No"/>
    <n v="5"/>
    <n v="5"/>
    <s v="Printer Paper"/>
    <s v="Office Supplies"/>
    <n v="17"/>
    <n v="8"/>
    <s v="Small Business"/>
    <n v="51"/>
    <n v="24"/>
    <n v="27"/>
    <n v="0.52941176470588236"/>
  </r>
  <r>
    <s v="ORD-10332"/>
    <x v="252"/>
    <s v="CUST-0067"/>
    <s v="PROD-016"/>
    <x v="0"/>
    <s v="Online"/>
    <n v="2"/>
    <n v="0"/>
    <s v="No"/>
    <n v="4"/>
    <n v="5"/>
    <s v="Desk Organiser"/>
    <s v="Office Supplies"/>
    <n v="28"/>
    <n v="12"/>
    <s v="Consumer"/>
    <n v="56"/>
    <n v="24"/>
    <n v="32"/>
    <n v="0.5714285714285714"/>
  </r>
  <r>
    <s v="ORD-10333"/>
    <x v="210"/>
    <s v="CUST-0290"/>
    <s v="PROD-008"/>
    <x v="0"/>
    <s v="Retail Store"/>
    <n v="2"/>
    <n v="0.05"/>
    <s v="No"/>
    <n v="2"/>
    <n v="6"/>
    <s v="Office Chair"/>
    <s v="Furniture"/>
    <n v="255"/>
    <n v="145"/>
    <s v="Consumer"/>
    <n v="484.5"/>
    <n v="290"/>
    <n v="194.5"/>
    <n v="0.40144478844169246"/>
  </r>
  <r>
    <s v="ORD-10334"/>
    <x v="253"/>
    <s v="CUST-0198"/>
    <s v="PROD-005"/>
    <x v="0"/>
    <s v="Retail Store"/>
    <n v="8"/>
    <n v="0"/>
    <s v="No"/>
    <n v="3"/>
    <n v="4"/>
    <s v="Webcam"/>
    <s v="Technology"/>
    <n v="115"/>
    <n v="58"/>
    <s v="Consumer"/>
    <n v="920"/>
    <n v="464"/>
    <n v="456"/>
    <n v="0.4956521739130435"/>
  </r>
  <r>
    <s v="ORD-10335"/>
    <x v="254"/>
    <s v="CUST-0085"/>
    <s v="PROD-003"/>
    <x v="1"/>
    <s v="Online"/>
    <n v="2"/>
    <n v="0"/>
    <s v="No"/>
    <n v="4"/>
    <n v="4"/>
    <s v="Keyboard"/>
    <s v="Technology"/>
    <n v="75"/>
    <n v="38"/>
    <s v="Consumer"/>
    <n v="150"/>
    <n v="76"/>
    <n v="74"/>
    <n v="0.49333333333333335"/>
  </r>
  <r>
    <s v="ORD-10336"/>
    <x v="255"/>
    <s v="CUST-0121"/>
    <s v="PROD-003"/>
    <x v="4"/>
    <s v="Retail Store"/>
    <n v="2"/>
    <n v="0.15"/>
    <s v="No"/>
    <n v="3"/>
    <n v="4"/>
    <s v="Keyboard"/>
    <s v="Technology"/>
    <n v="75"/>
    <n v="38"/>
    <s v="Corporate"/>
    <n v="127.5"/>
    <n v="76"/>
    <n v="51.5"/>
    <n v="0.40392156862745099"/>
  </r>
  <r>
    <s v="ORD-10337"/>
    <x v="256"/>
    <s v="CUST-0053"/>
    <s v="PROD-013"/>
    <x v="3"/>
    <s v="Retail Store"/>
    <n v="1"/>
    <n v="0"/>
    <s v="No"/>
    <n v="5"/>
    <n v="3"/>
    <s v="Phone Charger"/>
    <s v="Accessories"/>
    <n v="32"/>
    <n v="13"/>
    <s v="Consumer"/>
    <n v="32"/>
    <n v="13"/>
    <n v="19"/>
    <n v="0.59375"/>
  </r>
  <r>
    <s v="ORD-10338"/>
    <x v="257"/>
    <s v="CUST-0288"/>
    <s v="PROD-007"/>
    <x v="1"/>
    <s v="Online"/>
    <n v="2"/>
    <n v="0.1"/>
    <s v="No"/>
    <n v="5"/>
    <n v="3"/>
    <s v="Standing Desk"/>
    <s v="Furniture"/>
    <n v="540"/>
    <n v="320"/>
    <s v="Consumer"/>
    <n v="972"/>
    <n v="640"/>
    <n v="332"/>
    <n v="0.34156378600823045"/>
  </r>
  <r>
    <s v="ORD-10339"/>
    <x v="258"/>
    <s v="CUST-0243"/>
    <s v="PROD-012"/>
    <x v="1"/>
    <s v="Online"/>
    <n v="4"/>
    <n v="0"/>
    <s v="No"/>
    <n v="5"/>
    <n v="3"/>
    <s v="USB-C Hub"/>
    <s v="Accessories"/>
    <n v="68"/>
    <n v="31"/>
    <s v="Corporate"/>
    <n v="272"/>
    <n v="124"/>
    <n v="148"/>
    <n v="0.54411764705882348"/>
  </r>
  <r>
    <s v="ORD-10340"/>
    <x v="259"/>
    <s v="CUST-0268"/>
    <s v="PROD-012"/>
    <x v="1"/>
    <s v="Online"/>
    <n v="1"/>
    <n v="0"/>
    <s v="No"/>
    <n v="5"/>
    <n v="1"/>
    <s v="USB-C Hub"/>
    <s v="Accessories"/>
    <n v="68"/>
    <n v="31"/>
    <s v="Small Business"/>
    <n v="68"/>
    <n v="31"/>
    <n v="37"/>
    <n v="0.54411764705882348"/>
  </r>
  <r>
    <s v="ORD-10341"/>
    <x v="260"/>
    <s v="CUST-0101"/>
    <s v="PROD-007"/>
    <x v="2"/>
    <s v="B2B Sales"/>
    <n v="1"/>
    <n v="0.1"/>
    <s v="No"/>
    <n v="4"/>
    <n v="4"/>
    <s v="Standing Desk"/>
    <s v="Furniture"/>
    <n v="540"/>
    <n v="320"/>
    <s v="Consumer"/>
    <n v="486"/>
    <n v="320"/>
    <n v="166"/>
    <n v="0.34156378600823045"/>
  </r>
  <r>
    <s v="ORD-10342"/>
    <x v="261"/>
    <s v="CUST-0064"/>
    <s v="PROD-015"/>
    <x v="4"/>
    <s v="Retail Store"/>
    <n v="2"/>
    <n v="0.2"/>
    <s v="No"/>
    <n v="5"/>
    <n v="5"/>
    <s v="File Folder Pack"/>
    <s v="Office Supplies"/>
    <n v="23"/>
    <n v="10"/>
    <s v="Corporate"/>
    <n v="36.800000000000004"/>
    <n v="20"/>
    <n v="16.800000000000004"/>
    <n v="0.45652173913043487"/>
  </r>
  <r>
    <s v="ORD-10343"/>
    <x v="262"/>
    <s v="CUST-0300"/>
    <s v="PROD-016"/>
    <x v="0"/>
    <s v="Retail Store"/>
    <n v="6"/>
    <n v="0.1"/>
    <s v="No"/>
    <n v="5"/>
    <n v="1"/>
    <s v="Desk Organiser"/>
    <s v="Office Supplies"/>
    <n v="28"/>
    <n v="12"/>
    <s v="Small Business"/>
    <n v="151.20000000000002"/>
    <n v="72"/>
    <n v="79.200000000000017"/>
    <n v="0.52380952380952384"/>
  </r>
  <r>
    <s v="ORD-10344"/>
    <x v="106"/>
    <s v="CUST-0165"/>
    <s v="PROD-013"/>
    <x v="3"/>
    <s v="Retail Store"/>
    <n v="3"/>
    <n v="0"/>
    <s v="No"/>
    <n v="4"/>
    <n v="3"/>
    <s v="Phone Charger"/>
    <s v="Accessories"/>
    <n v="32"/>
    <n v="13"/>
    <s v="Small Business"/>
    <n v="96"/>
    <n v="39"/>
    <n v="57"/>
    <n v="0.59375"/>
  </r>
  <r>
    <s v="ORD-10345"/>
    <x v="216"/>
    <s v="CUST-0069"/>
    <s v="PROD-005"/>
    <x v="3"/>
    <s v="Retail Store"/>
    <n v="4"/>
    <n v="0"/>
    <s v="No"/>
    <n v="5"/>
    <n v="5"/>
    <s v="Webcam"/>
    <s v="Technology"/>
    <n v="115"/>
    <n v="58"/>
    <s v="Consumer"/>
    <n v="460"/>
    <n v="232"/>
    <n v="228"/>
    <n v="0.4956521739130435"/>
  </r>
  <r>
    <s v="ORD-10346"/>
    <x v="263"/>
    <s v="CUST-0103"/>
    <s v="PROD-007"/>
    <x v="1"/>
    <s v="Online"/>
    <n v="2"/>
    <n v="0.1"/>
    <s v="Yes"/>
    <n v="5"/>
    <n v="5"/>
    <s v="Standing Desk"/>
    <s v="Furniture"/>
    <n v="540"/>
    <n v="320"/>
    <s v="Corporate"/>
    <n v="972"/>
    <n v="640"/>
    <n v="332"/>
    <n v="0.34156378600823045"/>
  </r>
  <r>
    <s v="ORD-10347"/>
    <x v="264"/>
    <s v="CUST-0181"/>
    <s v="PROD-016"/>
    <x v="4"/>
    <s v="B2B Sales"/>
    <n v="4"/>
    <n v="0.1"/>
    <s v="No"/>
    <n v="4"/>
    <n v="4"/>
    <s v="Desk Organiser"/>
    <s v="Office Supplies"/>
    <n v="28"/>
    <n v="12"/>
    <s v="Corporate"/>
    <n v="100.8"/>
    <n v="48"/>
    <n v="52.8"/>
    <n v="0.52380952380952384"/>
  </r>
  <r>
    <s v="ORD-10348"/>
    <x v="265"/>
    <s v="CUST-0268"/>
    <s v="PROD-004"/>
    <x v="2"/>
    <s v="Online"/>
    <n v="3"/>
    <n v="0"/>
    <s v="No"/>
    <n v="3"/>
    <n v="3"/>
    <s v="Mouse"/>
    <s v="Technology"/>
    <n v="42"/>
    <n v="19"/>
    <s v="Small Business"/>
    <n v="126"/>
    <n v="57"/>
    <n v="69"/>
    <n v="0.54761904761904767"/>
  </r>
  <r>
    <s v="ORD-10349"/>
    <x v="266"/>
    <s v="CUST-0075"/>
    <s v="PROD-002"/>
    <x v="1"/>
    <s v="Online"/>
    <n v="4"/>
    <n v="0"/>
    <s v="No"/>
    <n v="2"/>
    <n v="7"/>
    <s v="Monitor"/>
    <s v="Technology"/>
    <n v="310"/>
    <n v="190"/>
    <s v="Corporate"/>
    <n v="1240"/>
    <n v="760"/>
    <n v="480"/>
    <n v="0.38709677419354838"/>
  </r>
  <r>
    <s v="ORD-10350"/>
    <x v="267"/>
    <s v="CUST-0200"/>
    <s v="PROD-008"/>
    <x v="4"/>
    <s v="Retail Store"/>
    <n v="3"/>
    <n v="0.1"/>
    <s v="No"/>
    <n v="4"/>
    <n v="4"/>
    <s v="Office Chair"/>
    <s v="Furniture"/>
    <n v="255"/>
    <n v="145"/>
    <s v="Small Business"/>
    <n v="688.5"/>
    <n v="435"/>
    <n v="253.5"/>
    <n v="0.36819172113289761"/>
  </r>
  <r>
    <s v="ORD-10351"/>
    <x v="268"/>
    <s v="CUST-0283"/>
    <s v="PROD-002"/>
    <x v="2"/>
    <s v="Online"/>
    <n v="3"/>
    <n v="0.1"/>
    <s v="No"/>
    <n v="5"/>
    <n v="3"/>
    <s v="Monitor"/>
    <s v="Technology"/>
    <n v="310"/>
    <n v="190"/>
    <s v="Corporate"/>
    <n v="837"/>
    <n v="570"/>
    <n v="267"/>
    <n v="0.31899641577060933"/>
  </r>
  <r>
    <s v="ORD-10352"/>
    <x v="269"/>
    <s v="CUST-0280"/>
    <s v="PROD-007"/>
    <x v="0"/>
    <s v="B2B Sales"/>
    <n v="1"/>
    <n v="0"/>
    <s v="No"/>
    <n v="3"/>
    <n v="2"/>
    <s v="Standing Desk"/>
    <s v="Furniture"/>
    <n v="540"/>
    <n v="320"/>
    <s v="Corporate"/>
    <n v="540"/>
    <n v="320"/>
    <n v="220"/>
    <n v="0.40740740740740738"/>
  </r>
  <r>
    <s v="ORD-10353"/>
    <x v="270"/>
    <s v="CUST-0062"/>
    <s v="PROD-013"/>
    <x v="2"/>
    <s v="Online"/>
    <n v="1"/>
    <n v="0"/>
    <s v="No"/>
    <n v="1"/>
    <n v="6"/>
    <s v="Phone Charger"/>
    <s v="Accessories"/>
    <n v="32"/>
    <n v="13"/>
    <s v="Corporate"/>
    <n v="32"/>
    <n v="13"/>
    <n v="19"/>
    <n v="0.59375"/>
  </r>
  <r>
    <s v="ORD-10354"/>
    <x v="41"/>
    <s v="CUST-0079"/>
    <s v="PROD-011"/>
    <x v="4"/>
    <s v="Retail Store"/>
    <n v="3"/>
    <n v="0.15"/>
    <s v="No"/>
    <n v="5"/>
    <n v="5"/>
    <s v="Backpack"/>
    <s v="Accessories"/>
    <n v="85"/>
    <n v="39"/>
    <s v="Consumer"/>
    <n v="216.75"/>
    <n v="117"/>
    <n v="99.75"/>
    <n v="0.46020761245674741"/>
  </r>
  <r>
    <s v="ORD-10355"/>
    <x v="1"/>
    <s v="CUST-0038"/>
    <s v="PROD-011"/>
    <x v="4"/>
    <s v="B2B Sales"/>
    <n v="2"/>
    <n v="0.1"/>
    <s v="No"/>
    <n v="4"/>
    <n v="4"/>
    <s v="Backpack"/>
    <s v="Accessories"/>
    <n v="85"/>
    <n v="39"/>
    <s v="Corporate"/>
    <n v="153"/>
    <n v="78"/>
    <n v="75"/>
    <n v="0.49019607843137253"/>
  </r>
  <r>
    <s v="ORD-10356"/>
    <x v="271"/>
    <s v="CUST-0179"/>
    <s v="PROD-008"/>
    <x v="0"/>
    <s v="Retail Store"/>
    <n v="2"/>
    <n v="0"/>
    <s v="Yes"/>
    <n v="5"/>
    <n v="5"/>
    <s v="Office Chair"/>
    <s v="Furniture"/>
    <n v="255"/>
    <n v="145"/>
    <s v="Consumer"/>
    <n v="510"/>
    <n v="290"/>
    <n v="220"/>
    <n v="0.43137254901960786"/>
  </r>
  <r>
    <s v="ORD-10357"/>
    <x v="61"/>
    <s v="CUST-0178"/>
    <s v="PROD-015"/>
    <x v="3"/>
    <s v="Retail Store"/>
    <n v="6"/>
    <n v="0"/>
    <s v="No"/>
    <n v="5"/>
    <n v="4"/>
    <s v="File Folder Pack"/>
    <s v="Office Supplies"/>
    <n v="23"/>
    <n v="10"/>
    <s v="Consumer"/>
    <n v="138"/>
    <n v="60"/>
    <n v="78"/>
    <n v="0.56521739130434778"/>
  </r>
  <r>
    <s v="ORD-10358"/>
    <x v="272"/>
    <s v="CUST-0198"/>
    <s v="PROD-009"/>
    <x v="4"/>
    <s v="Online"/>
    <n v="6"/>
    <n v="0.1"/>
    <s v="No"/>
    <n v="5"/>
    <n v="4"/>
    <s v="Bookshelf"/>
    <s v="Furniture"/>
    <n v="185"/>
    <n v="105"/>
    <s v="Consumer"/>
    <n v="999"/>
    <n v="630"/>
    <n v="369"/>
    <n v="0.36936936936936937"/>
  </r>
  <r>
    <s v="ORD-10359"/>
    <x v="273"/>
    <s v="CUST-0023"/>
    <s v="PROD-010"/>
    <x v="0"/>
    <s v="Online"/>
    <n v="2"/>
    <n v="0.2"/>
    <s v="No"/>
    <n v="5"/>
    <n v="5"/>
    <s v="Laptop Stand"/>
    <s v="Accessories"/>
    <n v="48"/>
    <n v="22"/>
    <s v="Consumer"/>
    <n v="76.800000000000011"/>
    <n v="44"/>
    <n v="32.800000000000011"/>
    <n v="0.42708333333333343"/>
  </r>
  <r>
    <s v="ORD-10360"/>
    <x v="274"/>
    <s v="CUST-0004"/>
    <s v="PROD-003"/>
    <x v="2"/>
    <s v="Retail Store"/>
    <n v="1"/>
    <n v="0.1"/>
    <s v="No"/>
    <n v="3"/>
    <n v="4"/>
    <s v="Keyboard"/>
    <s v="Technology"/>
    <n v="75"/>
    <n v="38"/>
    <s v="Consumer"/>
    <n v="67.5"/>
    <n v="38"/>
    <n v="29.5"/>
    <n v="0.43703703703703706"/>
  </r>
  <r>
    <s v="ORD-10361"/>
    <x v="275"/>
    <s v="CUST-0079"/>
    <s v="PROD-001"/>
    <x v="4"/>
    <s v="Online"/>
    <n v="1"/>
    <n v="0"/>
    <s v="No"/>
    <n v="4"/>
    <n v="5"/>
    <s v="Laptop"/>
    <s v="Technology"/>
    <n v="1100"/>
    <n v="720"/>
    <s v="Consumer"/>
    <n v="1100"/>
    <n v="720"/>
    <n v="380"/>
    <n v="0.34545454545454546"/>
  </r>
  <r>
    <s v="ORD-10362"/>
    <x v="234"/>
    <s v="CUST-0133"/>
    <s v="PROD-014"/>
    <x v="3"/>
    <s v="Retail Store"/>
    <n v="2"/>
    <n v="0"/>
    <s v="No"/>
    <n v="4"/>
    <n v="5"/>
    <s v="Printer Paper"/>
    <s v="Office Supplies"/>
    <n v="17"/>
    <n v="8"/>
    <s v="Small Business"/>
    <n v="34"/>
    <n v="16"/>
    <n v="18"/>
    <n v="0.52941176470588236"/>
  </r>
  <r>
    <s v="ORD-10363"/>
    <x v="198"/>
    <s v="CUST-0300"/>
    <s v="PROD-002"/>
    <x v="1"/>
    <s v="Online"/>
    <n v="6"/>
    <n v="0"/>
    <s v="No"/>
    <n v="4"/>
    <n v="1"/>
    <s v="Monitor"/>
    <s v="Technology"/>
    <n v="310"/>
    <n v="190"/>
    <s v="Small Business"/>
    <n v="1860"/>
    <n v="1140"/>
    <n v="720"/>
    <n v="0.38709677419354838"/>
  </r>
  <r>
    <s v="ORD-10364"/>
    <x v="127"/>
    <s v="CUST-0225"/>
    <s v="PROD-013"/>
    <x v="3"/>
    <s v="Retail Store"/>
    <n v="2"/>
    <n v="0.05"/>
    <s v="No"/>
    <n v="4"/>
    <n v="5"/>
    <s v="Phone Charger"/>
    <s v="Accessories"/>
    <n v="32"/>
    <n v="13"/>
    <s v="Consumer"/>
    <n v="60.8"/>
    <n v="26"/>
    <n v="34.799999999999997"/>
    <n v="0.57236842105263153"/>
  </r>
  <r>
    <s v="ORD-10365"/>
    <x v="276"/>
    <s v="CUST-0074"/>
    <s v="PROD-010"/>
    <x v="1"/>
    <s v="B2B Sales"/>
    <n v="4"/>
    <n v="0.1"/>
    <s v="No"/>
    <n v="5"/>
    <n v="5"/>
    <s v="Laptop Stand"/>
    <s v="Accessories"/>
    <n v="48"/>
    <n v="22"/>
    <s v="Consumer"/>
    <n v="172.8"/>
    <n v="88"/>
    <n v="84.800000000000011"/>
    <n v="0.49074074074074076"/>
  </r>
  <r>
    <s v="ORD-10366"/>
    <x v="277"/>
    <s v="CUST-0073"/>
    <s v="PROD-004"/>
    <x v="2"/>
    <s v="Retail Store"/>
    <n v="2"/>
    <n v="0.05"/>
    <s v="No"/>
    <n v="3"/>
    <n v="3"/>
    <s v="Mouse"/>
    <s v="Technology"/>
    <n v="42"/>
    <n v="19"/>
    <s v="Small Business"/>
    <n v="79.8"/>
    <n v="38"/>
    <n v="41.8"/>
    <n v="0.52380952380952384"/>
  </r>
  <r>
    <s v="ORD-10367"/>
    <x v="278"/>
    <s v="CUST-0212"/>
    <s v="PROD-005"/>
    <x v="2"/>
    <s v="Online"/>
    <n v="5"/>
    <n v="0"/>
    <s v="No"/>
    <n v="5"/>
    <n v="1"/>
    <s v="Webcam"/>
    <s v="Technology"/>
    <n v="115"/>
    <n v="58"/>
    <s v="Corporate"/>
    <n v="575"/>
    <n v="290"/>
    <n v="285"/>
    <n v="0.4956521739130435"/>
  </r>
  <r>
    <s v="ORD-10368"/>
    <x v="279"/>
    <s v="CUST-0237"/>
    <s v="PROD-003"/>
    <x v="3"/>
    <s v="Online"/>
    <n v="1"/>
    <n v="0.1"/>
    <s v="No"/>
    <n v="4"/>
    <n v="2"/>
    <s v="Keyboard"/>
    <s v="Technology"/>
    <n v="75"/>
    <n v="38"/>
    <s v="Small Business"/>
    <n v="67.5"/>
    <n v="38"/>
    <n v="29.5"/>
    <n v="0.43703703703703706"/>
  </r>
  <r>
    <s v="ORD-10369"/>
    <x v="247"/>
    <s v="CUST-0052"/>
    <s v="PROD-010"/>
    <x v="1"/>
    <s v="B2B Sales"/>
    <n v="1"/>
    <n v="0"/>
    <s v="No"/>
    <n v="4"/>
    <n v="5"/>
    <s v="Laptop Stand"/>
    <s v="Accessories"/>
    <n v="48"/>
    <n v="22"/>
    <s v="Consumer"/>
    <n v="48"/>
    <n v="22"/>
    <n v="26"/>
    <n v="0.54166666666666663"/>
  </r>
  <r>
    <s v="ORD-10370"/>
    <x v="17"/>
    <s v="CUST-0290"/>
    <s v="PROD-012"/>
    <x v="0"/>
    <s v="B2B Sales"/>
    <n v="1"/>
    <n v="0"/>
    <s v="No"/>
    <n v="5"/>
    <n v="4"/>
    <s v="USB-C Hub"/>
    <s v="Accessories"/>
    <n v="68"/>
    <n v="31"/>
    <s v="Consumer"/>
    <n v="68"/>
    <n v="31"/>
    <n v="37"/>
    <n v="0.54411764705882348"/>
  </r>
  <r>
    <s v="ORD-10371"/>
    <x v="280"/>
    <s v="CUST-0185"/>
    <s v="PROD-005"/>
    <x v="1"/>
    <s v="Online"/>
    <n v="2"/>
    <n v="0"/>
    <s v="No"/>
    <n v="4"/>
    <n v="1"/>
    <s v="Webcam"/>
    <s v="Technology"/>
    <n v="115"/>
    <n v="58"/>
    <s v="Consumer"/>
    <n v="230"/>
    <n v="116"/>
    <n v="114"/>
    <n v="0.4956521739130435"/>
  </r>
  <r>
    <s v="ORD-10372"/>
    <x v="219"/>
    <s v="CUST-0042"/>
    <s v="PROD-009"/>
    <x v="0"/>
    <s v="Online"/>
    <n v="2"/>
    <n v="0"/>
    <s v="No"/>
    <n v="2"/>
    <n v="2"/>
    <s v="Bookshelf"/>
    <s v="Furniture"/>
    <n v="185"/>
    <n v="105"/>
    <s v="Consumer"/>
    <n v="370"/>
    <n v="210"/>
    <n v="160"/>
    <n v="0.43243243243243246"/>
  </r>
  <r>
    <s v="ORD-10373"/>
    <x v="8"/>
    <s v="CUST-0016"/>
    <s v="PROD-013"/>
    <x v="1"/>
    <s v="Online"/>
    <n v="1"/>
    <n v="0"/>
    <s v="No"/>
    <n v="4"/>
    <n v="2"/>
    <s v="Phone Charger"/>
    <s v="Accessories"/>
    <n v="32"/>
    <n v="13"/>
    <s v="Corporate"/>
    <n v="32"/>
    <n v="13"/>
    <n v="19"/>
    <n v="0.59375"/>
  </r>
  <r>
    <s v="ORD-10374"/>
    <x v="128"/>
    <s v="CUST-0201"/>
    <s v="PROD-008"/>
    <x v="0"/>
    <s v="Retail Store"/>
    <n v="5"/>
    <n v="0"/>
    <s v="No"/>
    <n v="2"/>
    <n v="4"/>
    <s v="Office Chair"/>
    <s v="Furniture"/>
    <n v="255"/>
    <n v="145"/>
    <s v="Small Business"/>
    <n v="1275"/>
    <n v="725"/>
    <n v="550"/>
    <n v="0.43137254901960786"/>
  </r>
  <r>
    <s v="ORD-10375"/>
    <x v="281"/>
    <s v="CUST-0085"/>
    <s v="PROD-005"/>
    <x v="4"/>
    <s v="Online"/>
    <n v="7"/>
    <n v="0.05"/>
    <s v="Yes"/>
    <n v="5"/>
    <n v="7"/>
    <s v="Webcam"/>
    <s v="Technology"/>
    <n v="115"/>
    <n v="58"/>
    <s v="Consumer"/>
    <n v="764.75"/>
    <n v="406"/>
    <n v="358.75"/>
    <n v="0.46910755148741418"/>
  </r>
  <r>
    <s v="ORD-10376"/>
    <x v="282"/>
    <s v="CUST-0113"/>
    <s v="PROD-016"/>
    <x v="3"/>
    <s v="Online"/>
    <n v="1"/>
    <n v="0.1"/>
    <s v="No"/>
    <n v="5"/>
    <n v="4"/>
    <s v="Desk Organiser"/>
    <s v="Office Supplies"/>
    <n v="28"/>
    <n v="12"/>
    <s v="Corporate"/>
    <n v="25.2"/>
    <n v="12"/>
    <n v="13.2"/>
    <n v="0.52380952380952384"/>
  </r>
  <r>
    <s v="ORD-10377"/>
    <x v="283"/>
    <s v="CUST-0233"/>
    <s v="PROD-002"/>
    <x v="2"/>
    <s v="Retail Store"/>
    <n v="1"/>
    <n v="0.2"/>
    <s v="No"/>
    <n v="4"/>
    <n v="3"/>
    <s v="Monitor"/>
    <s v="Technology"/>
    <n v="310"/>
    <n v="190"/>
    <s v="Corporate"/>
    <n v="248"/>
    <n v="190"/>
    <n v="58"/>
    <n v="0.23387096774193547"/>
  </r>
  <r>
    <s v="ORD-10378"/>
    <x v="284"/>
    <s v="CUST-0279"/>
    <s v="PROD-006"/>
    <x v="3"/>
    <s v="Online"/>
    <n v="3"/>
    <n v="0.15"/>
    <s v="No"/>
    <n v="4"/>
    <n v="2"/>
    <s v="Headset"/>
    <s v="Technology"/>
    <n v="98"/>
    <n v="46"/>
    <s v="Consumer"/>
    <n v="249.9"/>
    <n v="138"/>
    <n v="111.9"/>
    <n v="0.44777911164465789"/>
  </r>
  <r>
    <s v="ORD-10379"/>
    <x v="285"/>
    <s v="CUST-0208"/>
    <s v="PROD-012"/>
    <x v="0"/>
    <s v="Online"/>
    <n v="4"/>
    <n v="0.15"/>
    <s v="No"/>
    <n v="5"/>
    <n v="4"/>
    <s v="USB-C Hub"/>
    <s v="Accessories"/>
    <n v="68"/>
    <n v="31"/>
    <s v="Consumer"/>
    <n v="231.2"/>
    <n v="124"/>
    <n v="107.19999999999999"/>
    <n v="0.46366782006920415"/>
  </r>
  <r>
    <s v="ORD-10380"/>
    <x v="286"/>
    <s v="CUST-0118"/>
    <s v="PROD-003"/>
    <x v="4"/>
    <s v="Online"/>
    <n v="1"/>
    <n v="0"/>
    <s v="No"/>
    <n v="5"/>
    <n v="2"/>
    <s v="Keyboard"/>
    <s v="Technology"/>
    <n v="75"/>
    <n v="38"/>
    <s v="Corporate"/>
    <n v="75"/>
    <n v="38"/>
    <n v="37"/>
    <n v="0.49333333333333335"/>
  </r>
  <r>
    <s v="ORD-10381"/>
    <x v="287"/>
    <s v="CUST-0170"/>
    <s v="PROD-004"/>
    <x v="4"/>
    <s v="Online"/>
    <n v="1"/>
    <n v="0"/>
    <s v="No"/>
    <n v="1"/>
    <n v="3"/>
    <s v="Mouse"/>
    <s v="Technology"/>
    <n v="42"/>
    <n v="19"/>
    <s v="Consumer"/>
    <n v="42"/>
    <n v="19"/>
    <n v="23"/>
    <n v="0.54761904761904767"/>
  </r>
  <r>
    <s v="ORD-10382"/>
    <x v="211"/>
    <s v="CUST-0083"/>
    <s v="PROD-005"/>
    <x v="1"/>
    <s v="Online"/>
    <n v="3"/>
    <n v="0"/>
    <s v="No"/>
    <n v="3"/>
    <n v="4"/>
    <s v="Webcam"/>
    <s v="Technology"/>
    <n v="115"/>
    <n v="58"/>
    <s v="Corporate"/>
    <n v="345"/>
    <n v="174"/>
    <n v="171"/>
    <n v="0.4956521739130435"/>
  </r>
  <r>
    <s v="ORD-10383"/>
    <x v="288"/>
    <s v="CUST-0010"/>
    <s v="PROD-010"/>
    <x v="0"/>
    <s v="Online"/>
    <n v="3"/>
    <n v="0.05"/>
    <s v="No"/>
    <n v="3"/>
    <n v="4"/>
    <s v="Laptop Stand"/>
    <s v="Accessories"/>
    <n v="48"/>
    <n v="22"/>
    <s v="Consumer"/>
    <n v="136.79999999999998"/>
    <n v="66"/>
    <n v="70.799999999999983"/>
    <n v="0.51754385964912275"/>
  </r>
  <r>
    <s v="ORD-10384"/>
    <x v="289"/>
    <s v="CUST-0299"/>
    <s v="PROD-006"/>
    <x v="1"/>
    <s v="Retail Store"/>
    <n v="1"/>
    <n v="0.1"/>
    <s v="Yes"/>
    <n v="4"/>
    <n v="3"/>
    <s v="Headset"/>
    <s v="Technology"/>
    <n v="98"/>
    <n v="46"/>
    <s v="Consumer"/>
    <n v="88.2"/>
    <n v="46"/>
    <n v="42.2"/>
    <n v="0.47845804988662133"/>
  </r>
  <r>
    <s v="ORD-10385"/>
    <x v="290"/>
    <s v="CUST-0198"/>
    <s v="PROD-005"/>
    <x v="2"/>
    <s v="Online"/>
    <n v="5"/>
    <n v="0.05"/>
    <s v="No"/>
    <n v="3"/>
    <n v="1"/>
    <s v="Webcam"/>
    <s v="Technology"/>
    <n v="115"/>
    <n v="58"/>
    <s v="Consumer"/>
    <n v="546.25"/>
    <n v="290"/>
    <n v="256.25"/>
    <n v="0.46910755148741418"/>
  </r>
  <r>
    <s v="ORD-10386"/>
    <x v="2"/>
    <s v="CUST-0244"/>
    <s v="PROD-002"/>
    <x v="0"/>
    <s v="Retail Store"/>
    <n v="4"/>
    <n v="0"/>
    <s v="No"/>
    <n v="5"/>
    <n v="5"/>
    <s v="Monitor"/>
    <s v="Technology"/>
    <n v="310"/>
    <n v="190"/>
    <s v="Small Business"/>
    <n v="1240"/>
    <n v="760"/>
    <n v="480"/>
    <n v="0.38709677419354838"/>
  </r>
  <r>
    <s v="ORD-10387"/>
    <x v="291"/>
    <s v="CUST-0221"/>
    <s v="PROD-014"/>
    <x v="3"/>
    <s v="Online"/>
    <n v="2"/>
    <n v="0"/>
    <s v="No"/>
    <n v="5"/>
    <n v="4"/>
    <s v="Printer Paper"/>
    <s v="Office Supplies"/>
    <n v="17"/>
    <n v="8"/>
    <s v="Small Business"/>
    <n v="34"/>
    <n v="16"/>
    <n v="18"/>
    <n v="0.52941176470588236"/>
  </r>
  <r>
    <s v="ORD-10388"/>
    <x v="292"/>
    <s v="CUST-0295"/>
    <s v="PROD-004"/>
    <x v="4"/>
    <s v="Online"/>
    <n v="4"/>
    <n v="0.15"/>
    <s v="No"/>
    <n v="4"/>
    <n v="5"/>
    <s v="Mouse"/>
    <s v="Technology"/>
    <n v="42"/>
    <n v="19"/>
    <s v="Corporate"/>
    <n v="142.79999999999998"/>
    <n v="76"/>
    <n v="66.799999999999983"/>
    <n v="0.46778711484593832"/>
  </r>
  <r>
    <s v="ORD-10389"/>
    <x v="64"/>
    <s v="CUST-0132"/>
    <s v="PROD-007"/>
    <x v="2"/>
    <s v="Retail Store"/>
    <n v="1"/>
    <n v="0.05"/>
    <s v="No"/>
    <n v="4"/>
    <n v="2"/>
    <s v="Standing Desk"/>
    <s v="Furniture"/>
    <n v="540"/>
    <n v="320"/>
    <s v="Consumer"/>
    <n v="513"/>
    <n v="320"/>
    <n v="193"/>
    <n v="0.37621832358674462"/>
  </r>
  <r>
    <s v="ORD-10390"/>
    <x v="293"/>
    <s v="CUST-0210"/>
    <s v="PROD-012"/>
    <x v="2"/>
    <s v="Online"/>
    <n v="3"/>
    <n v="0"/>
    <s v="No"/>
    <n v="4"/>
    <n v="5"/>
    <s v="USB-C Hub"/>
    <s v="Accessories"/>
    <n v="68"/>
    <n v="31"/>
    <s v="Small Business"/>
    <n v="204"/>
    <n v="93"/>
    <n v="111"/>
    <n v="0.54411764705882348"/>
  </r>
  <r>
    <s v="ORD-10391"/>
    <x v="30"/>
    <s v="CUST-0204"/>
    <s v="PROD-007"/>
    <x v="3"/>
    <s v="Retail Store"/>
    <n v="2"/>
    <n v="0"/>
    <s v="No"/>
    <n v="4"/>
    <n v="3"/>
    <s v="Standing Desk"/>
    <s v="Furniture"/>
    <n v="540"/>
    <n v="320"/>
    <s v="Consumer"/>
    <n v="1080"/>
    <n v="640"/>
    <n v="440"/>
    <n v="0.40740740740740738"/>
  </r>
  <r>
    <s v="ORD-10392"/>
    <x v="187"/>
    <s v="CUST-0177"/>
    <s v="PROD-013"/>
    <x v="1"/>
    <s v="B2B Sales"/>
    <n v="3"/>
    <n v="0.1"/>
    <s v="No"/>
    <n v="5"/>
    <n v="2"/>
    <s v="Phone Charger"/>
    <s v="Accessories"/>
    <n v="32"/>
    <n v="13"/>
    <s v="Consumer"/>
    <n v="86.4"/>
    <n v="39"/>
    <n v="47.400000000000006"/>
    <n v="0.54861111111111116"/>
  </r>
  <r>
    <s v="ORD-10393"/>
    <x v="294"/>
    <s v="CUST-0110"/>
    <s v="PROD-013"/>
    <x v="0"/>
    <s v="Retail Store"/>
    <n v="3"/>
    <n v="0.1"/>
    <s v="No"/>
    <n v="4"/>
    <n v="1"/>
    <s v="Phone Charger"/>
    <s v="Accessories"/>
    <n v="32"/>
    <n v="13"/>
    <s v="Small Business"/>
    <n v="86.4"/>
    <n v="39"/>
    <n v="47.400000000000006"/>
    <n v="0.54861111111111116"/>
  </r>
  <r>
    <s v="ORD-10394"/>
    <x v="295"/>
    <s v="CUST-0075"/>
    <s v="PROD-016"/>
    <x v="0"/>
    <s v="Online"/>
    <n v="1"/>
    <n v="0"/>
    <s v="No"/>
    <n v="1"/>
    <n v="8"/>
    <s v="Desk Organiser"/>
    <s v="Office Supplies"/>
    <n v="28"/>
    <n v="12"/>
    <s v="Corporate"/>
    <n v="28"/>
    <n v="12"/>
    <n v="16"/>
    <n v="0.5714285714285714"/>
  </r>
  <r>
    <s v="ORD-10395"/>
    <x v="71"/>
    <s v="CUST-0147"/>
    <s v="PROD-002"/>
    <x v="0"/>
    <s v="Retail Store"/>
    <n v="3"/>
    <n v="0"/>
    <s v="No"/>
    <n v="5"/>
    <n v="5"/>
    <s v="Monitor"/>
    <s v="Technology"/>
    <n v="310"/>
    <n v="190"/>
    <s v="Corporate"/>
    <n v="930"/>
    <n v="570"/>
    <n v="360"/>
    <n v="0.38709677419354838"/>
  </r>
  <r>
    <s v="ORD-10396"/>
    <x v="116"/>
    <s v="CUST-0100"/>
    <s v="PROD-002"/>
    <x v="0"/>
    <s v="Retail Store"/>
    <n v="3"/>
    <n v="0.05"/>
    <s v="No"/>
    <n v="4"/>
    <n v="1"/>
    <s v="Monitor"/>
    <s v="Technology"/>
    <n v="310"/>
    <n v="190"/>
    <s v="Small Business"/>
    <n v="883.5"/>
    <n v="570"/>
    <n v="313.5"/>
    <n v="0.35483870967741937"/>
  </r>
  <r>
    <s v="ORD-10397"/>
    <x v="296"/>
    <s v="CUST-0045"/>
    <s v="PROD-009"/>
    <x v="0"/>
    <s v="Online"/>
    <n v="2"/>
    <n v="0.05"/>
    <s v="No"/>
    <n v="5"/>
    <n v="1"/>
    <s v="Bookshelf"/>
    <s v="Furniture"/>
    <n v="185"/>
    <n v="105"/>
    <s v="Consumer"/>
    <n v="351.5"/>
    <n v="210"/>
    <n v="141.5"/>
    <n v="0.40256045519203415"/>
  </r>
  <r>
    <s v="ORD-10398"/>
    <x v="62"/>
    <s v="CUST-0282"/>
    <s v="PROD-010"/>
    <x v="1"/>
    <s v="Retail Store"/>
    <n v="3"/>
    <n v="0"/>
    <s v="No"/>
    <n v="3"/>
    <n v="2"/>
    <s v="Laptop Stand"/>
    <s v="Accessories"/>
    <n v="48"/>
    <n v="22"/>
    <s v="Consumer"/>
    <n v="144"/>
    <n v="66"/>
    <n v="78"/>
    <n v="0.54166666666666663"/>
  </r>
  <r>
    <s v="ORD-10399"/>
    <x v="297"/>
    <s v="CUST-0207"/>
    <s v="PROD-001"/>
    <x v="3"/>
    <s v="Online"/>
    <n v="1"/>
    <n v="0"/>
    <s v="No"/>
    <n v="5"/>
    <n v="5"/>
    <s v="Laptop"/>
    <s v="Technology"/>
    <n v="1100"/>
    <n v="720"/>
    <s v="Consumer"/>
    <n v="1100"/>
    <n v="720"/>
    <n v="380"/>
    <n v="0.34545454545454546"/>
  </r>
  <r>
    <s v="ORD-10400"/>
    <x v="298"/>
    <s v="CUST-0276"/>
    <s v="PROD-009"/>
    <x v="1"/>
    <s v="B2B Sales"/>
    <n v="3"/>
    <n v="0.1"/>
    <s v="No"/>
    <n v="5"/>
    <n v="4"/>
    <s v="Bookshelf"/>
    <s v="Furniture"/>
    <n v="185"/>
    <n v="105"/>
    <s v="Consumer"/>
    <n v="499.5"/>
    <n v="315"/>
    <n v="184.5"/>
    <n v="0.36936936936936937"/>
  </r>
  <r>
    <s v="ORD-10401"/>
    <x v="299"/>
    <s v="CUST-0015"/>
    <s v="PROD-016"/>
    <x v="2"/>
    <s v="Online"/>
    <n v="3"/>
    <n v="0.2"/>
    <s v="No"/>
    <n v="3"/>
    <n v="3"/>
    <s v="Desk Organiser"/>
    <s v="Office Supplies"/>
    <n v="28"/>
    <n v="12"/>
    <s v="Corporate"/>
    <n v="67.2"/>
    <n v="36"/>
    <n v="31.200000000000003"/>
    <n v="0.4642857142857143"/>
  </r>
  <r>
    <s v="ORD-10402"/>
    <x v="300"/>
    <s v="CUST-0181"/>
    <s v="PROD-001"/>
    <x v="1"/>
    <s v="Online"/>
    <n v="1"/>
    <n v="0"/>
    <s v="No"/>
    <n v="4"/>
    <n v="5"/>
    <s v="Laptop"/>
    <s v="Technology"/>
    <n v="1100"/>
    <n v="720"/>
    <s v="Corporate"/>
    <n v="1100"/>
    <n v="720"/>
    <n v="380"/>
    <n v="0.34545454545454546"/>
  </r>
  <r>
    <s v="ORD-10403"/>
    <x v="301"/>
    <s v="CUST-0244"/>
    <s v="PROD-011"/>
    <x v="3"/>
    <s v="B2B Sales"/>
    <n v="1"/>
    <n v="0.2"/>
    <s v="No"/>
    <n v="5"/>
    <n v="4"/>
    <s v="Backpack"/>
    <s v="Accessories"/>
    <n v="85"/>
    <n v="39"/>
    <s v="Small Business"/>
    <n v="68"/>
    <n v="39"/>
    <n v="29"/>
    <n v="0.4264705882352941"/>
  </r>
  <r>
    <s v="ORD-10404"/>
    <x v="302"/>
    <s v="CUST-0121"/>
    <s v="PROD-008"/>
    <x v="0"/>
    <s v="Online"/>
    <n v="1"/>
    <n v="0"/>
    <s v="No"/>
    <n v="3"/>
    <n v="1"/>
    <s v="Office Chair"/>
    <s v="Furniture"/>
    <n v="255"/>
    <n v="145"/>
    <s v="Corporate"/>
    <n v="255"/>
    <n v="145"/>
    <n v="110"/>
    <n v="0.43137254901960786"/>
  </r>
  <r>
    <s v="ORD-10405"/>
    <x v="208"/>
    <s v="CUST-0041"/>
    <s v="PROD-016"/>
    <x v="1"/>
    <s v="Retail Store"/>
    <n v="2"/>
    <n v="0"/>
    <s v="No"/>
    <n v="5"/>
    <n v="4"/>
    <s v="Desk Organiser"/>
    <s v="Office Supplies"/>
    <n v="28"/>
    <n v="12"/>
    <s v="Corporate"/>
    <n v="56"/>
    <n v="24"/>
    <n v="32"/>
    <n v="0.5714285714285714"/>
  </r>
  <r>
    <s v="ORD-10406"/>
    <x v="303"/>
    <s v="CUST-0141"/>
    <s v="PROD-016"/>
    <x v="2"/>
    <s v="Retail Store"/>
    <n v="2"/>
    <n v="0"/>
    <s v="No"/>
    <n v="3"/>
    <n v="5"/>
    <s v="Desk Organiser"/>
    <s v="Office Supplies"/>
    <n v="28"/>
    <n v="12"/>
    <s v="Consumer"/>
    <n v="56"/>
    <n v="24"/>
    <n v="32"/>
    <n v="0.5714285714285714"/>
  </r>
  <r>
    <s v="ORD-10407"/>
    <x v="94"/>
    <s v="CUST-0245"/>
    <s v="PROD-002"/>
    <x v="4"/>
    <s v="Online"/>
    <n v="3"/>
    <n v="0"/>
    <s v="Yes"/>
    <n v="5"/>
    <n v="7"/>
    <s v="Monitor"/>
    <s v="Technology"/>
    <n v="310"/>
    <n v="190"/>
    <s v="Consumer"/>
    <n v="930"/>
    <n v="570"/>
    <n v="360"/>
    <n v="0.38709677419354838"/>
  </r>
  <r>
    <s v="ORD-10408"/>
    <x v="57"/>
    <s v="CUST-0007"/>
    <s v="PROD-007"/>
    <x v="3"/>
    <s v="Online"/>
    <n v="2"/>
    <n v="0.15"/>
    <s v="No"/>
    <n v="4"/>
    <n v="3"/>
    <s v="Standing Desk"/>
    <s v="Furniture"/>
    <n v="540"/>
    <n v="320"/>
    <s v="Small Business"/>
    <n v="918"/>
    <n v="640"/>
    <n v="278"/>
    <n v="0.30283224400871461"/>
  </r>
  <r>
    <s v="ORD-10409"/>
    <x v="134"/>
    <s v="CUST-0176"/>
    <s v="PROD-012"/>
    <x v="2"/>
    <s v="Online"/>
    <n v="2"/>
    <n v="0.1"/>
    <s v="No"/>
    <n v="4"/>
    <n v="4"/>
    <s v="USB-C Hub"/>
    <s v="Accessories"/>
    <n v="68"/>
    <n v="31"/>
    <s v="Consumer"/>
    <n v="122.4"/>
    <n v="62"/>
    <n v="60.400000000000006"/>
    <n v="0.49346405228758172"/>
  </r>
  <r>
    <s v="ORD-10410"/>
    <x v="304"/>
    <s v="CUST-0293"/>
    <s v="PROD-005"/>
    <x v="0"/>
    <s v="Retail Store"/>
    <n v="4"/>
    <n v="0.1"/>
    <s v="No"/>
    <n v="4"/>
    <n v="4"/>
    <s v="Webcam"/>
    <s v="Technology"/>
    <n v="115"/>
    <n v="58"/>
    <s v="Corporate"/>
    <n v="414"/>
    <n v="232"/>
    <n v="182"/>
    <n v="0.43961352657004832"/>
  </r>
  <r>
    <s v="ORD-10411"/>
    <x v="305"/>
    <s v="CUST-0075"/>
    <s v="PROD-005"/>
    <x v="4"/>
    <s v="Online"/>
    <n v="2"/>
    <n v="0"/>
    <s v="No"/>
    <n v="5"/>
    <n v="5"/>
    <s v="Webcam"/>
    <s v="Technology"/>
    <n v="115"/>
    <n v="58"/>
    <s v="Corporate"/>
    <n v="230"/>
    <n v="116"/>
    <n v="114"/>
    <n v="0.4956521739130435"/>
  </r>
  <r>
    <s v="ORD-10412"/>
    <x v="293"/>
    <s v="CUST-0250"/>
    <s v="PROD-010"/>
    <x v="3"/>
    <s v="B2B Sales"/>
    <n v="1"/>
    <n v="0"/>
    <s v="No"/>
    <n v="3"/>
    <n v="3"/>
    <s v="Laptop Stand"/>
    <s v="Accessories"/>
    <n v="48"/>
    <n v="22"/>
    <s v="Consumer"/>
    <n v="48"/>
    <n v="22"/>
    <n v="26"/>
    <n v="0.54166666666666663"/>
  </r>
  <r>
    <s v="ORD-10413"/>
    <x v="140"/>
    <s v="CUST-0050"/>
    <s v="PROD-015"/>
    <x v="1"/>
    <s v="Online"/>
    <n v="2"/>
    <n v="0.05"/>
    <s v="No"/>
    <n v="4"/>
    <n v="4"/>
    <s v="File Folder Pack"/>
    <s v="Office Supplies"/>
    <n v="23"/>
    <n v="10"/>
    <s v="Consumer"/>
    <n v="43.699999999999996"/>
    <n v="20"/>
    <n v="23.699999999999996"/>
    <n v="0.54233409610983974"/>
  </r>
  <r>
    <s v="ORD-10414"/>
    <x v="103"/>
    <s v="CUST-0180"/>
    <s v="PROD-007"/>
    <x v="4"/>
    <s v="Retail Store"/>
    <n v="2"/>
    <n v="0.2"/>
    <s v="No"/>
    <n v="4"/>
    <n v="5"/>
    <s v="Standing Desk"/>
    <s v="Furniture"/>
    <n v="540"/>
    <n v="320"/>
    <s v="Consumer"/>
    <n v="864"/>
    <n v="640"/>
    <n v="224"/>
    <n v="0.25925925925925924"/>
  </r>
  <r>
    <s v="ORD-10415"/>
    <x v="306"/>
    <s v="CUST-0229"/>
    <s v="PROD-003"/>
    <x v="3"/>
    <s v="Online"/>
    <n v="3"/>
    <n v="0"/>
    <s v="No"/>
    <n v="5"/>
    <n v="3"/>
    <s v="Keyboard"/>
    <s v="Technology"/>
    <n v="75"/>
    <n v="38"/>
    <s v="Consumer"/>
    <n v="225"/>
    <n v="114"/>
    <n v="111"/>
    <n v="0.49333333333333335"/>
  </r>
  <r>
    <s v="ORD-10416"/>
    <x v="307"/>
    <s v="CUST-0293"/>
    <s v="PROD-013"/>
    <x v="0"/>
    <s v="Online"/>
    <n v="1"/>
    <n v="0"/>
    <s v="No"/>
    <n v="4"/>
    <n v="3"/>
    <s v="Phone Charger"/>
    <s v="Accessories"/>
    <n v="32"/>
    <n v="13"/>
    <s v="Corporate"/>
    <n v="32"/>
    <n v="13"/>
    <n v="19"/>
    <n v="0.59375"/>
  </r>
  <r>
    <s v="ORD-10417"/>
    <x v="308"/>
    <s v="CUST-0139"/>
    <s v="PROD-015"/>
    <x v="0"/>
    <s v="B2B Sales"/>
    <n v="4"/>
    <n v="0.05"/>
    <s v="No"/>
    <n v="3"/>
    <n v="1"/>
    <s v="File Folder Pack"/>
    <s v="Office Supplies"/>
    <n v="23"/>
    <n v="10"/>
    <s v="Corporate"/>
    <n v="87.399999999999991"/>
    <n v="40"/>
    <n v="47.399999999999991"/>
    <n v="0.54233409610983974"/>
  </r>
  <r>
    <s v="ORD-10418"/>
    <x v="120"/>
    <s v="CUST-0121"/>
    <s v="PROD-009"/>
    <x v="0"/>
    <s v="Retail Store"/>
    <n v="1"/>
    <n v="0"/>
    <s v="No"/>
    <n v="2"/>
    <n v="5"/>
    <s v="Bookshelf"/>
    <s v="Furniture"/>
    <n v="185"/>
    <n v="105"/>
    <s v="Corporate"/>
    <n v="185"/>
    <n v="105"/>
    <n v="80"/>
    <n v="0.43243243243243246"/>
  </r>
  <r>
    <s v="ORD-10419"/>
    <x v="25"/>
    <s v="CUST-0204"/>
    <s v="PROD-003"/>
    <x v="2"/>
    <s v="Retail Store"/>
    <n v="1"/>
    <n v="0.15"/>
    <s v="No"/>
    <n v="3"/>
    <n v="3"/>
    <s v="Keyboard"/>
    <s v="Technology"/>
    <n v="75"/>
    <n v="38"/>
    <s v="Consumer"/>
    <n v="63.75"/>
    <n v="38"/>
    <n v="25.75"/>
    <n v="0.40392156862745099"/>
  </r>
  <r>
    <s v="ORD-10420"/>
    <x v="203"/>
    <s v="CUST-0065"/>
    <s v="PROD-005"/>
    <x v="4"/>
    <s v="Online"/>
    <n v="1"/>
    <n v="0"/>
    <s v="Yes"/>
    <n v="5"/>
    <n v="7"/>
    <s v="Webcam"/>
    <s v="Technology"/>
    <n v="115"/>
    <n v="58"/>
    <s v="Small Business"/>
    <n v="115"/>
    <n v="58"/>
    <n v="57"/>
    <n v="0.4956521739130435"/>
  </r>
  <r>
    <s v="ORD-10421"/>
    <x v="309"/>
    <s v="CUST-0228"/>
    <s v="PROD-005"/>
    <x v="0"/>
    <s v="Retail Store"/>
    <n v="1"/>
    <n v="0.05"/>
    <s v="No"/>
    <n v="5"/>
    <n v="5"/>
    <s v="Webcam"/>
    <s v="Technology"/>
    <n v="115"/>
    <n v="58"/>
    <s v="Small Business"/>
    <n v="109.25"/>
    <n v="58"/>
    <n v="51.25"/>
    <n v="0.46910755148741418"/>
  </r>
  <r>
    <s v="ORD-10422"/>
    <x v="113"/>
    <s v="CUST-0269"/>
    <s v="PROD-010"/>
    <x v="0"/>
    <s v="Retail Store"/>
    <n v="1"/>
    <n v="0"/>
    <s v="No"/>
    <n v="4"/>
    <n v="2"/>
    <s v="Laptop Stand"/>
    <s v="Accessories"/>
    <n v="48"/>
    <n v="22"/>
    <s v="Corporate"/>
    <n v="48"/>
    <n v="22"/>
    <n v="26"/>
    <n v="0.54166666666666663"/>
  </r>
  <r>
    <s v="ORD-10423"/>
    <x v="310"/>
    <s v="CUST-0006"/>
    <s v="PROD-001"/>
    <x v="4"/>
    <s v="Retail Store"/>
    <n v="1"/>
    <n v="0"/>
    <s v="No"/>
    <n v="5"/>
    <n v="4"/>
    <s v="Laptop"/>
    <s v="Technology"/>
    <n v="1100"/>
    <n v="720"/>
    <s v="Corporate"/>
    <n v="1100"/>
    <n v="720"/>
    <n v="380"/>
    <n v="0.34545454545454546"/>
  </r>
  <r>
    <s v="ORD-10424"/>
    <x v="311"/>
    <s v="CUST-0154"/>
    <s v="PROD-001"/>
    <x v="1"/>
    <s v="Retail Store"/>
    <n v="3"/>
    <n v="0.1"/>
    <s v="No"/>
    <n v="3"/>
    <n v="5"/>
    <s v="Laptop"/>
    <s v="Technology"/>
    <n v="1100"/>
    <n v="720"/>
    <s v="Corporate"/>
    <n v="2970"/>
    <n v="2160"/>
    <n v="810"/>
    <n v="0.27272727272727271"/>
  </r>
  <r>
    <s v="ORD-10425"/>
    <x v="220"/>
    <s v="CUST-0203"/>
    <s v="PROD-008"/>
    <x v="2"/>
    <s v="Retail Store"/>
    <n v="2"/>
    <n v="0"/>
    <s v="No"/>
    <n v="4"/>
    <n v="2"/>
    <s v="Office Chair"/>
    <s v="Furniture"/>
    <n v="255"/>
    <n v="145"/>
    <s v="Small Business"/>
    <n v="510"/>
    <n v="290"/>
    <n v="220"/>
    <n v="0.43137254901960786"/>
  </r>
  <r>
    <s v="ORD-10426"/>
    <x v="312"/>
    <s v="CUST-0140"/>
    <s v="PROD-010"/>
    <x v="1"/>
    <s v="Retail Store"/>
    <n v="1"/>
    <n v="0"/>
    <s v="No"/>
    <n v="3"/>
    <n v="1"/>
    <s v="Laptop Stand"/>
    <s v="Accessories"/>
    <n v="48"/>
    <n v="22"/>
    <s v="Consumer"/>
    <n v="48"/>
    <n v="22"/>
    <n v="26"/>
    <n v="0.54166666666666663"/>
  </r>
  <r>
    <s v="ORD-10427"/>
    <x v="12"/>
    <s v="CUST-0232"/>
    <s v="PROD-009"/>
    <x v="1"/>
    <s v="Retail Store"/>
    <n v="2"/>
    <n v="0"/>
    <s v="Yes"/>
    <n v="1"/>
    <n v="4"/>
    <s v="Bookshelf"/>
    <s v="Furniture"/>
    <n v="185"/>
    <n v="105"/>
    <s v="Consumer"/>
    <n v="370"/>
    <n v="210"/>
    <n v="160"/>
    <n v="0.43243243243243246"/>
  </r>
  <r>
    <s v="ORD-10428"/>
    <x v="42"/>
    <s v="CUST-0065"/>
    <s v="PROD-015"/>
    <x v="1"/>
    <s v="Online"/>
    <n v="1"/>
    <n v="0.05"/>
    <s v="No"/>
    <n v="4"/>
    <n v="4"/>
    <s v="File Folder Pack"/>
    <s v="Office Supplies"/>
    <n v="23"/>
    <n v="10"/>
    <s v="Small Business"/>
    <n v="21.849999999999998"/>
    <n v="10"/>
    <n v="11.849999999999998"/>
    <n v="0.54233409610983974"/>
  </r>
  <r>
    <s v="ORD-10429"/>
    <x v="209"/>
    <s v="CUST-0238"/>
    <s v="PROD-002"/>
    <x v="3"/>
    <s v="B2B Sales"/>
    <n v="7"/>
    <n v="0"/>
    <s v="No"/>
    <n v="2"/>
    <n v="6"/>
    <s v="Monitor"/>
    <s v="Technology"/>
    <n v="310"/>
    <n v="190"/>
    <s v="Consumer"/>
    <n v="2170"/>
    <n v="1330"/>
    <n v="840"/>
    <n v="0.38709677419354838"/>
  </r>
  <r>
    <s v="ORD-10430"/>
    <x v="313"/>
    <s v="CUST-0129"/>
    <s v="PROD-013"/>
    <x v="0"/>
    <s v="Online"/>
    <n v="4"/>
    <n v="0"/>
    <s v="No"/>
    <n v="4"/>
    <n v="1"/>
    <s v="Phone Charger"/>
    <s v="Accessories"/>
    <n v="32"/>
    <n v="13"/>
    <s v="Small Business"/>
    <n v="128"/>
    <n v="52"/>
    <n v="76"/>
    <n v="0.59375"/>
  </r>
  <r>
    <s v="ORD-10431"/>
    <x v="56"/>
    <s v="CUST-0236"/>
    <s v="PROD-004"/>
    <x v="4"/>
    <s v="B2B Sales"/>
    <n v="2"/>
    <n v="0.1"/>
    <s v="No"/>
    <n v="4"/>
    <n v="1"/>
    <s v="Mouse"/>
    <s v="Technology"/>
    <n v="42"/>
    <n v="19"/>
    <s v="Consumer"/>
    <n v="75.600000000000009"/>
    <n v="38"/>
    <n v="37.600000000000009"/>
    <n v="0.49735449735449744"/>
  </r>
  <r>
    <s v="ORD-10432"/>
    <x v="279"/>
    <s v="CUST-0267"/>
    <s v="PROD-004"/>
    <x v="3"/>
    <s v="Retail Store"/>
    <n v="1"/>
    <n v="0.15"/>
    <s v="No"/>
    <n v="3"/>
    <n v="1"/>
    <s v="Mouse"/>
    <s v="Technology"/>
    <n v="42"/>
    <n v="19"/>
    <s v="Corporate"/>
    <n v="35.699999999999996"/>
    <n v="19"/>
    <n v="16.699999999999996"/>
    <n v="0.46778711484593832"/>
  </r>
  <r>
    <s v="ORD-10433"/>
    <x v="314"/>
    <s v="CUST-0223"/>
    <s v="PROD-011"/>
    <x v="2"/>
    <s v="Retail Store"/>
    <n v="3"/>
    <n v="0"/>
    <s v="No"/>
    <n v="5"/>
    <n v="5"/>
    <s v="Backpack"/>
    <s v="Accessories"/>
    <n v="85"/>
    <n v="39"/>
    <s v="Corporate"/>
    <n v="255"/>
    <n v="117"/>
    <n v="138"/>
    <n v="0.54117647058823526"/>
  </r>
  <r>
    <s v="ORD-10434"/>
    <x v="315"/>
    <s v="CUST-0080"/>
    <s v="PROD-012"/>
    <x v="0"/>
    <s v="Online"/>
    <n v="2"/>
    <n v="0.1"/>
    <s v="No"/>
    <n v="5"/>
    <n v="1"/>
    <s v="USB-C Hub"/>
    <s v="Accessories"/>
    <n v="68"/>
    <n v="31"/>
    <s v="Consumer"/>
    <n v="122.4"/>
    <n v="62"/>
    <n v="60.400000000000006"/>
    <n v="0.49346405228758172"/>
  </r>
  <r>
    <s v="ORD-10435"/>
    <x v="76"/>
    <s v="CUST-0183"/>
    <s v="PROD-005"/>
    <x v="1"/>
    <s v="Retail Store"/>
    <n v="1"/>
    <n v="0"/>
    <s v="Yes"/>
    <n v="5"/>
    <n v="7"/>
    <s v="Webcam"/>
    <s v="Technology"/>
    <n v="115"/>
    <n v="58"/>
    <s v="Small Business"/>
    <n v="115"/>
    <n v="58"/>
    <n v="57"/>
    <n v="0.4956521739130435"/>
  </r>
  <r>
    <s v="ORD-10436"/>
    <x v="316"/>
    <s v="CUST-0011"/>
    <s v="PROD-013"/>
    <x v="3"/>
    <s v="Online"/>
    <n v="6"/>
    <n v="0.05"/>
    <s v="No"/>
    <n v="4"/>
    <n v="4"/>
    <s v="Phone Charger"/>
    <s v="Accessories"/>
    <n v="32"/>
    <n v="13"/>
    <s v="Consumer"/>
    <n v="182.39999999999998"/>
    <n v="78"/>
    <n v="104.39999999999998"/>
    <n v="0.57236842105263153"/>
  </r>
  <r>
    <s v="ORD-10437"/>
    <x v="317"/>
    <s v="CUST-0291"/>
    <s v="PROD-006"/>
    <x v="4"/>
    <s v="Online"/>
    <n v="2"/>
    <n v="0.15"/>
    <s v="No"/>
    <n v="5"/>
    <n v="2"/>
    <s v="Headset"/>
    <s v="Technology"/>
    <n v="98"/>
    <n v="46"/>
    <s v="Consumer"/>
    <n v="166.6"/>
    <n v="92"/>
    <n v="74.599999999999994"/>
    <n v="0.44777911164465783"/>
  </r>
  <r>
    <s v="ORD-10438"/>
    <x v="202"/>
    <s v="CUST-0272"/>
    <s v="PROD-005"/>
    <x v="4"/>
    <s v="Retail Store"/>
    <n v="2"/>
    <n v="0"/>
    <s v="No"/>
    <n v="4"/>
    <n v="2"/>
    <s v="Webcam"/>
    <s v="Technology"/>
    <n v="115"/>
    <n v="58"/>
    <s v="Consumer"/>
    <n v="230"/>
    <n v="116"/>
    <n v="114"/>
    <n v="0.4956521739130435"/>
  </r>
  <r>
    <s v="ORD-10439"/>
    <x v="102"/>
    <s v="CUST-0187"/>
    <s v="PROD-008"/>
    <x v="3"/>
    <s v="Online"/>
    <n v="7"/>
    <n v="0.1"/>
    <s v="No"/>
    <n v="5"/>
    <n v="5"/>
    <s v="Office Chair"/>
    <s v="Furniture"/>
    <n v="255"/>
    <n v="145"/>
    <s v="Small Business"/>
    <n v="1606.5"/>
    <n v="1015"/>
    <n v="591.5"/>
    <n v="0.36819172113289761"/>
  </r>
  <r>
    <s v="ORD-10440"/>
    <x v="318"/>
    <s v="CUST-0145"/>
    <s v="PROD-011"/>
    <x v="3"/>
    <s v="Online"/>
    <n v="1"/>
    <n v="0.05"/>
    <s v="No"/>
    <n v="5"/>
    <n v="2"/>
    <s v="Backpack"/>
    <s v="Accessories"/>
    <n v="85"/>
    <n v="39"/>
    <s v="Consumer"/>
    <n v="80.75"/>
    <n v="39"/>
    <n v="41.75"/>
    <n v="0.51702786377708976"/>
  </r>
  <r>
    <s v="ORD-10441"/>
    <x v="319"/>
    <s v="CUST-0104"/>
    <s v="PROD-004"/>
    <x v="4"/>
    <s v="Online"/>
    <n v="3"/>
    <n v="0.15"/>
    <s v="No"/>
    <n v="4"/>
    <n v="5"/>
    <s v="Mouse"/>
    <s v="Technology"/>
    <n v="42"/>
    <n v="19"/>
    <s v="Corporate"/>
    <n v="107.1"/>
    <n v="57"/>
    <n v="50.099999999999994"/>
    <n v="0.46778711484593832"/>
  </r>
  <r>
    <s v="ORD-10442"/>
    <x v="24"/>
    <s v="CUST-0026"/>
    <s v="PROD-012"/>
    <x v="3"/>
    <s v="Retail Store"/>
    <n v="1"/>
    <n v="0.15"/>
    <s v="No"/>
    <n v="5"/>
    <n v="1"/>
    <s v="USB-C Hub"/>
    <s v="Accessories"/>
    <n v="68"/>
    <n v="31"/>
    <s v="Consumer"/>
    <n v="57.8"/>
    <n v="31"/>
    <n v="26.799999999999997"/>
    <n v="0.46366782006920415"/>
  </r>
  <r>
    <s v="ORD-10443"/>
    <x v="320"/>
    <s v="CUST-0032"/>
    <s v="PROD-012"/>
    <x v="4"/>
    <s v="B2B Sales"/>
    <n v="2"/>
    <n v="0"/>
    <s v="No"/>
    <n v="5"/>
    <n v="3"/>
    <s v="USB-C Hub"/>
    <s v="Accessories"/>
    <n v="68"/>
    <n v="31"/>
    <s v="Corporate"/>
    <n v="136"/>
    <n v="62"/>
    <n v="74"/>
    <n v="0.54411764705882348"/>
  </r>
  <r>
    <s v="ORD-10444"/>
    <x v="321"/>
    <s v="CUST-0021"/>
    <s v="PROD-003"/>
    <x v="0"/>
    <s v="Online"/>
    <n v="1"/>
    <n v="0.05"/>
    <s v="No"/>
    <n v="3"/>
    <n v="4"/>
    <s v="Keyboard"/>
    <s v="Technology"/>
    <n v="75"/>
    <n v="38"/>
    <s v="Small Business"/>
    <n v="71.25"/>
    <n v="38"/>
    <n v="33.25"/>
    <n v="0.46666666666666667"/>
  </r>
  <r>
    <s v="ORD-10445"/>
    <x v="317"/>
    <s v="CUST-0099"/>
    <s v="PROD-008"/>
    <x v="4"/>
    <s v="B2B Sales"/>
    <n v="3"/>
    <n v="0.05"/>
    <s v="No"/>
    <n v="5"/>
    <n v="5"/>
    <s v="Office Chair"/>
    <s v="Furniture"/>
    <n v="255"/>
    <n v="145"/>
    <s v="Small Business"/>
    <n v="726.75"/>
    <n v="435"/>
    <n v="291.75"/>
    <n v="0.40144478844169246"/>
  </r>
  <r>
    <s v="ORD-10446"/>
    <x v="1"/>
    <s v="CUST-0235"/>
    <s v="PROD-014"/>
    <x v="0"/>
    <s v="Online"/>
    <n v="1"/>
    <n v="0"/>
    <s v="No"/>
    <n v="3"/>
    <n v="5"/>
    <s v="Printer Paper"/>
    <s v="Office Supplies"/>
    <n v="17"/>
    <n v="8"/>
    <s v="Consumer"/>
    <n v="17"/>
    <n v="8"/>
    <n v="9"/>
    <n v="0.52941176470588236"/>
  </r>
  <r>
    <s v="ORD-10447"/>
    <x v="203"/>
    <s v="CUST-0181"/>
    <s v="PROD-011"/>
    <x v="4"/>
    <s v="B2B Sales"/>
    <n v="5"/>
    <n v="0"/>
    <s v="No"/>
    <n v="5"/>
    <n v="3"/>
    <s v="Backpack"/>
    <s v="Accessories"/>
    <n v="85"/>
    <n v="39"/>
    <s v="Corporate"/>
    <n v="425"/>
    <n v="195"/>
    <n v="230"/>
    <n v="0.54117647058823526"/>
  </r>
  <r>
    <s v="ORD-10448"/>
    <x v="322"/>
    <s v="CUST-0289"/>
    <s v="PROD-007"/>
    <x v="3"/>
    <s v="Retail Store"/>
    <n v="4"/>
    <n v="0"/>
    <s v="No"/>
    <n v="5"/>
    <n v="1"/>
    <s v="Standing Desk"/>
    <s v="Furniture"/>
    <n v="540"/>
    <n v="320"/>
    <s v="Consumer"/>
    <n v="2160"/>
    <n v="1280"/>
    <n v="880"/>
    <n v="0.40740740740740738"/>
  </r>
  <r>
    <s v="ORD-10449"/>
    <x v="323"/>
    <s v="CUST-0146"/>
    <s v="PROD-001"/>
    <x v="4"/>
    <s v="B2B Sales"/>
    <n v="1"/>
    <n v="0"/>
    <s v="No"/>
    <n v="5"/>
    <n v="1"/>
    <s v="Laptop"/>
    <s v="Technology"/>
    <n v="1100"/>
    <n v="720"/>
    <s v="Consumer"/>
    <n v="1100"/>
    <n v="720"/>
    <n v="380"/>
    <n v="0.34545454545454546"/>
  </r>
  <r>
    <s v="ORD-10450"/>
    <x v="30"/>
    <s v="CUST-0284"/>
    <s v="PROD-005"/>
    <x v="2"/>
    <s v="Online"/>
    <n v="1"/>
    <n v="0"/>
    <s v="No"/>
    <n v="3"/>
    <n v="3"/>
    <s v="Webcam"/>
    <s v="Technology"/>
    <n v="115"/>
    <n v="58"/>
    <s v="Consumer"/>
    <n v="115"/>
    <n v="58"/>
    <n v="57"/>
    <n v="0.4956521739130435"/>
  </r>
  <r>
    <s v="ORD-10451"/>
    <x v="184"/>
    <s v="CUST-0048"/>
    <s v="PROD-013"/>
    <x v="4"/>
    <s v="Online"/>
    <n v="1"/>
    <n v="0"/>
    <s v="No"/>
    <n v="4"/>
    <n v="5"/>
    <s v="Phone Charger"/>
    <s v="Accessories"/>
    <n v="32"/>
    <n v="13"/>
    <s v="Consumer"/>
    <n v="32"/>
    <n v="13"/>
    <n v="19"/>
    <n v="0.59375"/>
  </r>
  <r>
    <s v="ORD-10452"/>
    <x v="324"/>
    <s v="CUST-0154"/>
    <s v="PROD-002"/>
    <x v="1"/>
    <s v="Retail Store"/>
    <n v="1"/>
    <n v="0"/>
    <s v="No"/>
    <n v="4"/>
    <n v="4"/>
    <s v="Monitor"/>
    <s v="Technology"/>
    <n v="310"/>
    <n v="190"/>
    <s v="Corporate"/>
    <n v="310"/>
    <n v="190"/>
    <n v="120"/>
    <n v="0.38709677419354838"/>
  </r>
  <r>
    <s v="ORD-10453"/>
    <x v="325"/>
    <s v="CUST-0062"/>
    <s v="PROD-008"/>
    <x v="1"/>
    <s v="B2B Sales"/>
    <n v="6"/>
    <n v="0.05"/>
    <s v="No"/>
    <n v="2"/>
    <n v="6"/>
    <s v="Office Chair"/>
    <s v="Furniture"/>
    <n v="255"/>
    <n v="145"/>
    <s v="Corporate"/>
    <n v="1453.5"/>
    <n v="870"/>
    <n v="583.5"/>
    <n v="0.40144478844169246"/>
  </r>
  <r>
    <s v="ORD-10454"/>
    <x v="158"/>
    <s v="CUST-0277"/>
    <s v="PROD-005"/>
    <x v="3"/>
    <s v="Retail Store"/>
    <n v="1"/>
    <n v="0.1"/>
    <s v="Yes"/>
    <n v="5"/>
    <n v="6"/>
    <s v="Webcam"/>
    <s v="Technology"/>
    <n v="115"/>
    <n v="58"/>
    <s v="Consumer"/>
    <n v="103.5"/>
    <n v="58"/>
    <n v="45.5"/>
    <n v="0.43961352657004832"/>
  </r>
  <r>
    <s v="ORD-10455"/>
    <x v="326"/>
    <s v="CUST-0222"/>
    <s v="PROD-010"/>
    <x v="0"/>
    <s v="Online"/>
    <n v="2"/>
    <n v="0.05"/>
    <s v="No"/>
    <n v="4"/>
    <n v="3"/>
    <s v="Laptop Stand"/>
    <s v="Accessories"/>
    <n v="48"/>
    <n v="22"/>
    <s v="Corporate"/>
    <n v="91.199999999999989"/>
    <n v="44"/>
    <n v="47.199999999999989"/>
    <n v="0.51754385964912275"/>
  </r>
  <r>
    <s v="ORD-10456"/>
    <x v="327"/>
    <s v="CUST-0205"/>
    <s v="PROD-014"/>
    <x v="0"/>
    <s v="Online"/>
    <n v="1"/>
    <n v="0.05"/>
    <s v="No"/>
    <n v="5"/>
    <n v="2"/>
    <s v="Printer Paper"/>
    <s v="Office Supplies"/>
    <n v="17"/>
    <n v="8"/>
    <s v="Consumer"/>
    <n v="16.149999999999999"/>
    <n v="8"/>
    <n v="8.1499999999999986"/>
    <n v="0.50464396284829716"/>
  </r>
  <r>
    <s v="ORD-10457"/>
    <x v="267"/>
    <s v="CUST-0269"/>
    <s v="PROD-008"/>
    <x v="3"/>
    <s v="Online"/>
    <n v="2"/>
    <n v="0.1"/>
    <s v="No"/>
    <n v="3"/>
    <n v="4"/>
    <s v="Office Chair"/>
    <s v="Furniture"/>
    <n v="255"/>
    <n v="145"/>
    <s v="Corporate"/>
    <n v="459"/>
    <n v="290"/>
    <n v="169"/>
    <n v="0.36819172113289761"/>
  </r>
  <r>
    <s v="ORD-10458"/>
    <x v="94"/>
    <s v="CUST-0188"/>
    <s v="PROD-012"/>
    <x v="2"/>
    <s v="Online"/>
    <n v="3"/>
    <n v="0.1"/>
    <s v="No"/>
    <n v="4"/>
    <n v="4"/>
    <s v="USB-C Hub"/>
    <s v="Accessories"/>
    <n v="68"/>
    <n v="31"/>
    <s v="Consumer"/>
    <n v="183.6"/>
    <n v="93"/>
    <n v="90.6"/>
    <n v="0.49346405228758167"/>
  </r>
  <r>
    <s v="ORD-10459"/>
    <x v="54"/>
    <s v="CUST-0226"/>
    <s v="PROD-002"/>
    <x v="0"/>
    <s v="Online"/>
    <n v="3"/>
    <n v="0"/>
    <s v="No"/>
    <n v="2"/>
    <n v="3"/>
    <s v="Monitor"/>
    <s v="Technology"/>
    <n v="310"/>
    <n v="190"/>
    <s v="Corporate"/>
    <n v="930"/>
    <n v="570"/>
    <n v="360"/>
    <n v="0.38709677419354838"/>
  </r>
  <r>
    <s v="ORD-10460"/>
    <x v="215"/>
    <s v="CUST-0148"/>
    <s v="PROD-001"/>
    <x v="3"/>
    <s v="Retail Store"/>
    <n v="1"/>
    <n v="0.05"/>
    <s v="No"/>
    <n v="5"/>
    <n v="2"/>
    <s v="Laptop"/>
    <s v="Technology"/>
    <n v="1100"/>
    <n v="720"/>
    <s v="Corporate"/>
    <n v="1045"/>
    <n v="720"/>
    <n v="325"/>
    <n v="0.31100478468899523"/>
  </r>
  <r>
    <s v="ORD-10461"/>
    <x v="328"/>
    <s v="CUST-0280"/>
    <s v="PROD-009"/>
    <x v="4"/>
    <s v="Retail Store"/>
    <n v="8"/>
    <n v="0.1"/>
    <s v="No"/>
    <n v="4"/>
    <n v="5"/>
    <s v="Bookshelf"/>
    <s v="Furniture"/>
    <n v="185"/>
    <n v="105"/>
    <s v="Corporate"/>
    <n v="1332"/>
    <n v="840"/>
    <n v="492"/>
    <n v="0.36936936936936937"/>
  </r>
  <r>
    <s v="ORD-10462"/>
    <x v="329"/>
    <s v="CUST-0131"/>
    <s v="PROD-006"/>
    <x v="2"/>
    <s v="Online"/>
    <n v="3"/>
    <n v="0"/>
    <s v="No"/>
    <n v="5"/>
    <n v="1"/>
    <s v="Headset"/>
    <s v="Technology"/>
    <n v="98"/>
    <n v="46"/>
    <s v="Consumer"/>
    <n v="294"/>
    <n v="138"/>
    <n v="156"/>
    <n v="0.53061224489795922"/>
  </r>
  <r>
    <s v="ORD-10463"/>
    <x v="188"/>
    <s v="CUST-0139"/>
    <s v="PROD-012"/>
    <x v="0"/>
    <s v="Online"/>
    <n v="5"/>
    <n v="0.05"/>
    <s v="No"/>
    <n v="4"/>
    <n v="1"/>
    <s v="USB-C Hub"/>
    <s v="Accessories"/>
    <n v="68"/>
    <n v="31"/>
    <s v="Corporate"/>
    <n v="323"/>
    <n v="155"/>
    <n v="168"/>
    <n v="0.52012383900928794"/>
  </r>
  <r>
    <s v="ORD-10464"/>
    <x v="293"/>
    <s v="CUST-0249"/>
    <s v="PROD-003"/>
    <x v="2"/>
    <s v="Retail Store"/>
    <n v="2"/>
    <n v="0.15"/>
    <s v="No"/>
    <n v="3"/>
    <n v="5"/>
    <s v="Keyboard"/>
    <s v="Technology"/>
    <n v="75"/>
    <n v="38"/>
    <s v="Corporate"/>
    <n v="127.5"/>
    <n v="76"/>
    <n v="51.5"/>
    <n v="0.40392156862745099"/>
  </r>
  <r>
    <s v="ORD-10465"/>
    <x v="330"/>
    <s v="CUST-0171"/>
    <s v="PROD-016"/>
    <x v="3"/>
    <s v="Online"/>
    <n v="2"/>
    <n v="0"/>
    <s v="No"/>
    <n v="3"/>
    <n v="5"/>
    <s v="Desk Organiser"/>
    <s v="Office Supplies"/>
    <n v="28"/>
    <n v="12"/>
    <s v="Small Business"/>
    <n v="56"/>
    <n v="24"/>
    <n v="32"/>
    <n v="0.5714285714285714"/>
  </r>
  <r>
    <s v="ORD-10466"/>
    <x v="30"/>
    <s v="CUST-0032"/>
    <s v="PROD-009"/>
    <x v="0"/>
    <s v="B2B Sales"/>
    <n v="4"/>
    <n v="0"/>
    <s v="No"/>
    <n v="4"/>
    <n v="2"/>
    <s v="Bookshelf"/>
    <s v="Furniture"/>
    <n v="185"/>
    <n v="105"/>
    <s v="Corporate"/>
    <n v="740"/>
    <n v="420"/>
    <n v="320"/>
    <n v="0.43243243243243246"/>
  </r>
  <r>
    <s v="ORD-10467"/>
    <x v="331"/>
    <s v="CUST-0202"/>
    <s v="PROD-005"/>
    <x v="2"/>
    <s v="Online"/>
    <n v="7"/>
    <n v="0.05"/>
    <s v="No"/>
    <n v="3"/>
    <n v="2"/>
    <s v="Webcam"/>
    <s v="Technology"/>
    <n v="115"/>
    <n v="58"/>
    <s v="Small Business"/>
    <n v="764.75"/>
    <n v="406"/>
    <n v="358.75"/>
    <n v="0.46910755148741418"/>
  </r>
  <r>
    <s v="ORD-10468"/>
    <x v="146"/>
    <s v="CUST-0079"/>
    <s v="PROD-014"/>
    <x v="0"/>
    <s v="B2B Sales"/>
    <n v="2"/>
    <n v="0.05"/>
    <s v="No"/>
    <n v="3"/>
    <n v="5"/>
    <s v="Printer Paper"/>
    <s v="Office Supplies"/>
    <n v="17"/>
    <n v="8"/>
    <s v="Consumer"/>
    <n v="32.299999999999997"/>
    <n v="16"/>
    <n v="16.299999999999997"/>
    <n v="0.50464396284829716"/>
  </r>
  <r>
    <s v="ORD-10469"/>
    <x v="332"/>
    <s v="CUST-0071"/>
    <s v="PROD-010"/>
    <x v="1"/>
    <s v="B2B Sales"/>
    <n v="6"/>
    <n v="0"/>
    <s v="No"/>
    <n v="5"/>
    <n v="5"/>
    <s v="Laptop Stand"/>
    <s v="Accessories"/>
    <n v="48"/>
    <n v="22"/>
    <s v="Consumer"/>
    <n v="288"/>
    <n v="132"/>
    <n v="156"/>
    <n v="0.54166666666666663"/>
  </r>
  <r>
    <s v="ORD-10470"/>
    <x v="296"/>
    <s v="CUST-0163"/>
    <s v="PROD-003"/>
    <x v="4"/>
    <s v="B2B Sales"/>
    <n v="1"/>
    <n v="0"/>
    <s v="No"/>
    <n v="5"/>
    <n v="3"/>
    <s v="Keyboard"/>
    <s v="Technology"/>
    <n v="75"/>
    <n v="38"/>
    <s v="Consumer"/>
    <n v="75"/>
    <n v="38"/>
    <n v="37"/>
    <n v="0.49333333333333335"/>
  </r>
  <r>
    <s v="ORD-10471"/>
    <x v="164"/>
    <s v="CUST-0211"/>
    <s v="PROD-010"/>
    <x v="4"/>
    <s v="B2B Sales"/>
    <n v="6"/>
    <n v="0.15"/>
    <s v="No"/>
    <n v="5"/>
    <n v="1"/>
    <s v="Laptop Stand"/>
    <s v="Accessories"/>
    <n v="48"/>
    <n v="22"/>
    <s v="Consumer"/>
    <n v="244.79999999999998"/>
    <n v="132"/>
    <n v="112.79999999999998"/>
    <n v="0.46078431372549017"/>
  </r>
  <r>
    <s v="ORD-10472"/>
    <x v="333"/>
    <s v="CUST-0095"/>
    <s v="PROD-001"/>
    <x v="1"/>
    <s v="Retail Store"/>
    <n v="1"/>
    <n v="0.05"/>
    <s v="No"/>
    <n v="3"/>
    <n v="1"/>
    <s v="Laptop"/>
    <s v="Technology"/>
    <n v="1100"/>
    <n v="720"/>
    <s v="Consumer"/>
    <n v="1045"/>
    <n v="720"/>
    <n v="325"/>
    <n v="0.31100478468899523"/>
  </r>
  <r>
    <s v="ORD-10473"/>
    <x v="334"/>
    <s v="CUST-0041"/>
    <s v="PROD-016"/>
    <x v="2"/>
    <s v="B2B Sales"/>
    <n v="2"/>
    <n v="0.05"/>
    <s v="No"/>
    <n v="4"/>
    <n v="4"/>
    <s v="Desk Organiser"/>
    <s v="Office Supplies"/>
    <n v="28"/>
    <n v="12"/>
    <s v="Corporate"/>
    <n v="53.199999999999996"/>
    <n v="24"/>
    <n v="29.199999999999996"/>
    <n v="0.54887218045112773"/>
  </r>
  <r>
    <s v="ORD-10474"/>
    <x v="101"/>
    <s v="CUST-0084"/>
    <s v="PROD-007"/>
    <x v="3"/>
    <s v="Online"/>
    <n v="7"/>
    <n v="0.15"/>
    <s v="Yes"/>
    <n v="3"/>
    <n v="4"/>
    <s v="Standing Desk"/>
    <s v="Furniture"/>
    <n v="540"/>
    <n v="320"/>
    <s v="Small Business"/>
    <n v="3213"/>
    <n v="2240"/>
    <n v="973"/>
    <n v="0.30283224400871461"/>
  </r>
  <r>
    <s v="ORD-10475"/>
    <x v="91"/>
    <s v="CUST-0091"/>
    <s v="PROD-015"/>
    <x v="0"/>
    <s v="Retail Store"/>
    <n v="2"/>
    <n v="0"/>
    <s v="No"/>
    <n v="4"/>
    <n v="1"/>
    <s v="File Folder Pack"/>
    <s v="Office Supplies"/>
    <n v="23"/>
    <n v="10"/>
    <s v="Consumer"/>
    <n v="46"/>
    <n v="20"/>
    <n v="26"/>
    <n v="0.56521739130434778"/>
  </r>
  <r>
    <s v="ORD-10476"/>
    <x v="52"/>
    <s v="CUST-0161"/>
    <s v="PROD-013"/>
    <x v="1"/>
    <s v="Retail Store"/>
    <n v="3"/>
    <n v="0.05"/>
    <s v="No"/>
    <n v="5"/>
    <n v="5"/>
    <s v="Phone Charger"/>
    <s v="Accessories"/>
    <n v="32"/>
    <n v="13"/>
    <s v="Consumer"/>
    <n v="91.199999999999989"/>
    <n v="39"/>
    <n v="52.199999999999989"/>
    <n v="0.57236842105263153"/>
  </r>
  <r>
    <s v="ORD-10477"/>
    <x v="181"/>
    <s v="CUST-0232"/>
    <s v="PROD-015"/>
    <x v="0"/>
    <s v="Online"/>
    <n v="8"/>
    <n v="0.05"/>
    <s v="No"/>
    <n v="5"/>
    <n v="5"/>
    <s v="File Folder Pack"/>
    <s v="Office Supplies"/>
    <n v="23"/>
    <n v="10"/>
    <s v="Consumer"/>
    <n v="174.79999999999998"/>
    <n v="80"/>
    <n v="94.799999999999983"/>
    <n v="0.54233409610983974"/>
  </r>
  <r>
    <s v="ORD-10478"/>
    <x v="106"/>
    <s v="CUST-0265"/>
    <s v="PROD-002"/>
    <x v="2"/>
    <s v="Online"/>
    <n v="5"/>
    <n v="0.1"/>
    <s v="No"/>
    <n v="3"/>
    <n v="3"/>
    <s v="Monitor"/>
    <s v="Technology"/>
    <n v="310"/>
    <n v="190"/>
    <s v="Small Business"/>
    <n v="1395"/>
    <n v="950"/>
    <n v="445"/>
    <n v="0.31899641577060933"/>
  </r>
  <r>
    <s v="ORD-10479"/>
    <x v="335"/>
    <s v="CUST-0265"/>
    <s v="PROD-005"/>
    <x v="4"/>
    <s v="Retail Store"/>
    <n v="1"/>
    <n v="0.05"/>
    <s v="No"/>
    <n v="4"/>
    <n v="5"/>
    <s v="Webcam"/>
    <s v="Technology"/>
    <n v="115"/>
    <n v="58"/>
    <s v="Small Business"/>
    <n v="109.25"/>
    <n v="58"/>
    <n v="51.25"/>
    <n v="0.46910755148741418"/>
  </r>
  <r>
    <s v="ORD-10480"/>
    <x v="108"/>
    <s v="CUST-0202"/>
    <s v="PROD-014"/>
    <x v="3"/>
    <s v="Online"/>
    <n v="2"/>
    <n v="0.15"/>
    <s v="No"/>
    <n v="5"/>
    <n v="1"/>
    <s v="Printer Paper"/>
    <s v="Office Supplies"/>
    <n v="17"/>
    <n v="8"/>
    <s v="Small Business"/>
    <n v="28.9"/>
    <n v="16"/>
    <n v="12.899999999999999"/>
    <n v="0.44636678200692037"/>
  </r>
  <r>
    <s v="ORD-10481"/>
    <x v="266"/>
    <s v="CUST-0166"/>
    <s v="PROD-006"/>
    <x v="1"/>
    <s v="Online"/>
    <n v="1"/>
    <n v="0"/>
    <s v="No"/>
    <n v="4"/>
    <n v="4"/>
    <s v="Headset"/>
    <s v="Technology"/>
    <n v="98"/>
    <n v="46"/>
    <s v="Consumer"/>
    <n v="98"/>
    <n v="46"/>
    <n v="52"/>
    <n v="0.53061224489795922"/>
  </r>
  <r>
    <s v="ORD-10482"/>
    <x v="336"/>
    <s v="CUST-0082"/>
    <s v="PROD-013"/>
    <x v="4"/>
    <s v="Online"/>
    <n v="1"/>
    <n v="0"/>
    <s v="No"/>
    <n v="5"/>
    <n v="2"/>
    <s v="Phone Charger"/>
    <s v="Accessories"/>
    <n v="32"/>
    <n v="13"/>
    <s v="Consumer"/>
    <n v="32"/>
    <n v="13"/>
    <n v="19"/>
    <n v="0.59375"/>
  </r>
  <r>
    <s v="ORD-10483"/>
    <x v="337"/>
    <s v="CUST-0092"/>
    <s v="PROD-002"/>
    <x v="3"/>
    <s v="Online"/>
    <n v="4"/>
    <n v="0"/>
    <s v="No"/>
    <n v="3"/>
    <n v="2"/>
    <s v="Monitor"/>
    <s v="Technology"/>
    <n v="310"/>
    <n v="190"/>
    <s v="Corporate"/>
    <n v="1240"/>
    <n v="760"/>
    <n v="480"/>
    <n v="0.38709677419354838"/>
  </r>
  <r>
    <s v="ORD-10484"/>
    <x v="332"/>
    <s v="CUST-0002"/>
    <s v="PROD-009"/>
    <x v="2"/>
    <s v="Retail Store"/>
    <n v="2"/>
    <n v="0.1"/>
    <s v="No"/>
    <n v="4"/>
    <n v="2"/>
    <s v="Bookshelf"/>
    <s v="Furniture"/>
    <n v="185"/>
    <n v="105"/>
    <s v="Consumer"/>
    <n v="333"/>
    <n v="210"/>
    <n v="123"/>
    <n v="0.36936936936936937"/>
  </r>
  <r>
    <s v="ORD-10485"/>
    <x v="269"/>
    <s v="CUST-0244"/>
    <s v="PROD-015"/>
    <x v="3"/>
    <s v="Online"/>
    <n v="3"/>
    <n v="0"/>
    <s v="No"/>
    <n v="5"/>
    <n v="5"/>
    <s v="File Folder Pack"/>
    <s v="Office Supplies"/>
    <n v="23"/>
    <n v="10"/>
    <s v="Small Business"/>
    <n v="69"/>
    <n v="30"/>
    <n v="39"/>
    <n v="0.56521739130434778"/>
  </r>
  <r>
    <s v="ORD-10486"/>
    <x v="338"/>
    <s v="CUST-0026"/>
    <s v="PROD-006"/>
    <x v="2"/>
    <s v="Retail Store"/>
    <n v="1"/>
    <n v="0.15"/>
    <s v="No"/>
    <n v="5"/>
    <n v="3"/>
    <s v="Headset"/>
    <s v="Technology"/>
    <n v="98"/>
    <n v="46"/>
    <s v="Consumer"/>
    <n v="83.3"/>
    <n v="46"/>
    <n v="37.299999999999997"/>
    <n v="0.44777911164465783"/>
  </r>
  <r>
    <s v="ORD-10487"/>
    <x v="5"/>
    <s v="CUST-0045"/>
    <s v="PROD-002"/>
    <x v="2"/>
    <s v="B2B Sales"/>
    <n v="1"/>
    <n v="0"/>
    <s v="No"/>
    <n v="5"/>
    <n v="5"/>
    <s v="Monitor"/>
    <s v="Technology"/>
    <n v="310"/>
    <n v="190"/>
    <s v="Consumer"/>
    <n v="310"/>
    <n v="190"/>
    <n v="120"/>
    <n v="0.38709677419354838"/>
  </r>
  <r>
    <s v="ORD-10488"/>
    <x v="192"/>
    <s v="CUST-0091"/>
    <s v="PROD-015"/>
    <x v="1"/>
    <s v="Online"/>
    <n v="1"/>
    <n v="0.1"/>
    <s v="No"/>
    <n v="5"/>
    <n v="1"/>
    <s v="File Folder Pack"/>
    <s v="Office Supplies"/>
    <n v="23"/>
    <n v="10"/>
    <s v="Consumer"/>
    <n v="20.7"/>
    <n v="10"/>
    <n v="10.7"/>
    <n v="0.51690821256038644"/>
  </r>
  <r>
    <s v="ORD-10489"/>
    <x v="339"/>
    <s v="CUST-0282"/>
    <s v="PROD-003"/>
    <x v="3"/>
    <s v="Online"/>
    <n v="3"/>
    <n v="0"/>
    <s v="No"/>
    <n v="4"/>
    <n v="2"/>
    <s v="Keyboard"/>
    <s v="Technology"/>
    <n v="75"/>
    <n v="38"/>
    <s v="Consumer"/>
    <n v="225"/>
    <n v="114"/>
    <n v="111"/>
    <n v="0.49333333333333335"/>
  </r>
  <r>
    <s v="ORD-10490"/>
    <x v="160"/>
    <s v="CUST-0056"/>
    <s v="PROD-003"/>
    <x v="4"/>
    <s v="Retail Store"/>
    <n v="6"/>
    <n v="0.2"/>
    <s v="No"/>
    <n v="4"/>
    <n v="3"/>
    <s v="Keyboard"/>
    <s v="Technology"/>
    <n v="75"/>
    <n v="38"/>
    <s v="Corporate"/>
    <n v="360"/>
    <n v="228"/>
    <n v="132"/>
    <n v="0.36666666666666664"/>
  </r>
  <r>
    <s v="ORD-10491"/>
    <x v="340"/>
    <s v="CUST-0270"/>
    <s v="PROD-012"/>
    <x v="0"/>
    <s v="Retail Store"/>
    <n v="2"/>
    <n v="0.1"/>
    <s v="No"/>
    <n v="5"/>
    <n v="5"/>
    <s v="USB-C Hub"/>
    <s v="Accessories"/>
    <n v="68"/>
    <n v="31"/>
    <s v="Consumer"/>
    <n v="122.4"/>
    <n v="62"/>
    <n v="60.400000000000006"/>
    <n v="0.49346405228758172"/>
  </r>
  <r>
    <s v="ORD-10492"/>
    <x v="69"/>
    <s v="CUST-0149"/>
    <s v="PROD-007"/>
    <x v="2"/>
    <s v="Online"/>
    <n v="3"/>
    <n v="0"/>
    <s v="No"/>
    <n v="5"/>
    <n v="4"/>
    <s v="Standing Desk"/>
    <s v="Furniture"/>
    <n v="540"/>
    <n v="320"/>
    <s v="Consumer"/>
    <n v="1620"/>
    <n v="960"/>
    <n v="660"/>
    <n v="0.40740740740740738"/>
  </r>
  <r>
    <s v="ORD-10493"/>
    <x v="164"/>
    <s v="CUST-0024"/>
    <s v="PROD-011"/>
    <x v="3"/>
    <s v="Retail Store"/>
    <n v="1"/>
    <n v="0.05"/>
    <s v="No"/>
    <n v="4"/>
    <n v="1"/>
    <s v="Backpack"/>
    <s v="Accessories"/>
    <n v="85"/>
    <n v="39"/>
    <s v="Consumer"/>
    <n v="80.75"/>
    <n v="39"/>
    <n v="41.75"/>
    <n v="0.51702786377708976"/>
  </r>
  <r>
    <s v="ORD-10494"/>
    <x v="341"/>
    <s v="CUST-0154"/>
    <s v="PROD-011"/>
    <x v="1"/>
    <s v="Online"/>
    <n v="2"/>
    <n v="0"/>
    <s v="No"/>
    <n v="5"/>
    <n v="2"/>
    <s v="Backpack"/>
    <s v="Accessories"/>
    <n v="85"/>
    <n v="39"/>
    <s v="Corporate"/>
    <n v="170"/>
    <n v="78"/>
    <n v="92"/>
    <n v="0.54117647058823526"/>
  </r>
  <r>
    <s v="ORD-10495"/>
    <x v="342"/>
    <s v="CUST-0170"/>
    <s v="PROD-011"/>
    <x v="0"/>
    <s v="Online"/>
    <n v="2"/>
    <n v="0"/>
    <s v="No"/>
    <n v="3"/>
    <n v="4"/>
    <s v="Backpack"/>
    <s v="Accessories"/>
    <n v="85"/>
    <n v="39"/>
    <s v="Consumer"/>
    <n v="170"/>
    <n v="78"/>
    <n v="92"/>
    <n v="0.54117647058823526"/>
  </r>
  <r>
    <s v="ORD-10496"/>
    <x v="207"/>
    <s v="CUST-0172"/>
    <s v="PROD-015"/>
    <x v="0"/>
    <s v="Online"/>
    <n v="4"/>
    <n v="0.15"/>
    <s v="No"/>
    <n v="5"/>
    <n v="3"/>
    <s v="File Folder Pack"/>
    <s v="Office Supplies"/>
    <n v="23"/>
    <n v="10"/>
    <s v="Corporate"/>
    <n v="78.2"/>
    <n v="40"/>
    <n v="38.200000000000003"/>
    <n v="0.48849104859335041"/>
  </r>
  <r>
    <s v="ORD-10497"/>
    <x v="277"/>
    <s v="CUST-0275"/>
    <s v="PROD-001"/>
    <x v="2"/>
    <s v="Retail Store"/>
    <n v="4"/>
    <n v="0.15"/>
    <s v="No"/>
    <n v="5"/>
    <n v="3"/>
    <s v="Laptop"/>
    <s v="Technology"/>
    <n v="1100"/>
    <n v="720"/>
    <s v="Consumer"/>
    <n v="3740"/>
    <n v="2880"/>
    <n v="860"/>
    <n v="0.22994652406417113"/>
  </r>
  <r>
    <s v="ORD-10498"/>
    <x v="23"/>
    <s v="CUST-0174"/>
    <s v="PROD-013"/>
    <x v="1"/>
    <s v="B2B Sales"/>
    <n v="3"/>
    <n v="0"/>
    <s v="No"/>
    <n v="5"/>
    <n v="3"/>
    <s v="Phone Charger"/>
    <s v="Accessories"/>
    <n v="32"/>
    <n v="13"/>
    <s v="Corporate"/>
    <n v="96"/>
    <n v="39"/>
    <n v="57"/>
    <n v="0.59375"/>
  </r>
  <r>
    <s v="ORD-10499"/>
    <x v="343"/>
    <s v="CUST-0017"/>
    <s v="PROD-009"/>
    <x v="3"/>
    <s v="Retail Store"/>
    <n v="1"/>
    <n v="0"/>
    <s v="Yes"/>
    <n v="3"/>
    <n v="5"/>
    <s v="Bookshelf"/>
    <s v="Furniture"/>
    <n v="185"/>
    <n v="105"/>
    <s v="Consumer"/>
    <n v="185"/>
    <n v="105"/>
    <n v="80"/>
    <n v="0.43243243243243246"/>
  </r>
  <r>
    <s v="ORD-10500"/>
    <x v="344"/>
    <s v="CUST-0192"/>
    <s v="PROD-002"/>
    <x v="0"/>
    <s v="B2B Sales"/>
    <n v="2"/>
    <n v="0"/>
    <s v="No"/>
    <n v="4"/>
    <n v="2"/>
    <s v="Monitor"/>
    <s v="Technology"/>
    <n v="310"/>
    <n v="190"/>
    <s v="Consumer"/>
    <n v="620"/>
    <n v="380"/>
    <n v="240"/>
    <n v="0.38709677419354838"/>
  </r>
  <r>
    <s v="ORD-10501"/>
    <x v="345"/>
    <s v="CUST-0248"/>
    <s v="PROD-010"/>
    <x v="0"/>
    <s v="Online"/>
    <n v="5"/>
    <n v="0.1"/>
    <s v="Yes"/>
    <n v="5"/>
    <n v="4"/>
    <s v="Laptop Stand"/>
    <s v="Accessories"/>
    <n v="48"/>
    <n v="22"/>
    <s v="Consumer"/>
    <n v="216"/>
    <n v="110"/>
    <n v="106"/>
    <n v="0.49074074074074076"/>
  </r>
  <r>
    <s v="ORD-10502"/>
    <x v="50"/>
    <s v="CUST-0236"/>
    <s v="PROD-013"/>
    <x v="1"/>
    <s v="Retail Store"/>
    <n v="1"/>
    <n v="0.15"/>
    <s v="No"/>
    <n v="4"/>
    <n v="1"/>
    <s v="Phone Charger"/>
    <s v="Accessories"/>
    <n v="32"/>
    <n v="13"/>
    <s v="Consumer"/>
    <n v="27.2"/>
    <n v="13"/>
    <n v="14.2"/>
    <n v="0.5220588235294118"/>
  </r>
  <r>
    <s v="ORD-10503"/>
    <x v="346"/>
    <s v="CUST-0240"/>
    <s v="PROD-002"/>
    <x v="2"/>
    <s v="Retail Store"/>
    <n v="4"/>
    <n v="0"/>
    <s v="No"/>
    <n v="5"/>
    <n v="2"/>
    <s v="Monitor"/>
    <s v="Technology"/>
    <n v="310"/>
    <n v="190"/>
    <s v="Corporate"/>
    <n v="1240"/>
    <n v="760"/>
    <n v="480"/>
    <n v="0.38709677419354838"/>
  </r>
  <r>
    <s v="ORD-10504"/>
    <x v="347"/>
    <s v="CUST-0103"/>
    <s v="PROD-007"/>
    <x v="3"/>
    <s v="Retail Store"/>
    <n v="4"/>
    <n v="0.1"/>
    <s v="No"/>
    <n v="3"/>
    <n v="1"/>
    <s v="Standing Desk"/>
    <s v="Furniture"/>
    <n v="540"/>
    <n v="320"/>
    <s v="Corporate"/>
    <n v="1944"/>
    <n v="1280"/>
    <n v="664"/>
    <n v="0.34156378600823045"/>
  </r>
  <r>
    <s v="ORD-10505"/>
    <x v="348"/>
    <s v="CUST-0287"/>
    <s v="PROD-004"/>
    <x v="2"/>
    <s v="Online"/>
    <n v="1"/>
    <n v="0"/>
    <s v="No"/>
    <n v="4"/>
    <n v="2"/>
    <s v="Mouse"/>
    <s v="Technology"/>
    <n v="42"/>
    <n v="19"/>
    <s v="Small Business"/>
    <n v="42"/>
    <n v="19"/>
    <n v="23"/>
    <n v="0.54761904761904767"/>
  </r>
  <r>
    <s v="ORD-10506"/>
    <x v="349"/>
    <s v="CUST-0037"/>
    <s v="PROD-010"/>
    <x v="1"/>
    <s v="Online"/>
    <n v="2"/>
    <n v="0"/>
    <s v="No"/>
    <n v="5"/>
    <n v="1"/>
    <s v="Laptop Stand"/>
    <s v="Accessories"/>
    <n v="48"/>
    <n v="22"/>
    <s v="Small Business"/>
    <n v="96"/>
    <n v="44"/>
    <n v="52"/>
    <n v="0.54166666666666663"/>
  </r>
  <r>
    <s v="ORD-10507"/>
    <x v="244"/>
    <s v="CUST-0028"/>
    <s v="PROD-003"/>
    <x v="4"/>
    <s v="Online"/>
    <n v="3"/>
    <n v="0.05"/>
    <s v="No"/>
    <n v="5"/>
    <n v="5"/>
    <s v="Keyboard"/>
    <s v="Technology"/>
    <n v="75"/>
    <n v="38"/>
    <s v="Consumer"/>
    <n v="213.75"/>
    <n v="114"/>
    <n v="99.75"/>
    <n v="0.46666666666666667"/>
  </r>
  <r>
    <s v="ORD-10508"/>
    <x v="350"/>
    <s v="CUST-0160"/>
    <s v="PROD-011"/>
    <x v="0"/>
    <s v="Retail Store"/>
    <n v="3"/>
    <n v="0.05"/>
    <s v="Yes"/>
    <n v="5"/>
    <n v="6"/>
    <s v="Backpack"/>
    <s v="Accessories"/>
    <n v="85"/>
    <n v="39"/>
    <s v="Consumer"/>
    <n v="242.25"/>
    <n v="117"/>
    <n v="125.25"/>
    <n v="0.51702786377708976"/>
  </r>
  <r>
    <s v="ORD-10509"/>
    <x v="170"/>
    <s v="CUST-0240"/>
    <s v="PROD-004"/>
    <x v="4"/>
    <s v="Retail Store"/>
    <n v="4"/>
    <n v="0.05"/>
    <s v="No"/>
    <n v="3"/>
    <n v="5"/>
    <s v="Mouse"/>
    <s v="Technology"/>
    <n v="42"/>
    <n v="19"/>
    <s v="Corporate"/>
    <n v="159.6"/>
    <n v="76"/>
    <n v="83.6"/>
    <n v="0.52380952380952384"/>
  </r>
  <r>
    <s v="ORD-10510"/>
    <x v="351"/>
    <s v="CUST-0187"/>
    <s v="PROD-013"/>
    <x v="2"/>
    <s v="B2B Sales"/>
    <n v="2"/>
    <n v="0.15"/>
    <s v="No"/>
    <n v="4"/>
    <n v="1"/>
    <s v="Phone Charger"/>
    <s v="Accessories"/>
    <n v="32"/>
    <n v="13"/>
    <s v="Small Business"/>
    <n v="54.4"/>
    <n v="26"/>
    <n v="28.4"/>
    <n v="0.5220588235294118"/>
  </r>
  <r>
    <s v="ORD-10511"/>
    <x v="315"/>
    <s v="CUST-0058"/>
    <s v="PROD-012"/>
    <x v="4"/>
    <s v="B2B Sales"/>
    <n v="1"/>
    <n v="0"/>
    <s v="No"/>
    <n v="4"/>
    <n v="4"/>
    <s v="USB-C Hub"/>
    <s v="Accessories"/>
    <n v="68"/>
    <n v="31"/>
    <s v="Corporate"/>
    <n v="68"/>
    <n v="31"/>
    <n v="37"/>
    <n v="0.54411764705882348"/>
  </r>
  <r>
    <s v="ORD-10512"/>
    <x v="352"/>
    <s v="CUST-0167"/>
    <s v="PROD-003"/>
    <x v="0"/>
    <s v="Retail Store"/>
    <n v="2"/>
    <n v="0"/>
    <s v="No"/>
    <n v="4"/>
    <n v="4"/>
    <s v="Keyboard"/>
    <s v="Technology"/>
    <n v="75"/>
    <n v="38"/>
    <s v="Consumer"/>
    <n v="150"/>
    <n v="76"/>
    <n v="74"/>
    <n v="0.49333333333333335"/>
  </r>
  <r>
    <s v="ORD-10513"/>
    <x v="353"/>
    <s v="CUST-0034"/>
    <s v="PROD-011"/>
    <x v="2"/>
    <s v="Retail Store"/>
    <n v="2"/>
    <n v="0.2"/>
    <s v="No"/>
    <n v="4"/>
    <n v="2"/>
    <s v="Backpack"/>
    <s v="Accessories"/>
    <n v="85"/>
    <n v="39"/>
    <s v="Small Business"/>
    <n v="136"/>
    <n v="78"/>
    <n v="58"/>
    <n v="0.4264705882352941"/>
  </r>
  <r>
    <s v="ORD-10514"/>
    <x v="354"/>
    <s v="CUST-0040"/>
    <s v="PROD-016"/>
    <x v="2"/>
    <s v="Retail Store"/>
    <n v="2"/>
    <n v="0"/>
    <s v="No"/>
    <n v="4"/>
    <n v="4"/>
    <s v="Desk Organiser"/>
    <s v="Office Supplies"/>
    <n v="28"/>
    <n v="12"/>
    <s v="Corporate"/>
    <n v="56"/>
    <n v="24"/>
    <n v="32"/>
    <n v="0.5714285714285714"/>
  </r>
  <r>
    <s v="ORD-10515"/>
    <x v="355"/>
    <s v="CUST-0056"/>
    <s v="PROD-013"/>
    <x v="3"/>
    <s v="Retail Store"/>
    <n v="1"/>
    <n v="0"/>
    <s v="No"/>
    <n v="4"/>
    <n v="1"/>
    <s v="Phone Charger"/>
    <s v="Accessories"/>
    <n v="32"/>
    <n v="13"/>
    <s v="Corporate"/>
    <n v="32"/>
    <n v="13"/>
    <n v="19"/>
    <n v="0.59375"/>
  </r>
  <r>
    <s v="ORD-10516"/>
    <x v="228"/>
    <s v="CUST-0077"/>
    <s v="PROD-015"/>
    <x v="4"/>
    <s v="Online"/>
    <n v="3"/>
    <n v="0"/>
    <s v="No"/>
    <n v="4"/>
    <n v="5"/>
    <s v="File Folder Pack"/>
    <s v="Office Supplies"/>
    <n v="23"/>
    <n v="10"/>
    <s v="Small Business"/>
    <n v="69"/>
    <n v="30"/>
    <n v="39"/>
    <n v="0.56521739130434778"/>
  </r>
  <r>
    <s v="ORD-10517"/>
    <x v="356"/>
    <s v="CUST-0223"/>
    <s v="PROD-012"/>
    <x v="0"/>
    <s v="Retail Store"/>
    <n v="3"/>
    <n v="0.05"/>
    <s v="No"/>
    <n v="5"/>
    <n v="1"/>
    <s v="USB-C Hub"/>
    <s v="Accessories"/>
    <n v="68"/>
    <n v="31"/>
    <s v="Corporate"/>
    <n v="193.79999999999998"/>
    <n v="93"/>
    <n v="100.79999999999998"/>
    <n v="0.52012383900928794"/>
  </r>
  <r>
    <s v="ORD-10518"/>
    <x v="78"/>
    <s v="CUST-0282"/>
    <s v="PROD-002"/>
    <x v="2"/>
    <s v="Retail Store"/>
    <n v="8"/>
    <n v="0"/>
    <s v="No"/>
    <n v="1"/>
    <n v="8"/>
    <s v="Monitor"/>
    <s v="Technology"/>
    <n v="310"/>
    <n v="190"/>
    <s v="Consumer"/>
    <n v="2480"/>
    <n v="1520"/>
    <n v="960"/>
    <n v="0.38709677419354838"/>
  </r>
  <r>
    <s v="ORD-10519"/>
    <x v="357"/>
    <s v="CUST-0196"/>
    <s v="PROD-013"/>
    <x v="3"/>
    <s v="Retail Store"/>
    <n v="3"/>
    <n v="0.05"/>
    <s v="No"/>
    <n v="4"/>
    <n v="3"/>
    <s v="Phone Charger"/>
    <s v="Accessories"/>
    <n v="32"/>
    <n v="13"/>
    <s v="Small Business"/>
    <n v="91.199999999999989"/>
    <n v="39"/>
    <n v="52.199999999999989"/>
    <n v="0.57236842105263153"/>
  </r>
  <r>
    <s v="ORD-10520"/>
    <x v="358"/>
    <s v="CUST-0079"/>
    <s v="PROD-010"/>
    <x v="0"/>
    <s v="Retail Store"/>
    <n v="1"/>
    <n v="0"/>
    <s v="No"/>
    <n v="5"/>
    <n v="4"/>
    <s v="Laptop Stand"/>
    <s v="Accessories"/>
    <n v="48"/>
    <n v="22"/>
    <s v="Consumer"/>
    <n v="48"/>
    <n v="22"/>
    <n v="26"/>
    <n v="0.54166666666666663"/>
  </r>
  <r>
    <s v="ORD-10521"/>
    <x v="220"/>
    <s v="CUST-0070"/>
    <s v="PROD-003"/>
    <x v="2"/>
    <s v="Retail Store"/>
    <n v="5"/>
    <n v="0.15"/>
    <s v="No"/>
    <n v="5"/>
    <n v="5"/>
    <s v="Keyboard"/>
    <s v="Technology"/>
    <n v="75"/>
    <n v="38"/>
    <s v="Consumer"/>
    <n v="318.75"/>
    <n v="190"/>
    <n v="128.75"/>
    <n v="0.40392156862745099"/>
  </r>
  <r>
    <s v="ORD-10522"/>
    <x v="304"/>
    <s v="CUST-0233"/>
    <s v="PROD-014"/>
    <x v="4"/>
    <s v="Online"/>
    <n v="2"/>
    <n v="0"/>
    <s v="No"/>
    <n v="4"/>
    <n v="2"/>
    <s v="Printer Paper"/>
    <s v="Office Supplies"/>
    <n v="17"/>
    <n v="8"/>
    <s v="Corporate"/>
    <n v="34"/>
    <n v="16"/>
    <n v="18"/>
    <n v="0.52941176470588236"/>
  </r>
  <r>
    <s v="ORD-10523"/>
    <x v="359"/>
    <s v="CUST-0138"/>
    <s v="PROD-014"/>
    <x v="0"/>
    <s v="Retail Store"/>
    <n v="1"/>
    <n v="0"/>
    <s v="No"/>
    <n v="4"/>
    <n v="5"/>
    <s v="Printer Paper"/>
    <s v="Office Supplies"/>
    <n v="17"/>
    <n v="8"/>
    <s v="Corporate"/>
    <n v="17"/>
    <n v="8"/>
    <n v="9"/>
    <n v="0.52941176470588236"/>
  </r>
  <r>
    <s v="ORD-10524"/>
    <x v="360"/>
    <s v="CUST-0041"/>
    <s v="PROD-005"/>
    <x v="1"/>
    <s v="Retail Store"/>
    <n v="5"/>
    <n v="0.1"/>
    <s v="No"/>
    <n v="4"/>
    <n v="5"/>
    <s v="Webcam"/>
    <s v="Technology"/>
    <n v="115"/>
    <n v="58"/>
    <s v="Corporate"/>
    <n v="517.5"/>
    <n v="290"/>
    <n v="227.5"/>
    <n v="0.43961352657004832"/>
  </r>
  <r>
    <s v="ORD-10525"/>
    <x v="84"/>
    <s v="CUST-0126"/>
    <s v="PROD-016"/>
    <x v="1"/>
    <s v="Retail Store"/>
    <n v="3"/>
    <n v="0.1"/>
    <s v="No"/>
    <n v="4"/>
    <n v="5"/>
    <s v="Desk Organiser"/>
    <s v="Office Supplies"/>
    <n v="28"/>
    <n v="12"/>
    <s v="Consumer"/>
    <n v="75.600000000000009"/>
    <n v="36"/>
    <n v="39.600000000000009"/>
    <n v="0.52380952380952384"/>
  </r>
  <r>
    <s v="ORD-10526"/>
    <x v="100"/>
    <s v="CUST-0176"/>
    <s v="PROD-001"/>
    <x v="4"/>
    <s v="Retail Store"/>
    <n v="2"/>
    <n v="0.1"/>
    <s v="No"/>
    <n v="5"/>
    <n v="3"/>
    <s v="Laptop"/>
    <s v="Technology"/>
    <n v="1100"/>
    <n v="720"/>
    <s v="Consumer"/>
    <n v="1980"/>
    <n v="1440"/>
    <n v="540"/>
    <n v="0.27272727272727271"/>
  </r>
  <r>
    <s v="ORD-10527"/>
    <x v="142"/>
    <s v="CUST-0086"/>
    <s v="PROD-002"/>
    <x v="1"/>
    <s v="Retail Store"/>
    <n v="1"/>
    <n v="0.1"/>
    <s v="No"/>
    <n v="5"/>
    <n v="5"/>
    <s v="Monitor"/>
    <s v="Technology"/>
    <n v="310"/>
    <n v="190"/>
    <s v="Consumer"/>
    <n v="279"/>
    <n v="190"/>
    <n v="89"/>
    <n v="0.31899641577060933"/>
  </r>
  <r>
    <s v="ORD-10528"/>
    <x v="176"/>
    <s v="CUST-0294"/>
    <s v="PROD-002"/>
    <x v="1"/>
    <s v="Online"/>
    <n v="4"/>
    <n v="0"/>
    <s v="No"/>
    <n v="3"/>
    <n v="1"/>
    <s v="Monitor"/>
    <s v="Technology"/>
    <n v="310"/>
    <n v="190"/>
    <s v="Consumer"/>
    <n v="1240"/>
    <n v="760"/>
    <n v="480"/>
    <n v="0.38709677419354838"/>
  </r>
  <r>
    <s v="ORD-10529"/>
    <x v="361"/>
    <s v="CUST-0130"/>
    <s v="PROD-005"/>
    <x v="1"/>
    <s v="Online"/>
    <n v="1"/>
    <n v="0.1"/>
    <s v="No"/>
    <n v="5"/>
    <n v="2"/>
    <s v="Webcam"/>
    <s v="Technology"/>
    <n v="115"/>
    <n v="58"/>
    <s v="Small Business"/>
    <n v="103.5"/>
    <n v="58"/>
    <n v="45.5"/>
    <n v="0.43961352657004832"/>
  </r>
  <r>
    <s v="ORD-10530"/>
    <x v="362"/>
    <s v="CUST-0190"/>
    <s v="PROD-006"/>
    <x v="3"/>
    <s v="Retail Store"/>
    <n v="2"/>
    <n v="0.1"/>
    <s v="No"/>
    <n v="4"/>
    <n v="1"/>
    <s v="Headset"/>
    <s v="Technology"/>
    <n v="98"/>
    <n v="46"/>
    <s v="Consumer"/>
    <n v="176.4"/>
    <n v="92"/>
    <n v="84.4"/>
    <n v="0.47845804988662133"/>
  </r>
  <r>
    <s v="ORD-10531"/>
    <x v="337"/>
    <s v="CUST-0079"/>
    <s v="PROD-016"/>
    <x v="1"/>
    <s v="Online"/>
    <n v="2"/>
    <n v="0.1"/>
    <s v="No"/>
    <n v="3"/>
    <n v="5"/>
    <s v="Desk Organiser"/>
    <s v="Office Supplies"/>
    <n v="28"/>
    <n v="12"/>
    <s v="Consumer"/>
    <n v="50.4"/>
    <n v="24"/>
    <n v="26.4"/>
    <n v="0.52380952380952384"/>
  </r>
  <r>
    <s v="ORD-10532"/>
    <x v="363"/>
    <s v="CUST-0028"/>
    <s v="PROD-009"/>
    <x v="1"/>
    <s v="Online"/>
    <n v="1"/>
    <n v="0"/>
    <s v="No"/>
    <n v="5"/>
    <n v="5"/>
    <s v="Bookshelf"/>
    <s v="Furniture"/>
    <n v="185"/>
    <n v="105"/>
    <s v="Consumer"/>
    <n v="185"/>
    <n v="105"/>
    <n v="80"/>
    <n v="0.43243243243243246"/>
  </r>
  <r>
    <s v="ORD-10533"/>
    <x v="201"/>
    <s v="CUST-0195"/>
    <s v="PROD-013"/>
    <x v="4"/>
    <s v="Online"/>
    <n v="5"/>
    <n v="0"/>
    <s v="Yes"/>
    <n v="4"/>
    <n v="4"/>
    <s v="Phone Charger"/>
    <s v="Accessories"/>
    <n v="32"/>
    <n v="13"/>
    <s v="Consumer"/>
    <n v="160"/>
    <n v="65"/>
    <n v="95"/>
    <n v="0.59375"/>
  </r>
  <r>
    <s v="ORD-10534"/>
    <x v="364"/>
    <s v="CUST-0273"/>
    <s v="PROD-012"/>
    <x v="0"/>
    <s v="Online"/>
    <n v="6"/>
    <n v="0.15"/>
    <s v="No"/>
    <n v="4"/>
    <n v="1"/>
    <s v="USB-C Hub"/>
    <s v="Accessories"/>
    <n v="68"/>
    <n v="31"/>
    <s v="Corporate"/>
    <n v="346.8"/>
    <n v="186"/>
    <n v="160.80000000000001"/>
    <n v="0.46366782006920415"/>
  </r>
  <r>
    <s v="ORD-10535"/>
    <x v="81"/>
    <s v="CUST-0300"/>
    <s v="PROD-013"/>
    <x v="4"/>
    <s v="Retail Store"/>
    <n v="1"/>
    <n v="0.1"/>
    <s v="No"/>
    <n v="4"/>
    <n v="2"/>
    <s v="Phone Charger"/>
    <s v="Accessories"/>
    <n v="32"/>
    <n v="13"/>
    <s v="Small Business"/>
    <n v="28.8"/>
    <n v="13"/>
    <n v="15.8"/>
    <n v="0.54861111111111116"/>
  </r>
  <r>
    <s v="ORD-10536"/>
    <x v="268"/>
    <s v="CUST-0281"/>
    <s v="PROD-001"/>
    <x v="1"/>
    <s v="B2B Sales"/>
    <n v="1"/>
    <n v="0"/>
    <s v="No"/>
    <n v="4"/>
    <n v="2"/>
    <s v="Laptop"/>
    <s v="Technology"/>
    <n v="1100"/>
    <n v="720"/>
    <s v="Corporate"/>
    <n v="1100"/>
    <n v="720"/>
    <n v="380"/>
    <n v="0.34545454545454546"/>
  </r>
  <r>
    <s v="ORD-10537"/>
    <x v="365"/>
    <s v="CUST-0129"/>
    <s v="PROD-007"/>
    <x v="2"/>
    <s v="Retail Store"/>
    <n v="1"/>
    <n v="0.05"/>
    <s v="No"/>
    <n v="3"/>
    <n v="5"/>
    <s v="Standing Desk"/>
    <s v="Furniture"/>
    <n v="540"/>
    <n v="320"/>
    <s v="Small Business"/>
    <n v="513"/>
    <n v="320"/>
    <n v="193"/>
    <n v="0.37621832358674462"/>
  </r>
  <r>
    <s v="ORD-10538"/>
    <x v="103"/>
    <s v="CUST-0062"/>
    <s v="PROD-003"/>
    <x v="0"/>
    <s v="Online"/>
    <n v="3"/>
    <n v="0.15"/>
    <s v="No"/>
    <n v="5"/>
    <n v="1"/>
    <s v="Keyboard"/>
    <s v="Technology"/>
    <n v="75"/>
    <n v="38"/>
    <s v="Corporate"/>
    <n v="191.25"/>
    <n v="114"/>
    <n v="77.25"/>
    <n v="0.40392156862745099"/>
  </r>
  <r>
    <s v="ORD-10539"/>
    <x v="366"/>
    <s v="CUST-0130"/>
    <s v="PROD-010"/>
    <x v="4"/>
    <s v="B2B Sales"/>
    <n v="3"/>
    <n v="0.15"/>
    <s v="No"/>
    <n v="4"/>
    <n v="3"/>
    <s v="Laptop Stand"/>
    <s v="Accessories"/>
    <n v="48"/>
    <n v="22"/>
    <s v="Small Business"/>
    <n v="122.39999999999999"/>
    <n v="66"/>
    <n v="56.399999999999991"/>
    <n v="0.46078431372549017"/>
  </r>
  <r>
    <s v="ORD-10540"/>
    <x v="298"/>
    <s v="CUST-0083"/>
    <s v="PROD-003"/>
    <x v="3"/>
    <s v="Online"/>
    <n v="2"/>
    <n v="0.2"/>
    <s v="No"/>
    <n v="5"/>
    <n v="2"/>
    <s v="Keyboard"/>
    <s v="Technology"/>
    <n v="75"/>
    <n v="38"/>
    <s v="Corporate"/>
    <n v="120"/>
    <n v="76"/>
    <n v="44"/>
    <n v="0.36666666666666664"/>
  </r>
  <r>
    <s v="ORD-10541"/>
    <x v="97"/>
    <s v="CUST-0036"/>
    <s v="PROD-016"/>
    <x v="0"/>
    <s v="Online"/>
    <n v="2"/>
    <n v="0.05"/>
    <s v="No"/>
    <n v="4"/>
    <n v="4"/>
    <s v="Desk Organiser"/>
    <s v="Office Supplies"/>
    <n v="28"/>
    <n v="12"/>
    <s v="Corporate"/>
    <n v="53.199999999999996"/>
    <n v="24"/>
    <n v="29.199999999999996"/>
    <n v="0.54887218045112773"/>
  </r>
  <r>
    <s v="ORD-10542"/>
    <x v="151"/>
    <s v="CUST-0055"/>
    <s v="PROD-015"/>
    <x v="1"/>
    <s v="Online"/>
    <n v="1"/>
    <n v="0.05"/>
    <s v="No"/>
    <n v="4"/>
    <n v="4"/>
    <s v="File Folder Pack"/>
    <s v="Office Supplies"/>
    <n v="23"/>
    <n v="10"/>
    <s v="Corporate"/>
    <n v="21.849999999999998"/>
    <n v="10"/>
    <n v="11.849999999999998"/>
    <n v="0.54233409610983974"/>
  </r>
  <r>
    <s v="ORD-10543"/>
    <x v="0"/>
    <s v="CUST-0001"/>
    <s v="PROD-002"/>
    <x v="1"/>
    <s v="Online"/>
    <n v="3"/>
    <n v="0.15"/>
    <s v="No"/>
    <n v="4"/>
    <n v="4"/>
    <s v="Monitor"/>
    <s v="Technology"/>
    <n v="310"/>
    <n v="190"/>
    <s v="Corporate"/>
    <n v="790.5"/>
    <n v="570"/>
    <n v="220.5"/>
    <n v="0.27893738140417457"/>
  </r>
  <r>
    <s v="ORD-10544"/>
    <x v="367"/>
    <s v="CUST-0224"/>
    <s v="PROD-013"/>
    <x v="0"/>
    <s v="Retail Store"/>
    <n v="4"/>
    <n v="0.05"/>
    <s v="No"/>
    <n v="5"/>
    <n v="4"/>
    <s v="Phone Charger"/>
    <s v="Accessories"/>
    <n v="32"/>
    <n v="13"/>
    <s v="Corporate"/>
    <n v="121.6"/>
    <n v="52"/>
    <n v="69.599999999999994"/>
    <n v="0.57236842105263153"/>
  </r>
  <r>
    <s v="ORD-10545"/>
    <x v="103"/>
    <s v="CUST-0291"/>
    <s v="PROD-012"/>
    <x v="3"/>
    <s v="Online"/>
    <n v="1"/>
    <n v="0.2"/>
    <s v="No"/>
    <n v="4"/>
    <n v="3"/>
    <s v="USB-C Hub"/>
    <s v="Accessories"/>
    <n v="68"/>
    <n v="31"/>
    <s v="Consumer"/>
    <n v="54.400000000000006"/>
    <n v="31"/>
    <n v="23.400000000000006"/>
    <n v="0.43014705882352949"/>
  </r>
  <r>
    <s v="ORD-10546"/>
    <x v="72"/>
    <s v="CUST-0236"/>
    <s v="PROD-010"/>
    <x v="1"/>
    <s v="Online"/>
    <n v="1"/>
    <n v="0"/>
    <s v="No"/>
    <n v="5"/>
    <n v="1"/>
    <s v="Laptop Stand"/>
    <s v="Accessories"/>
    <n v="48"/>
    <n v="22"/>
    <s v="Consumer"/>
    <n v="48"/>
    <n v="22"/>
    <n v="26"/>
    <n v="0.54166666666666663"/>
  </r>
  <r>
    <s v="ORD-10547"/>
    <x v="334"/>
    <s v="CUST-0250"/>
    <s v="PROD-003"/>
    <x v="0"/>
    <s v="Online"/>
    <n v="1"/>
    <n v="0"/>
    <s v="No"/>
    <n v="5"/>
    <n v="2"/>
    <s v="Keyboard"/>
    <s v="Technology"/>
    <n v="75"/>
    <n v="38"/>
    <s v="Consumer"/>
    <n v="75"/>
    <n v="38"/>
    <n v="37"/>
    <n v="0.49333333333333335"/>
  </r>
  <r>
    <s v="ORD-10548"/>
    <x v="368"/>
    <s v="CUST-0200"/>
    <s v="PROD-003"/>
    <x v="0"/>
    <s v="Retail Store"/>
    <n v="2"/>
    <n v="0.2"/>
    <s v="No"/>
    <n v="5"/>
    <n v="1"/>
    <s v="Keyboard"/>
    <s v="Technology"/>
    <n v="75"/>
    <n v="38"/>
    <s v="Small Business"/>
    <n v="120"/>
    <n v="76"/>
    <n v="44"/>
    <n v="0.36666666666666664"/>
  </r>
  <r>
    <s v="ORD-10549"/>
    <x v="50"/>
    <s v="CUST-0174"/>
    <s v="PROD-002"/>
    <x v="3"/>
    <s v="Retail Store"/>
    <n v="2"/>
    <n v="0"/>
    <s v="No"/>
    <n v="4"/>
    <n v="5"/>
    <s v="Monitor"/>
    <s v="Technology"/>
    <n v="310"/>
    <n v="190"/>
    <s v="Corporate"/>
    <n v="620"/>
    <n v="380"/>
    <n v="240"/>
    <n v="0.38709677419354838"/>
  </r>
  <r>
    <s v="ORD-10550"/>
    <x v="0"/>
    <s v="CUST-0297"/>
    <s v="PROD-008"/>
    <x v="0"/>
    <s v="Online"/>
    <n v="1"/>
    <n v="0.05"/>
    <s v="No"/>
    <n v="5"/>
    <n v="1"/>
    <s v="Office Chair"/>
    <s v="Furniture"/>
    <n v="255"/>
    <n v="145"/>
    <s v="Consumer"/>
    <n v="242.25"/>
    <n v="145"/>
    <n v="97.25"/>
    <n v="0.40144478844169246"/>
  </r>
  <r>
    <s v="ORD-10551"/>
    <x v="133"/>
    <s v="CUST-0067"/>
    <s v="PROD-001"/>
    <x v="2"/>
    <s v="Online"/>
    <n v="1"/>
    <n v="0.1"/>
    <s v="No"/>
    <n v="3"/>
    <n v="5"/>
    <s v="Laptop"/>
    <s v="Technology"/>
    <n v="1100"/>
    <n v="720"/>
    <s v="Consumer"/>
    <n v="990"/>
    <n v="720"/>
    <n v="270"/>
    <n v="0.27272727272727271"/>
  </r>
  <r>
    <s v="ORD-10552"/>
    <x v="369"/>
    <s v="CUST-0055"/>
    <s v="PROD-004"/>
    <x v="4"/>
    <s v="Retail Store"/>
    <n v="1"/>
    <n v="0.1"/>
    <s v="No"/>
    <n v="5"/>
    <n v="4"/>
    <s v="Mouse"/>
    <s v="Technology"/>
    <n v="42"/>
    <n v="19"/>
    <s v="Corporate"/>
    <n v="37.800000000000004"/>
    <n v="19"/>
    <n v="18.800000000000004"/>
    <n v="0.49735449735449744"/>
  </r>
  <r>
    <s v="ORD-10553"/>
    <x v="370"/>
    <s v="CUST-0062"/>
    <s v="PROD-005"/>
    <x v="3"/>
    <s v="B2B Sales"/>
    <n v="1"/>
    <n v="0"/>
    <s v="No"/>
    <n v="2"/>
    <n v="5"/>
    <s v="Webcam"/>
    <s v="Technology"/>
    <n v="115"/>
    <n v="58"/>
    <s v="Corporate"/>
    <n v="115"/>
    <n v="58"/>
    <n v="57"/>
    <n v="0.4956521739130435"/>
  </r>
  <r>
    <s v="ORD-10554"/>
    <x v="148"/>
    <s v="CUST-0087"/>
    <s v="PROD-012"/>
    <x v="4"/>
    <s v="Online"/>
    <n v="6"/>
    <n v="0"/>
    <s v="No"/>
    <n v="5"/>
    <n v="5"/>
    <s v="USB-C Hub"/>
    <s v="Accessories"/>
    <n v="68"/>
    <n v="31"/>
    <s v="Small Business"/>
    <n v="408"/>
    <n v="186"/>
    <n v="222"/>
    <n v="0.54411764705882348"/>
  </r>
  <r>
    <s v="ORD-10555"/>
    <x v="95"/>
    <s v="CUST-0081"/>
    <s v="PROD-001"/>
    <x v="0"/>
    <s v="Online"/>
    <n v="1"/>
    <n v="0.15"/>
    <s v="No"/>
    <n v="4"/>
    <n v="3"/>
    <s v="Laptop"/>
    <s v="Technology"/>
    <n v="1100"/>
    <n v="720"/>
    <s v="Corporate"/>
    <n v="935"/>
    <n v="720"/>
    <n v="215"/>
    <n v="0.22994652406417113"/>
  </r>
  <r>
    <s v="ORD-10556"/>
    <x v="325"/>
    <s v="CUST-0244"/>
    <s v="PROD-005"/>
    <x v="2"/>
    <s v="Retail Store"/>
    <n v="2"/>
    <n v="0"/>
    <s v="Yes"/>
    <n v="5"/>
    <n v="3"/>
    <s v="Webcam"/>
    <s v="Technology"/>
    <n v="115"/>
    <n v="58"/>
    <s v="Small Business"/>
    <n v="230"/>
    <n v="116"/>
    <n v="114"/>
    <n v="0.4956521739130435"/>
  </r>
  <r>
    <s v="ORD-10557"/>
    <x v="206"/>
    <s v="CUST-0046"/>
    <s v="PROD-010"/>
    <x v="3"/>
    <s v="Online"/>
    <n v="1"/>
    <n v="0"/>
    <s v="No"/>
    <n v="2"/>
    <n v="5"/>
    <s v="Laptop Stand"/>
    <s v="Accessories"/>
    <n v="48"/>
    <n v="22"/>
    <s v="Consumer"/>
    <n v="48"/>
    <n v="22"/>
    <n v="26"/>
    <n v="0.54166666666666663"/>
  </r>
  <r>
    <s v="ORD-10558"/>
    <x v="29"/>
    <s v="CUST-0107"/>
    <s v="PROD-009"/>
    <x v="2"/>
    <s v="Online"/>
    <n v="1"/>
    <n v="0.15"/>
    <s v="Yes"/>
    <n v="4"/>
    <n v="3"/>
    <s v="Bookshelf"/>
    <s v="Furniture"/>
    <n v="185"/>
    <n v="105"/>
    <s v="Consumer"/>
    <n v="157.25"/>
    <n v="105"/>
    <n v="52.25"/>
    <n v="0.33227344992050872"/>
  </r>
  <r>
    <s v="ORD-10559"/>
    <x v="335"/>
    <s v="CUST-0187"/>
    <s v="PROD-010"/>
    <x v="2"/>
    <s v="Online"/>
    <n v="3"/>
    <n v="0.15"/>
    <s v="No"/>
    <n v="2"/>
    <n v="3"/>
    <s v="Laptop Stand"/>
    <s v="Accessories"/>
    <n v="48"/>
    <n v="22"/>
    <s v="Small Business"/>
    <n v="122.39999999999999"/>
    <n v="66"/>
    <n v="56.399999999999991"/>
    <n v="0.46078431372549017"/>
  </r>
  <r>
    <s v="ORD-10560"/>
    <x v="296"/>
    <s v="CUST-0015"/>
    <s v="PROD-016"/>
    <x v="4"/>
    <s v="Online"/>
    <n v="1"/>
    <n v="0"/>
    <s v="No"/>
    <n v="4"/>
    <n v="3"/>
    <s v="Desk Organiser"/>
    <s v="Office Supplies"/>
    <n v="28"/>
    <n v="12"/>
    <s v="Corporate"/>
    <n v="28"/>
    <n v="12"/>
    <n v="16"/>
    <n v="0.5714285714285714"/>
  </r>
  <r>
    <s v="ORD-10561"/>
    <x v="371"/>
    <s v="CUST-0057"/>
    <s v="PROD-011"/>
    <x v="3"/>
    <s v="Online"/>
    <n v="2"/>
    <n v="0"/>
    <s v="No"/>
    <n v="2"/>
    <n v="9"/>
    <s v="Backpack"/>
    <s v="Accessories"/>
    <n v="85"/>
    <n v="39"/>
    <s v="Consumer"/>
    <n v="170"/>
    <n v="78"/>
    <n v="92"/>
    <n v="0.54117647058823526"/>
  </r>
  <r>
    <s v="ORD-10562"/>
    <x v="335"/>
    <s v="CUST-0224"/>
    <s v="PROD-005"/>
    <x v="2"/>
    <s v="Retail Store"/>
    <n v="1"/>
    <n v="0"/>
    <s v="No"/>
    <n v="3"/>
    <n v="3"/>
    <s v="Webcam"/>
    <s v="Technology"/>
    <n v="115"/>
    <n v="58"/>
    <s v="Corporate"/>
    <n v="115"/>
    <n v="58"/>
    <n v="57"/>
    <n v="0.4956521739130435"/>
  </r>
  <r>
    <s v="ORD-10563"/>
    <x v="245"/>
    <s v="CUST-0104"/>
    <s v="PROD-011"/>
    <x v="2"/>
    <s v="Retail Store"/>
    <n v="1"/>
    <n v="0"/>
    <s v="No"/>
    <n v="4"/>
    <n v="2"/>
    <s v="Backpack"/>
    <s v="Accessories"/>
    <n v="85"/>
    <n v="39"/>
    <s v="Corporate"/>
    <n v="85"/>
    <n v="39"/>
    <n v="46"/>
    <n v="0.54117647058823526"/>
  </r>
  <r>
    <s v="ORD-10564"/>
    <x v="372"/>
    <s v="CUST-0113"/>
    <s v="PROD-010"/>
    <x v="1"/>
    <s v="Retail Store"/>
    <n v="3"/>
    <n v="0.05"/>
    <s v="No"/>
    <n v="5"/>
    <n v="2"/>
    <s v="Laptop Stand"/>
    <s v="Accessories"/>
    <n v="48"/>
    <n v="22"/>
    <s v="Corporate"/>
    <n v="136.79999999999998"/>
    <n v="66"/>
    <n v="70.799999999999983"/>
    <n v="0.51754385964912275"/>
  </r>
  <r>
    <s v="ORD-10565"/>
    <x v="373"/>
    <s v="CUST-0211"/>
    <s v="PROD-016"/>
    <x v="0"/>
    <s v="Online"/>
    <n v="2"/>
    <n v="0.05"/>
    <s v="No"/>
    <n v="4"/>
    <n v="2"/>
    <s v="Desk Organiser"/>
    <s v="Office Supplies"/>
    <n v="28"/>
    <n v="12"/>
    <s v="Consumer"/>
    <n v="53.199999999999996"/>
    <n v="24"/>
    <n v="29.199999999999996"/>
    <n v="0.54887218045112773"/>
  </r>
  <r>
    <s v="ORD-10566"/>
    <x v="204"/>
    <s v="CUST-0168"/>
    <s v="PROD-014"/>
    <x v="4"/>
    <s v="B2B Sales"/>
    <n v="3"/>
    <n v="0"/>
    <s v="No"/>
    <n v="1"/>
    <n v="2"/>
    <s v="Printer Paper"/>
    <s v="Office Supplies"/>
    <n v="17"/>
    <n v="8"/>
    <s v="Corporate"/>
    <n v="51"/>
    <n v="24"/>
    <n v="27"/>
    <n v="0.52941176470588236"/>
  </r>
  <r>
    <s v="ORD-10567"/>
    <x v="39"/>
    <s v="CUST-0259"/>
    <s v="PROD-002"/>
    <x v="4"/>
    <s v="Online"/>
    <n v="4"/>
    <n v="0.1"/>
    <s v="No"/>
    <n v="4"/>
    <n v="1"/>
    <s v="Monitor"/>
    <s v="Technology"/>
    <n v="310"/>
    <n v="190"/>
    <s v="Consumer"/>
    <n v="1116"/>
    <n v="760"/>
    <n v="356"/>
    <n v="0.31899641577060933"/>
  </r>
  <r>
    <s v="ORD-10568"/>
    <x v="374"/>
    <s v="CUST-0007"/>
    <s v="PROD-014"/>
    <x v="0"/>
    <s v="Online"/>
    <n v="1"/>
    <n v="0.05"/>
    <s v="No"/>
    <n v="4"/>
    <n v="3"/>
    <s v="Printer Paper"/>
    <s v="Office Supplies"/>
    <n v="17"/>
    <n v="8"/>
    <s v="Small Business"/>
    <n v="16.149999999999999"/>
    <n v="8"/>
    <n v="8.1499999999999986"/>
    <n v="0.50464396284829716"/>
  </r>
  <r>
    <s v="ORD-10569"/>
    <x v="375"/>
    <s v="CUST-0236"/>
    <s v="PROD-001"/>
    <x v="0"/>
    <s v="Online"/>
    <n v="1"/>
    <n v="0.1"/>
    <s v="No"/>
    <n v="5"/>
    <n v="4"/>
    <s v="Laptop"/>
    <s v="Technology"/>
    <n v="1100"/>
    <n v="720"/>
    <s v="Consumer"/>
    <n v="990"/>
    <n v="720"/>
    <n v="270"/>
    <n v="0.27272727272727271"/>
  </r>
  <r>
    <s v="ORD-10570"/>
    <x v="291"/>
    <s v="CUST-0037"/>
    <s v="PROD-013"/>
    <x v="0"/>
    <s v="Online"/>
    <n v="1"/>
    <n v="0"/>
    <s v="No"/>
    <n v="5"/>
    <n v="5"/>
    <s v="Phone Charger"/>
    <s v="Accessories"/>
    <n v="32"/>
    <n v="13"/>
    <s v="Small Business"/>
    <n v="32"/>
    <n v="13"/>
    <n v="19"/>
    <n v="0.59375"/>
  </r>
  <r>
    <s v="ORD-10571"/>
    <x v="218"/>
    <s v="CUST-0107"/>
    <s v="PROD-003"/>
    <x v="1"/>
    <s v="Online"/>
    <n v="6"/>
    <n v="0.05"/>
    <s v="Yes"/>
    <n v="4"/>
    <n v="2"/>
    <s v="Keyboard"/>
    <s v="Technology"/>
    <n v="75"/>
    <n v="38"/>
    <s v="Consumer"/>
    <n v="427.5"/>
    <n v="228"/>
    <n v="199.5"/>
    <n v="0.46666666666666667"/>
  </r>
  <r>
    <s v="ORD-10572"/>
    <x v="244"/>
    <s v="CUST-0188"/>
    <s v="PROD-015"/>
    <x v="1"/>
    <s v="Online"/>
    <n v="1"/>
    <n v="0.05"/>
    <s v="No"/>
    <n v="5"/>
    <n v="2"/>
    <s v="File Folder Pack"/>
    <s v="Office Supplies"/>
    <n v="23"/>
    <n v="10"/>
    <s v="Consumer"/>
    <n v="21.849999999999998"/>
    <n v="10"/>
    <n v="11.849999999999998"/>
    <n v="0.54233409610983974"/>
  </r>
  <r>
    <s v="ORD-10573"/>
    <x v="190"/>
    <s v="CUST-0172"/>
    <s v="PROD-008"/>
    <x v="4"/>
    <s v="Retail Store"/>
    <n v="4"/>
    <n v="0.1"/>
    <s v="No"/>
    <n v="5"/>
    <n v="2"/>
    <s v="Office Chair"/>
    <s v="Furniture"/>
    <n v="255"/>
    <n v="145"/>
    <s v="Corporate"/>
    <n v="918"/>
    <n v="580"/>
    <n v="338"/>
    <n v="0.36819172113289761"/>
  </r>
  <r>
    <s v="ORD-10574"/>
    <x v="347"/>
    <s v="CUST-0181"/>
    <s v="PROD-009"/>
    <x v="4"/>
    <s v="Online"/>
    <n v="1"/>
    <n v="0"/>
    <s v="No"/>
    <n v="4"/>
    <n v="1"/>
    <s v="Bookshelf"/>
    <s v="Furniture"/>
    <n v="185"/>
    <n v="105"/>
    <s v="Corporate"/>
    <n v="185"/>
    <n v="105"/>
    <n v="80"/>
    <n v="0.43243243243243246"/>
  </r>
  <r>
    <s v="ORD-10575"/>
    <x v="39"/>
    <s v="CUST-0273"/>
    <s v="PROD-010"/>
    <x v="4"/>
    <s v="Online"/>
    <n v="3"/>
    <n v="0.1"/>
    <s v="Yes"/>
    <n v="5"/>
    <n v="6"/>
    <s v="Laptop Stand"/>
    <s v="Accessories"/>
    <n v="48"/>
    <n v="22"/>
    <s v="Corporate"/>
    <n v="129.6"/>
    <n v="66"/>
    <n v="63.599999999999994"/>
    <n v="0.4907407407407407"/>
  </r>
  <r>
    <s v="ORD-10576"/>
    <x v="376"/>
    <s v="CUST-0042"/>
    <s v="PROD-013"/>
    <x v="0"/>
    <s v="Online"/>
    <n v="7"/>
    <n v="0"/>
    <s v="No"/>
    <n v="5"/>
    <n v="4"/>
    <s v="Phone Charger"/>
    <s v="Accessories"/>
    <n v="32"/>
    <n v="13"/>
    <s v="Consumer"/>
    <n v="224"/>
    <n v="91"/>
    <n v="133"/>
    <n v="0.59375"/>
  </r>
  <r>
    <s v="ORD-10577"/>
    <x v="86"/>
    <s v="CUST-0105"/>
    <s v="PROD-001"/>
    <x v="3"/>
    <s v="B2B Sales"/>
    <n v="2"/>
    <n v="0"/>
    <s v="No"/>
    <n v="4"/>
    <n v="1"/>
    <s v="Laptop"/>
    <s v="Technology"/>
    <n v="1100"/>
    <n v="720"/>
    <s v="Consumer"/>
    <n v="2200"/>
    <n v="1440"/>
    <n v="760"/>
    <n v="0.34545454545454546"/>
  </r>
  <r>
    <s v="ORD-10578"/>
    <x v="175"/>
    <s v="CUST-0097"/>
    <s v="PROD-003"/>
    <x v="2"/>
    <s v="Retail Store"/>
    <n v="5"/>
    <n v="0.05"/>
    <s v="No"/>
    <n v="4"/>
    <n v="3"/>
    <s v="Keyboard"/>
    <s v="Technology"/>
    <n v="75"/>
    <n v="38"/>
    <s v="Small Business"/>
    <n v="356.25"/>
    <n v="190"/>
    <n v="166.25"/>
    <n v="0.46666666666666667"/>
  </r>
  <r>
    <s v="ORD-10579"/>
    <x v="232"/>
    <s v="CUST-0272"/>
    <s v="PROD-015"/>
    <x v="4"/>
    <s v="Retail Store"/>
    <n v="6"/>
    <n v="0"/>
    <s v="No"/>
    <n v="3"/>
    <n v="3"/>
    <s v="File Folder Pack"/>
    <s v="Office Supplies"/>
    <n v="23"/>
    <n v="10"/>
    <s v="Consumer"/>
    <n v="138"/>
    <n v="60"/>
    <n v="78"/>
    <n v="0.56521739130434778"/>
  </r>
  <r>
    <s v="ORD-10580"/>
    <x v="191"/>
    <s v="CUST-0025"/>
    <s v="PROD-005"/>
    <x v="3"/>
    <s v="Online"/>
    <n v="1"/>
    <n v="0.15"/>
    <s v="No"/>
    <n v="4"/>
    <n v="2"/>
    <s v="Webcam"/>
    <s v="Technology"/>
    <n v="115"/>
    <n v="58"/>
    <s v="Small Business"/>
    <n v="97.75"/>
    <n v="58"/>
    <n v="39.75"/>
    <n v="0.40664961636828645"/>
  </r>
  <r>
    <s v="ORD-10581"/>
    <x v="318"/>
    <s v="CUST-0083"/>
    <s v="PROD-008"/>
    <x v="2"/>
    <s v="B2B Sales"/>
    <n v="3"/>
    <n v="0"/>
    <s v="No"/>
    <n v="3"/>
    <n v="1"/>
    <s v="Office Chair"/>
    <s v="Furniture"/>
    <n v="255"/>
    <n v="145"/>
    <s v="Corporate"/>
    <n v="765"/>
    <n v="435"/>
    <n v="330"/>
    <n v="0.43137254901960786"/>
  </r>
  <r>
    <s v="ORD-10582"/>
    <x v="173"/>
    <s v="CUST-0177"/>
    <s v="PROD-005"/>
    <x v="3"/>
    <s v="Retail Store"/>
    <n v="1"/>
    <n v="0"/>
    <s v="Yes"/>
    <n v="4"/>
    <n v="6"/>
    <s v="Webcam"/>
    <s v="Technology"/>
    <n v="115"/>
    <n v="58"/>
    <s v="Consumer"/>
    <n v="115"/>
    <n v="58"/>
    <n v="57"/>
    <n v="0.4956521739130435"/>
  </r>
  <r>
    <s v="ORD-10583"/>
    <x v="377"/>
    <s v="CUST-0164"/>
    <s v="PROD-005"/>
    <x v="2"/>
    <s v="Retail Store"/>
    <n v="8"/>
    <n v="0"/>
    <s v="No"/>
    <n v="4"/>
    <n v="3"/>
    <s v="Webcam"/>
    <s v="Technology"/>
    <n v="115"/>
    <n v="58"/>
    <s v="Small Business"/>
    <n v="920"/>
    <n v="464"/>
    <n v="456"/>
    <n v="0.4956521739130435"/>
  </r>
  <r>
    <s v="ORD-10584"/>
    <x v="211"/>
    <s v="CUST-0076"/>
    <s v="PROD-015"/>
    <x v="3"/>
    <s v="Online"/>
    <n v="2"/>
    <n v="0"/>
    <s v="No"/>
    <n v="3"/>
    <n v="1"/>
    <s v="File Folder Pack"/>
    <s v="Office Supplies"/>
    <n v="23"/>
    <n v="10"/>
    <s v="Consumer"/>
    <n v="46"/>
    <n v="20"/>
    <n v="26"/>
    <n v="0.56521739130434778"/>
  </r>
  <r>
    <s v="ORD-10585"/>
    <x v="378"/>
    <s v="CUST-0113"/>
    <s v="PROD-015"/>
    <x v="3"/>
    <s v="Online"/>
    <n v="3"/>
    <n v="0"/>
    <s v="No"/>
    <n v="5"/>
    <n v="3"/>
    <s v="File Folder Pack"/>
    <s v="Office Supplies"/>
    <n v="23"/>
    <n v="10"/>
    <s v="Corporate"/>
    <n v="69"/>
    <n v="30"/>
    <n v="39"/>
    <n v="0.56521739130434778"/>
  </r>
  <r>
    <s v="ORD-10586"/>
    <x v="305"/>
    <s v="CUST-0012"/>
    <s v="PROD-003"/>
    <x v="4"/>
    <s v="Online"/>
    <n v="3"/>
    <n v="0"/>
    <s v="No"/>
    <n v="3"/>
    <n v="3"/>
    <s v="Keyboard"/>
    <s v="Technology"/>
    <n v="75"/>
    <n v="38"/>
    <s v="Corporate"/>
    <n v="225"/>
    <n v="114"/>
    <n v="111"/>
    <n v="0.49333333333333335"/>
  </r>
  <r>
    <s v="ORD-10587"/>
    <x v="336"/>
    <s v="CUST-0029"/>
    <s v="PROD-012"/>
    <x v="3"/>
    <s v="Retail Store"/>
    <n v="2"/>
    <n v="0"/>
    <s v="No"/>
    <n v="4"/>
    <n v="3"/>
    <s v="USB-C Hub"/>
    <s v="Accessories"/>
    <n v="68"/>
    <n v="31"/>
    <s v="Small Business"/>
    <n v="136"/>
    <n v="62"/>
    <n v="74"/>
    <n v="0.54411764705882348"/>
  </r>
  <r>
    <s v="ORD-10588"/>
    <x v="15"/>
    <s v="CUST-0288"/>
    <s v="PROD-003"/>
    <x v="2"/>
    <s v="B2B Sales"/>
    <n v="4"/>
    <n v="0"/>
    <s v="No"/>
    <n v="3"/>
    <n v="4"/>
    <s v="Keyboard"/>
    <s v="Technology"/>
    <n v="75"/>
    <n v="38"/>
    <s v="Consumer"/>
    <n v="300"/>
    <n v="152"/>
    <n v="148"/>
    <n v="0.49333333333333335"/>
  </r>
  <r>
    <s v="ORD-10589"/>
    <x v="287"/>
    <s v="CUST-0072"/>
    <s v="PROD-003"/>
    <x v="2"/>
    <s v="Online"/>
    <n v="8"/>
    <n v="0.05"/>
    <s v="No"/>
    <n v="5"/>
    <n v="5"/>
    <s v="Keyboard"/>
    <s v="Technology"/>
    <n v="75"/>
    <n v="38"/>
    <s v="Small Business"/>
    <n v="570"/>
    <n v="304"/>
    <n v="266"/>
    <n v="0.46666666666666667"/>
  </r>
  <r>
    <s v="ORD-10590"/>
    <x v="379"/>
    <s v="CUST-0046"/>
    <s v="PROD-001"/>
    <x v="3"/>
    <s v="B2B Sales"/>
    <n v="2"/>
    <n v="0.05"/>
    <s v="No"/>
    <n v="5"/>
    <n v="2"/>
    <s v="Laptop"/>
    <s v="Technology"/>
    <n v="1100"/>
    <n v="720"/>
    <s v="Consumer"/>
    <n v="2090"/>
    <n v="1440"/>
    <n v="650"/>
    <n v="0.31100478468899523"/>
  </r>
  <r>
    <s v="ORD-10591"/>
    <x v="302"/>
    <s v="CUST-0096"/>
    <s v="PROD-013"/>
    <x v="3"/>
    <s v="Retail Store"/>
    <n v="5"/>
    <n v="0"/>
    <s v="No"/>
    <n v="4"/>
    <n v="4"/>
    <s v="Phone Charger"/>
    <s v="Accessories"/>
    <n v="32"/>
    <n v="13"/>
    <s v="Consumer"/>
    <n v="160"/>
    <n v="65"/>
    <n v="95"/>
    <n v="0.59375"/>
  </r>
  <r>
    <s v="ORD-10592"/>
    <x v="118"/>
    <s v="CUST-0014"/>
    <s v="PROD-001"/>
    <x v="2"/>
    <s v="Online"/>
    <n v="3"/>
    <n v="0.05"/>
    <s v="No"/>
    <n v="5"/>
    <n v="3"/>
    <s v="Laptop"/>
    <s v="Technology"/>
    <n v="1100"/>
    <n v="720"/>
    <s v="Consumer"/>
    <n v="3135"/>
    <n v="2160"/>
    <n v="975"/>
    <n v="0.31100478468899523"/>
  </r>
  <r>
    <s v="ORD-10593"/>
    <x v="358"/>
    <s v="CUST-0092"/>
    <s v="PROD-016"/>
    <x v="0"/>
    <s v="Retail Store"/>
    <n v="1"/>
    <n v="0.1"/>
    <s v="No"/>
    <n v="5"/>
    <n v="5"/>
    <s v="Desk Organiser"/>
    <s v="Office Supplies"/>
    <n v="28"/>
    <n v="12"/>
    <s v="Corporate"/>
    <n v="25.2"/>
    <n v="12"/>
    <n v="13.2"/>
    <n v="0.52380952380952384"/>
  </r>
  <r>
    <s v="ORD-10594"/>
    <x v="380"/>
    <s v="CUST-0298"/>
    <s v="PROD-016"/>
    <x v="4"/>
    <s v="B2B Sales"/>
    <n v="3"/>
    <n v="0.05"/>
    <s v="No"/>
    <n v="3"/>
    <n v="5"/>
    <s v="Desk Organiser"/>
    <s v="Office Supplies"/>
    <n v="28"/>
    <n v="12"/>
    <s v="Consumer"/>
    <n v="79.8"/>
    <n v="36"/>
    <n v="43.8"/>
    <n v="0.54887218045112784"/>
  </r>
  <r>
    <s v="ORD-10595"/>
    <x v="218"/>
    <s v="CUST-0009"/>
    <s v="PROD-009"/>
    <x v="2"/>
    <s v="Online"/>
    <n v="1"/>
    <n v="0.15"/>
    <s v="No"/>
    <n v="3"/>
    <n v="3"/>
    <s v="Bookshelf"/>
    <s v="Furniture"/>
    <n v="185"/>
    <n v="105"/>
    <s v="Consumer"/>
    <n v="157.25"/>
    <n v="105"/>
    <n v="52.25"/>
    <n v="0.33227344992050872"/>
  </r>
  <r>
    <s v="ORD-10596"/>
    <x v="177"/>
    <s v="CUST-0215"/>
    <s v="PROD-012"/>
    <x v="2"/>
    <s v="Online"/>
    <n v="3"/>
    <n v="0"/>
    <s v="No"/>
    <n v="5"/>
    <n v="1"/>
    <s v="USB-C Hub"/>
    <s v="Accessories"/>
    <n v="68"/>
    <n v="31"/>
    <s v="Small Business"/>
    <n v="204"/>
    <n v="93"/>
    <n v="111"/>
    <n v="0.54411764705882348"/>
  </r>
  <r>
    <s v="ORD-10597"/>
    <x v="381"/>
    <s v="CUST-0279"/>
    <s v="PROD-011"/>
    <x v="0"/>
    <s v="Retail Store"/>
    <n v="3"/>
    <n v="0"/>
    <s v="No"/>
    <n v="5"/>
    <n v="1"/>
    <s v="Backpack"/>
    <s v="Accessories"/>
    <n v="85"/>
    <n v="39"/>
    <s v="Consumer"/>
    <n v="255"/>
    <n v="117"/>
    <n v="138"/>
    <n v="0.54117647058823526"/>
  </r>
  <r>
    <s v="ORD-10598"/>
    <x v="141"/>
    <s v="CUST-0297"/>
    <s v="PROD-012"/>
    <x v="0"/>
    <s v="Online"/>
    <n v="2"/>
    <n v="0"/>
    <s v="No"/>
    <n v="4"/>
    <n v="2"/>
    <s v="USB-C Hub"/>
    <s v="Accessories"/>
    <n v="68"/>
    <n v="31"/>
    <s v="Consumer"/>
    <n v="136"/>
    <n v="62"/>
    <n v="74"/>
    <n v="0.54411764705882348"/>
  </r>
  <r>
    <s v="ORD-10599"/>
    <x v="382"/>
    <s v="CUST-0112"/>
    <s v="PROD-005"/>
    <x v="4"/>
    <s v="B2B Sales"/>
    <n v="4"/>
    <n v="0.05"/>
    <s v="No"/>
    <n v="5"/>
    <n v="5"/>
    <s v="Webcam"/>
    <s v="Technology"/>
    <n v="115"/>
    <n v="58"/>
    <s v="Consumer"/>
    <n v="437"/>
    <n v="232"/>
    <n v="205"/>
    <n v="0.46910755148741418"/>
  </r>
  <r>
    <s v="ORD-10600"/>
    <x v="383"/>
    <s v="CUST-0059"/>
    <s v="PROD-014"/>
    <x v="4"/>
    <s v="Online"/>
    <n v="4"/>
    <n v="0.15"/>
    <s v="No"/>
    <n v="4"/>
    <n v="3"/>
    <s v="Printer Paper"/>
    <s v="Office Supplies"/>
    <n v="17"/>
    <n v="8"/>
    <s v="Consumer"/>
    <n v="57.8"/>
    <n v="32"/>
    <n v="25.799999999999997"/>
    <n v="0.44636678200692037"/>
  </r>
  <r>
    <s v="ORD-10601"/>
    <x v="180"/>
    <s v="CUST-0227"/>
    <s v="PROD-011"/>
    <x v="2"/>
    <s v="Online"/>
    <n v="4"/>
    <n v="0"/>
    <s v="No"/>
    <n v="5"/>
    <n v="2"/>
    <s v="Backpack"/>
    <s v="Accessories"/>
    <n v="85"/>
    <n v="39"/>
    <s v="Corporate"/>
    <n v="340"/>
    <n v="156"/>
    <n v="184"/>
    <n v="0.54117647058823526"/>
  </r>
  <r>
    <s v="ORD-10602"/>
    <x v="384"/>
    <s v="CUST-0065"/>
    <s v="PROD-007"/>
    <x v="2"/>
    <s v="Online"/>
    <n v="3"/>
    <n v="0.1"/>
    <s v="No"/>
    <n v="5"/>
    <n v="4"/>
    <s v="Standing Desk"/>
    <s v="Furniture"/>
    <n v="540"/>
    <n v="320"/>
    <s v="Small Business"/>
    <n v="1458"/>
    <n v="960"/>
    <n v="498"/>
    <n v="0.34156378600823045"/>
  </r>
  <r>
    <s v="ORD-10603"/>
    <x v="385"/>
    <s v="CUST-0101"/>
    <s v="PROD-004"/>
    <x v="2"/>
    <s v="Retail Store"/>
    <n v="3"/>
    <n v="0.05"/>
    <s v="No"/>
    <n v="2"/>
    <n v="4"/>
    <s v="Mouse"/>
    <s v="Technology"/>
    <n v="42"/>
    <n v="19"/>
    <s v="Consumer"/>
    <n v="119.69999999999999"/>
    <n v="57"/>
    <n v="62.699999999999989"/>
    <n v="0.52380952380952372"/>
  </r>
  <r>
    <s v="ORD-10604"/>
    <x v="386"/>
    <s v="CUST-0064"/>
    <s v="PROD-007"/>
    <x v="4"/>
    <s v="Online"/>
    <n v="3"/>
    <n v="0"/>
    <s v="No"/>
    <n v="5"/>
    <n v="3"/>
    <s v="Standing Desk"/>
    <s v="Furniture"/>
    <n v="540"/>
    <n v="320"/>
    <s v="Corporate"/>
    <n v="1620"/>
    <n v="960"/>
    <n v="660"/>
    <n v="0.40740740740740738"/>
  </r>
  <r>
    <s v="ORD-10605"/>
    <x v="387"/>
    <s v="CUST-0179"/>
    <s v="PROD-012"/>
    <x v="2"/>
    <s v="Retail Store"/>
    <n v="4"/>
    <n v="0"/>
    <s v="No"/>
    <n v="2"/>
    <n v="6"/>
    <s v="USB-C Hub"/>
    <s v="Accessories"/>
    <n v="68"/>
    <n v="31"/>
    <s v="Consumer"/>
    <n v="272"/>
    <n v="124"/>
    <n v="148"/>
    <n v="0.54411764705882348"/>
  </r>
  <r>
    <s v="ORD-10606"/>
    <x v="321"/>
    <s v="CUST-0112"/>
    <s v="PROD-007"/>
    <x v="0"/>
    <s v="Online"/>
    <n v="4"/>
    <n v="0"/>
    <s v="No"/>
    <n v="5"/>
    <n v="5"/>
    <s v="Standing Desk"/>
    <s v="Furniture"/>
    <n v="540"/>
    <n v="320"/>
    <s v="Consumer"/>
    <n v="2160"/>
    <n v="1280"/>
    <n v="880"/>
    <n v="0.40740740740740738"/>
  </r>
  <r>
    <s v="ORD-10607"/>
    <x v="315"/>
    <s v="CUST-0188"/>
    <s v="PROD-006"/>
    <x v="4"/>
    <s v="B2B Sales"/>
    <n v="1"/>
    <n v="0"/>
    <s v="No"/>
    <n v="3"/>
    <n v="2"/>
    <s v="Headset"/>
    <s v="Technology"/>
    <n v="98"/>
    <n v="46"/>
    <s v="Consumer"/>
    <n v="98"/>
    <n v="46"/>
    <n v="52"/>
    <n v="0.53061224489795922"/>
  </r>
  <r>
    <s v="ORD-10608"/>
    <x v="46"/>
    <s v="CUST-0058"/>
    <s v="PROD-011"/>
    <x v="2"/>
    <s v="Online"/>
    <n v="1"/>
    <n v="0.1"/>
    <s v="No"/>
    <n v="4"/>
    <n v="1"/>
    <s v="Backpack"/>
    <s v="Accessories"/>
    <n v="85"/>
    <n v="39"/>
    <s v="Corporate"/>
    <n v="76.5"/>
    <n v="39"/>
    <n v="37.5"/>
    <n v="0.49019607843137253"/>
  </r>
  <r>
    <s v="ORD-10609"/>
    <x v="388"/>
    <s v="CUST-0168"/>
    <s v="PROD-016"/>
    <x v="2"/>
    <s v="Online"/>
    <n v="3"/>
    <n v="0"/>
    <s v="Yes"/>
    <n v="4"/>
    <n v="9"/>
    <s v="Desk Organiser"/>
    <s v="Office Supplies"/>
    <n v="28"/>
    <n v="12"/>
    <s v="Corporate"/>
    <n v="84"/>
    <n v="36"/>
    <n v="48"/>
    <n v="0.5714285714285714"/>
  </r>
  <r>
    <s v="ORD-10610"/>
    <x v="138"/>
    <s v="CUST-0220"/>
    <s v="PROD-007"/>
    <x v="0"/>
    <s v="B2B Sales"/>
    <n v="4"/>
    <n v="0.15"/>
    <s v="No"/>
    <n v="1"/>
    <n v="5"/>
    <s v="Standing Desk"/>
    <s v="Furniture"/>
    <n v="540"/>
    <n v="320"/>
    <s v="Consumer"/>
    <n v="1836"/>
    <n v="1280"/>
    <n v="556"/>
    <n v="0.30283224400871461"/>
  </r>
  <r>
    <s v="ORD-10611"/>
    <x v="186"/>
    <s v="CUST-0225"/>
    <s v="PROD-003"/>
    <x v="2"/>
    <s v="Online"/>
    <n v="3"/>
    <n v="0.2"/>
    <s v="No"/>
    <n v="5"/>
    <n v="2"/>
    <s v="Keyboard"/>
    <s v="Technology"/>
    <n v="75"/>
    <n v="38"/>
    <s v="Consumer"/>
    <n v="180"/>
    <n v="114"/>
    <n v="66"/>
    <n v="0.36666666666666664"/>
  </r>
  <r>
    <s v="ORD-10612"/>
    <x v="117"/>
    <s v="CUST-0187"/>
    <s v="PROD-007"/>
    <x v="3"/>
    <s v="Retail Store"/>
    <n v="8"/>
    <n v="0"/>
    <s v="No"/>
    <n v="5"/>
    <n v="3"/>
    <s v="Standing Desk"/>
    <s v="Furniture"/>
    <n v="540"/>
    <n v="320"/>
    <s v="Small Business"/>
    <n v="4320"/>
    <n v="2560"/>
    <n v="1760"/>
    <n v="0.40740740740740738"/>
  </r>
  <r>
    <s v="ORD-10613"/>
    <x v="389"/>
    <s v="CUST-0140"/>
    <s v="PROD-013"/>
    <x v="3"/>
    <s v="Retail Store"/>
    <n v="7"/>
    <n v="0.2"/>
    <s v="No"/>
    <n v="3"/>
    <n v="4"/>
    <s v="Phone Charger"/>
    <s v="Accessories"/>
    <n v="32"/>
    <n v="13"/>
    <s v="Consumer"/>
    <n v="179.20000000000002"/>
    <n v="91"/>
    <n v="88.200000000000017"/>
    <n v="0.49218750000000006"/>
  </r>
  <r>
    <s v="ORD-10614"/>
    <x v="63"/>
    <s v="CUST-0063"/>
    <s v="PROD-009"/>
    <x v="4"/>
    <s v="Online"/>
    <n v="7"/>
    <n v="0"/>
    <s v="No"/>
    <n v="5"/>
    <n v="4"/>
    <s v="Bookshelf"/>
    <s v="Furniture"/>
    <n v="185"/>
    <n v="105"/>
    <s v="Corporate"/>
    <n v="1295"/>
    <n v="735"/>
    <n v="560"/>
    <n v="0.43243243243243246"/>
  </r>
  <r>
    <s v="ORD-10615"/>
    <x v="179"/>
    <s v="CUST-0092"/>
    <s v="PROD-013"/>
    <x v="1"/>
    <s v="Online"/>
    <n v="1"/>
    <n v="0.05"/>
    <s v="No"/>
    <n v="5"/>
    <n v="5"/>
    <s v="Phone Charger"/>
    <s v="Accessories"/>
    <n v="32"/>
    <n v="13"/>
    <s v="Corporate"/>
    <n v="30.4"/>
    <n v="13"/>
    <n v="17.399999999999999"/>
    <n v="0.57236842105263153"/>
  </r>
  <r>
    <s v="ORD-10616"/>
    <x v="390"/>
    <s v="CUST-0239"/>
    <s v="PROD-007"/>
    <x v="3"/>
    <s v="Retail Store"/>
    <n v="2"/>
    <n v="0.05"/>
    <s v="No"/>
    <n v="4"/>
    <n v="1"/>
    <s v="Standing Desk"/>
    <s v="Furniture"/>
    <n v="540"/>
    <n v="320"/>
    <s v="Corporate"/>
    <n v="1026"/>
    <n v="640"/>
    <n v="386"/>
    <n v="0.37621832358674462"/>
  </r>
  <r>
    <s v="ORD-10617"/>
    <x v="319"/>
    <s v="CUST-0221"/>
    <s v="PROD-004"/>
    <x v="3"/>
    <s v="Online"/>
    <n v="2"/>
    <n v="0"/>
    <s v="No"/>
    <n v="4"/>
    <n v="3"/>
    <s v="Mouse"/>
    <s v="Technology"/>
    <n v="42"/>
    <n v="19"/>
    <s v="Small Business"/>
    <n v="84"/>
    <n v="38"/>
    <n v="46"/>
    <n v="0.54761904761904767"/>
  </r>
  <r>
    <s v="ORD-10618"/>
    <x v="149"/>
    <s v="CUST-0252"/>
    <s v="PROD-014"/>
    <x v="2"/>
    <s v="Retail Store"/>
    <n v="2"/>
    <n v="0"/>
    <s v="No"/>
    <n v="5"/>
    <n v="5"/>
    <s v="Printer Paper"/>
    <s v="Office Supplies"/>
    <n v="17"/>
    <n v="8"/>
    <s v="Corporate"/>
    <n v="34"/>
    <n v="16"/>
    <n v="18"/>
    <n v="0.52941176470588236"/>
  </r>
  <r>
    <s v="ORD-10619"/>
    <x v="49"/>
    <s v="CUST-0241"/>
    <s v="PROD-016"/>
    <x v="4"/>
    <s v="Online"/>
    <n v="1"/>
    <n v="0"/>
    <s v="No"/>
    <n v="4"/>
    <n v="3"/>
    <s v="Desk Organiser"/>
    <s v="Office Supplies"/>
    <n v="28"/>
    <n v="12"/>
    <s v="Consumer"/>
    <n v="28"/>
    <n v="12"/>
    <n v="16"/>
    <n v="0.5714285714285714"/>
  </r>
  <r>
    <s v="ORD-10620"/>
    <x v="391"/>
    <s v="CUST-0165"/>
    <s v="PROD-002"/>
    <x v="2"/>
    <s v="Online"/>
    <n v="5"/>
    <n v="0"/>
    <s v="No"/>
    <n v="1"/>
    <n v="7"/>
    <s v="Monitor"/>
    <s v="Technology"/>
    <n v="310"/>
    <n v="190"/>
    <s v="Small Business"/>
    <n v="1550"/>
    <n v="950"/>
    <n v="600"/>
    <n v="0.38709677419354838"/>
  </r>
  <r>
    <s v="ORD-10621"/>
    <x v="364"/>
    <s v="CUST-0220"/>
    <s v="PROD-012"/>
    <x v="0"/>
    <s v="Online"/>
    <n v="1"/>
    <n v="0"/>
    <s v="No"/>
    <n v="4"/>
    <n v="1"/>
    <s v="USB-C Hub"/>
    <s v="Accessories"/>
    <n v="68"/>
    <n v="31"/>
    <s v="Consumer"/>
    <n v="68"/>
    <n v="31"/>
    <n v="37"/>
    <n v="0.54411764705882348"/>
  </r>
  <r>
    <s v="ORD-10622"/>
    <x v="91"/>
    <s v="CUST-0157"/>
    <s v="PROD-004"/>
    <x v="3"/>
    <s v="Online"/>
    <n v="2"/>
    <n v="0.05"/>
    <s v="No"/>
    <n v="4"/>
    <n v="4"/>
    <s v="Mouse"/>
    <s v="Technology"/>
    <n v="42"/>
    <n v="19"/>
    <s v="Consumer"/>
    <n v="79.8"/>
    <n v="38"/>
    <n v="41.8"/>
    <n v="0.52380952380952384"/>
  </r>
  <r>
    <s v="ORD-10623"/>
    <x v="3"/>
    <s v="CUST-0011"/>
    <s v="PROD-016"/>
    <x v="4"/>
    <s v="B2B Sales"/>
    <n v="2"/>
    <n v="0"/>
    <s v="No"/>
    <n v="5"/>
    <n v="1"/>
    <s v="Desk Organiser"/>
    <s v="Office Supplies"/>
    <n v="28"/>
    <n v="12"/>
    <s v="Consumer"/>
    <n v="56"/>
    <n v="24"/>
    <n v="32"/>
    <n v="0.5714285714285714"/>
  </r>
  <r>
    <s v="ORD-10624"/>
    <x v="392"/>
    <s v="CUST-0173"/>
    <s v="PROD-016"/>
    <x v="4"/>
    <s v="Retail Store"/>
    <n v="2"/>
    <n v="0.05"/>
    <s v="No"/>
    <n v="4"/>
    <n v="4"/>
    <s v="Desk Organiser"/>
    <s v="Office Supplies"/>
    <n v="28"/>
    <n v="12"/>
    <s v="Consumer"/>
    <n v="53.199999999999996"/>
    <n v="24"/>
    <n v="29.199999999999996"/>
    <n v="0.54887218045112773"/>
  </r>
  <r>
    <s v="ORD-10625"/>
    <x v="393"/>
    <s v="CUST-0275"/>
    <s v="PROD-007"/>
    <x v="3"/>
    <s v="Online"/>
    <n v="8"/>
    <n v="0"/>
    <s v="No"/>
    <n v="5"/>
    <n v="1"/>
    <s v="Standing Desk"/>
    <s v="Furniture"/>
    <n v="540"/>
    <n v="320"/>
    <s v="Consumer"/>
    <n v="4320"/>
    <n v="2560"/>
    <n v="1760"/>
    <n v="0.40740740740740738"/>
  </r>
  <r>
    <s v="ORD-10626"/>
    <x v="284"/>
    <s v="CUST-0049"/>
    <s v="PROD-011"/>
    <x v="3"/>
    <s v="Retail Store"/>
    <n v="2"/>
    <n v="0"/>
    <s v="No"/>
    <n v="2"/>
    <n v="6"/>
    <s v="Backpack"/>
    <s v="Accessories"/>
    <n v="85"/>
    <n v="39"/>
    <s v="Corporate"/>
    <n v="170"/>
    <n v="78"/>
    <n v="92"/>
    <n v="0.54117647058823526"/>
  </r>
  <r>
    <s v="ORD-10627"/>
    <x v="262"/>
    <s v="CUST-0277"/>
    <s v="PROD-011"/>
    <x v="2"/>
    <s v="Online"/>
    <n v="3"/>
    <n v="0"/>
    <s v="No"/>
    <n v="3"/>
    <n v="1"/>
    <s v="Backpack"/>
    <s v="Accessories"/>
    <n v="85"/>
    <n v="39"/>
    <s v="Consumer"/>
    <n v="255"/>
    <n v="117"/>
    <n v="138"/>
    <n v="0.54117647058823526"/>
  </r>
  <r>
    <s v="ORD-10628"/>
    <x v="285"/>
    <s v="CUST-0096"/>
    <s v="PROD-016"/>
    <x v="2"/>
    <s v="B2B Sales"/>
    <n v="4"/>
    <n v="0.05"/>
    <s v="Yes"/>
    <n v="4"/>
    <n v="9"/>
    <s v="Desk Organiser"/>
    <s v="Office Supplies"/>
    <n v="28"/>
    <n v="12"/>
    <s v="Consumer"/>
    <n v="106.39999999999999"/>
    <n v="48"/>
    <n v="58.399999999999991"/>
    <n v="0.54887218045112773"/>
  </r>
  <r>
    <s v="ORD-10629"/>
    <x v="26"/>
    <s v="CUST-0031"/>
    <s v="PROD-007"/>
    <x v="3"/>
    <s v="Online"/>
    <n v="1"/>
    <n v="0.1"/>
    <s v="No"/>
    <n v="4"/>
    <n v="3"/>
    <s v="Standing Desk"/>
    <s v="Furniture"/>
    <n v="540"/>
    <n v="320"/>
    <s v="Small Business"/>
    <n v="486"/>
    <n v="320"/>
    <n v="166"/>
    <n v="0.34156378600823045"/>
  </r>
  <r>
    <s v="ORD-10630"/>
    <x v="369"/>
    <s v="CUST-0105"/>
    <s v="PROD-014"/>
    <x v="3"/>
    <s v="Online"/>
    <n v="1"/>
    <n v="0.1"/>
    <s v="No"/>
    <n v="3"/>
    <n v="2"/>
    <s v="Printer Paper"/>
    <s v="Office Supplies"/>
    <n v="17"/>
    <n v="8"/>
    <s v="Consumer"/>
    <n v="15.3"/>
    <n v="8"/>
    <n v="7.3000000000000007"/>
    <n v="0.47712418300653597"/>
  </r>
  <r>
    <s v="ORD-10631"/>
    <x v="313"/>
    <s v="CUST-0015"/>
    <s v="PROD-008"/>
    <x v="0"/>
    <s v="Online"/>
    <n v="2"/>
    <n v="0.2"/>
    <s v="No"/>
    <n v="5"/>
    <n v="2"/>
    <s v="Office Chair"/>
    <s v="Furniture"/>
    <n v="255"/>
    <n v="145"/>
    <s v="Corporate"/>
    <n v="408"/>
    <n v="290"/>
    <n v="118"/>
    <n v="0.28921568627450983"/>
  </r>
  <r>
    <s v="ORD-10632"/>
    <x v="217"/>
    <s v="CUST-0140"/>
    <s v="PROD-005"/>
    <x v="2"/>
    <s v="Retail Store"/>
    <n v="1"/>
    <n v="0.05"/>
    <s v="No"/>
    <n v="2"/>
    <n v="5"/>
    <s v="Webcam"/>
    <s v="Technology"/>
    <n v="115"/>
    <n v="58"/>
    <s v="Consumer"/>
    <n v="109.25"/>
    <n v="58"/>
    <n v="51.25"/>
    <n v="0.46910755148741418"/>
  </r>
  <r>
    <s v="ORD-10633"/>
    <x v="394"/>
    <s v="CUST-0043"/>
    <s v="PROD-011"/>
    <x v="1"/>
    <s v="B2B Sales"/>
    <n v="6"/>
    <n v="0"/>
    <s v="No"/>
    <n v="5"/>
    <n v="1"/>
    <s v="Backpack"/>
    <s v="Accessories"/>
    <n v="85"/>
    <n v="39"/>
    <s v="Consumer"/>
    <n v="510"/>
    <n v="234"/>
    <n v="276"/>
    <n v="0.54117647058823526"/>
  </r>
  <r>
    <s v="ORD-10634"/>
    <x v="395"/>
    <s v="CUST-0072"/>
    <s v="PROD-008"/>
    <x v="2"/>
    <s v="Retail Store"/>
    <n v="6"/>
    <n v="0.05"/>
    <s v="No"/>
    <n v="5"/>
    <n v="5"/>
    <s v="Office Chair"/>
    <s v="Furniture"/>
    <n v="255"/>
    <n v="145"/>
    <s v="Small Business"/>
    <n v="1453.5"/>
    <n v="870"/>
    <n v="583.5"/>
    <n v="0.40144478844169246"/>
  </r>
  <r>
    <s v="ORD-10635"/>
    <x v="396"/>
    <s v="CUST-0255"/>
    <s v="PROD-003"/>
    <x v="3"/>
    <s v="Online"/>
    <n v="4"/>
    <n v="0"/>
    <s v="No"/>
    <n v="4"/>
    <n v="2"/>
    <s v="Keyboard"/>
    <s v="Technology"/>
    <n v="75"/>
    <n v="38"/>
    <s v="Small Business"/>
    <n v="300"/>
    <n v="152"/>
    <n v="148"/>
    <n v="0.49333333333333335"/>
  </r>
  <r>
    <s v="ORD-10636"/>
    <x v="94"/>
    <s v="CUST-0112"/>
    <s v="PROD-005"/>
    <x v="2"/>
    <s v="Online"/>
    <n v="1"/>
    <n v="0"/>
    <s v="No"/>
    <n v="2"/>
    <n v="8"/>
    <s v="Webcam"/>
    <s v="Technology"/>
    <n v="115"/>
    <n v="58"/>
    <s v="Consumer"/>
    <n v="115"/>
    <n v="58"/>
    <n v="57"/>
    <n v="0.4956521739130435"/>
  </r>
  <r>
    <s v="ORD-10637"/>
    <x v="194"/>
    <s v="CUST-0163"/>
    <s v="PROD-014"/>
    <x v="4"/>
    <s v="Online"/>
    <n v="1"/>
    <n v="0.1"/>
    <s v="No"/>
    <n v="4"/>
    <n v="3"/>
    <s v="Printer Paper"/>
    <s v="Office Supplies"/>
    <n v="17"/>
    <n v="8"/>
    <s v="Consumer"/>
    <n v="15.3"/>
    <n v="8"/>
    <n v="7.3000000000000007"/>
    <n v="0.47712418300653597"/>
  </r>
  <r>
    <s v="ORD-10638"/>
    <x v="341"/>
    <s v="CUST-0011"/>
    <s v="PROD-002"/>
    <x v="0"/>
    <s v="Retail Store"/>
    <n v="7"/>
    <n v="0.1"/>
    <s v="No"/>
    <n v="3"/>
    <n v="5"/>
    <s v="Monitor"/>
    <s v="Technology"/>
    <n v="310"/>
    <n v="190"/>
    <s v="Consumer"/>
    <n v="1953"/>
    <n v="1330"/>
    <n v="623"/>
    <n v="0.31899641577060933"/>
  </r>
  <r>
    <s v="ORD-10639"/>
    <x v="353"/>
    <s v="CUST-0159"/>
    <s v="PROD-012"/>
    <x v="0"/>
    <s v="Retail Store"/>
    <n v="2"/>
    <n v="0"/>
    <s v="No"/>
    <n v="1"/>
    <n v="7"/>
    <s v="USB-C Hub"/>
    <s v="Accessories"/>
    <n v="68"/>
    <n v="31"/>
    <s v="Consumer"/>
    <n v="136"/>
    <n v="62"/>
    <n v="74"/>
    <n v="0.54411764705882348"/>
  </r>
  <r>
    <s v="ORD-10640"/>
    <x v="397"/>
    <s v="CUST-0047"/>
    <s v="PROD-008"/>
    <x v="3"/>
    <s v="B2B Sales"/>
    <n v="1"/>
    <n v="0"/>
    <s v="No"/>
    <n v="5"/>
    <n v="4"/>
    <s v="Office Chair"/>
    <s v="Furniture"/>
    <n v="255"/>
    <n v="145"/>
    <s v="Consumer"/>
    <n v="255"/>
    <n v="145"/>
    <n v="110"/>
    <n v="0.43137254901960786"/>
  </r>
  <r>
    <s v="ORD-10641"/>
    <x v="398"/>
    <s v="CUST-0141"/>
    <s v="PROD-003"/>
    <x v="0"/>
    <s v="B2B Sales"/>
    <n v="2"/>
    <n v="0"/>
    <s v="No"/>
    <n v="5"/>
    <n v="1"/>
    <s v="Keyboard"/>
    <s v="Technology"/>
    <n v="75"/>
    <n v="38"/>
    <s v="Consumer"/>
    <n v="150"/>
    <n v="76"/>
    <n v="74"/>
    <n v="0.49333333333333335"/>
  </r>
  <r>
    <s v="ORD-10642"/>
    <x v="224"/>
    <s v="CUST-0134"/>
    <s v="PROD-003"/>
    <x v="3"/>
    <s v="Retail Store"/>
    <n v="4"/>
    <n v="0.1"/>
    <s v="No"/>
    <n v="1"/>
    <n v="3"/>
    <s v="Keyboard"/>
    <s v="Technology"/>
    <n v="75"/>
    <n v="38"/>
    <s v="Small Business"/>
    <n v="270"/>
    <n v="152"/>
    <n v="118"/>
    <n v="0.43703703703703706"/>
  </r>
  <r>
    <s v="ORD-10643"/>
    <x v="96"/>
    <s v="CUST-0070"/>
    <s v="PROD-001"/>
    <x v="3"/>
    <s v="Retail Store"/>
    <n v="1"/>
    <n v="0"/>
    <s v="No"/>
    <n v="4"/>
    <n v="2"/>
    <s v="Laptop"/>
    <s v="Technology"/>
    <n v="1100"/>
    <n v="720"/>
    <s v="Consumer"/>
    <n v="1100"/>
    <n v="720"/>
    <n v="380"/>
    <n v="0.34545454545454546"/>
  </r>
  <r>
    <s v="ORD-10644"/>
    <x v="399"/>
    <s v="CUST-0164"/>
    <s v="PROD-015"/>
    <x v="4"/>
    <s v="Retail Store"/>
    <n v="1"/>
    <n v="0.1"/>
    <s v="No"/>
    <n v="5"/>
    <n v="2"/>
    <s v="File Folder Pack"/>
    <s v="Office Supplies"/>
    <n v="23"/>
    <n v="10"/>
    <s v="Small Business"/>
    <n v="20.7"/>
    <n v="10"/>
    <n v="10.7"/>
    <n v="0.51690821256038644"/>
  </r>
  <r>
    <s v="ORD-10645"/>
    <x v="400"/>
    <s v="CUST-0213"/>
    <s v="PROD-012"/>
    <x v="2"/>
    <s v="B2B Sales"/>
    <n v="7"/>
    <n v="0.15"/>
    <s v="No"/>
    <n v="5"/>
    <n v="5"/>
    <s v="USB-C Hub"/>
    <s v="Accessories"/>
    <n v="68"/>
    <n v="31"/>
    <s v="Consumer"/>
    <n v="404.59999999999997"/>
    <n v="217"/>
    <n v="187.59999999999997"/>
    <n v="0.4636678200692041"/>
  </r>
  <r>
    <s v="ORD-10646"/>
    <x v="401"/>
    <s v="CUST-0046"/>
    <s v="PROD-015"/>
    <x v="2"/>
    <s v="Retail Store"/>
    <n v="1"/>
    <n v="0"/>
    <s v="No"/>
    <n v="4"/>
    <n v="1"/>
    <s v="File Folder Pack"/>
    <s v="Office Supplies"/>
    <n v="23"/>
    <n v="10"/>
    <s v="Consumer"/>
    <n v="23"/>
    <n v="10"/>
    <n v="13"/>
    <n v="0.56521739130434778"/>
  </r>
  <r>
    <s v="ORD-10647"/>
    <x v="77"/>
    <s v="CUST-0088"/>
    <s v="PROD-004"/>
    <x v="2"/>
    <s v="Retail Store"/>
    <n v="4"/>
    <n v="0.15"/>
    <s v="No"/>
    <n v="4"/>
    <n v="2"/>
    <s v="Mouse"/>
    <s v="Technology"/>
    <n v="42"/>
    <n v="19"/>
    <s v="Corporate"/>
    <n v="142.79999999999998"/>
    <n v="76"/>
    <n v="66.799999999999983"/>
    <n v="0.46778711484593832"/>
  </r>
  <r>
    <s v="ORD-10648"/>
    <x v="328"/>
    <s v="CUST-0098"/>
    <s v="PROD-009"/>
    <x v="3"/>
    <s v="Retail Store"/>
    <n v="1"/>
    <n v="0.15"/>
    <s v="No"/>
    <n v="5"/>
    <n v="3"/>
    <s v="Bookshelf"/>
    <s v="Furniture"/>
    <n v="185"/>
    <n v="105"/>
    <s v="Corporate"/>
    <n v="157.25"/>
    <n v="105"/>
    <n v="52.25"/>
    <n v="0.33227344992050872"/>
  </r>
  <r>
    <s v="ORD-10649"/>
    <x v="402"/>
    <s v="CUST-0215"/>
    <s v="PROD-006"/>
    <x v="3"/>
    <s v="Online"/>
    <n v="1"/>
    <n v="0"/>
    <s v="No"/>
    <n v="5"/>
    <n v="3"/>
    <s v="Headset"/>
    <s v="Technology"/>
    <n v="98"/>
    <n v="46"/>
    <s v="Small Business"/>
    <n v="98"/>
    <n v="46"/>
    <n v="52"/>
    <n v="0.53061224489795922"/>
  </r>
  <r>
    <s v="ORD-10650"/>
    <x v="231"/>
    <s v="CUST-0235"/>
    <s v="PROD-003"/>
    <x v="2"/>
    <s v="Online"/>
    <n v="2"/>
    <n v="0.1"/>
    <s v="No"/>
    <n v="5"/>
    <n v="4"/>
    <s v="Keyboard"/>
    <s v="Technology"/>
    <n v="75"/>
    <n v="38"/>
    <s v="Consumer"/>
    <n v="135"/>
    <n v="76"/>
    <n v="59"/>
    <n v="0.43703703703703706"/>
  </r>
  <r>
    <s v="ORD-10651"/>
    <x v="24"/>
    <s v="CUST-0038"/>
    <s v="PROD-004"/>
    <x v="4"/>
    <s v="Online"/>
    <n v="6"/>
    <n v="0.05"/>
    <s v="No"/>
    <n v="4"/>
    <n v="5"/>
    <s v="Mouse"/>
    <s v="Technology"/>
    <n v="42"/>
    <n v="19"/>
    <s v="Corporate"/>
    <n v="239.39999999999998"/>
    <n v="114"/>
    <n v="125.39999999999998"/>
    <n v="0.52380952380952372"/>
  </r>
  <r>
    <s v="ORD-10652"/>
    <x v="123"/>
    <s v="CUST-0003"/>
    <s v="PROD-009"/>
    <x v="4"/>
    <s v="Online"/>
    <n v="8"/>
    <n v="0.1"/>
    <s v="No"/>
    <n v="5"/>
    <n v="1"/>
    <s v="Bookshelf"/>
    <s v="Furniture"/>
    <n v="185"/>
    <n v="105"/>
    <s v="Consumer"/>
    <n v="1332"/>
    <n v="840"/>
    <n v="492"/>
    <n v="0.36936936936936937"/>
  </r>
  <r>
    <s v="ORD-10653"/>
    <x v="88"/>
    <s v="CUST-0092"/>
    <s v="PROD-009"/>
    <x v="2"/>
    <s v="Retail Store"/>
    <n v="2"/>
    <n v="0.05"/>
    <s v="No"/>
    <n v="5"/>
    <n v="4"/>
    <s v="Bookshelf"/>
    <s v="Furniture"/>
    <n v="185"/>
    <n v="105"/>
    <s v="Corporate"/>
    <n v="351.5"/>
    <n v="210"/>
    <n v="141.5"/>
    <n v="0.40256045519203415"/>
  </r>
  <r>
    <s v="ORD-10654"/>
    <x v="213"/>
    <s v="CUST-0134"/>
    <s v="PROD-004"/>
    <x v="3"/>
    <s v="B2B Sales"/>
    <n v="2"/>
    <n v="0.2"/>
    <s v="No"/>
    <n v="4"/>
    <n v="4"/>
    <s v="Mouse"/>
    <s v="Technology"/>
    <n v="42"/>
    <n v="19"/>
    <s v="Small Business"/>
    <n v="67.2"/>
    <n v="38"/>
    <n v="29.200000000000003"/>
    <n v="0.43452380952380953"/>
  </r>
  <r>
    <s v="ORD-10655"/>
    <x v="238"/>
    <s v="CUST-0135"/>
    <s v="PROD-009"/>
    <x v="4"/>
    <s v="Online"/>
    <n v="1"/>
    <n v="0.1"/>
    <s v="No"/>
    <n v="5"/>
    <n v="5"/>
    <s v="Bookshelf"/>
    <s v="Furniture"/>
    <n v="185"/>
    <n v="105"/>
    <s v="Consumer"/>
    <n v="166.5"/>
    <n v="105"/>
    <n v="61.5"/>
    <n v="0.36936936936936937"/>
  </r>
  <r>
    <s v="ORD-10656"/>
    <x v="226"/>
    <s v="CUST-0028"/>
    <s v="PROD-007"/>
    <x v="2"/>
    <s v="Online"/>
    <n v="1"/>
    <n v="0"/>
    <s v="No"/>
    <n v="4"/>
    <n v="4"/>
    <s v="Standing Desk"/>
    <s v="Furniture"/>
    <n v="540"/>
    <n v="320"/>
    <s v="Consumer"/>
    <n v="540"/>
    <n v="320"/>
    <n v="220"/>
    <n v="0.40740740740740738"/>
  </r>
  <r>
    <s v="ORD-10657"/>
    <x v="282"/>
    <s v="CUST-0227"/>
    <s v="PROD-012"/>
    <x v="0"/>
    <s v="Retail Store"/>
    <n v="2"/>
    <n v="0"/>
    <s v="No"/>
    <n v="3"/>
    <n v="3"/>
    <s v="USB-C Hub"/>
    <s v="Accessories"/>
    <n v="68"/>
    <n v="31"/>
    <s v="Corporate"/>
    <n v="136"/>
    <n v="62"/>
    <n v="74"/>
    <n v="0.54411764705882348"/>
  </r>
  <r>
    <s v="ORD-10658"/>
    <x v="170"/>
    <s v="CUST-0105"/>
    <s v="PROD-010"/>
    <x v="2"/>
    <s v="Online"/>
    <n v="2"/>
    <n v="0"/>
    <s v="No"/>
    <n v="4"/>
    <n v="5"/>
    <s v="Laptop Stand"/>
    <s v="Accessories"/>
    <n v="48"/>
    <n v="22"/>
    <s v="Consumer"/>
    <n v="96"/>
    <n v="44"/>
    <n v="52"/>
    <n v="0.54166666666666663"/>
  </r>
  <r>
    <s v="ORD-10659"/>
    <x v="403"/>
    <s v="CUST-0270"/>
    <s v="PROD-006"/>
    <x v="3"/>
    <s v="Online"/>
    <n v="4"/>
    <n v="0.1"/>
    <s v="No"/>
    <n v="1"/>
    <n v="5"/>
    <s v="Headset"/>
    <s v="Technology"/>
    <n v="98"/>
    <n v="46"/>
    <s v="Consumer"/>
    <n v="352.8"/>
    <n v="184"/>
    <n v="168.8"/>
    <n v="0.47845804988662133"/>
  </r>
  <r>
    <s v="ORD-10660"/>
    <x v="169"/>
    <s v="CUST-0055"/>
    <s v="PROD-011"/>
    <x v="2"/>
    <s v="Online"/>
    <n v="5"/>
    <n v="0.05"/>
    <s v="No"/>
    <n v="5"/>
    <n v="5"/>
    <s v="Backpack"/>
    <s v="Accessories"/>
    <n v="85"/>
    <n v="39"/>
    <s v="Corporate"/>
    <n v="403.75"/>
    <n v="195"/>
    <n v="208.75"/>
    <n v="0.51702786377708976"/>
  </r>
  <r>
    <s v="ORD-10661"/>
    <x v="404"/>
    <s v="CUST-0169"/>
    <s v="PROD-002"/>
    <x v="1"/>
    <s v="B2B Sales"/>
    <n v="2"/>
    <n v="0.1"/>
    <s v="No"/>
    <n v="5"/>
    <n v="5"/>
    <s v="Monitor"/>
    <s v="Technology"/>
    <n v="310"/>
    <n v="190"/>
    <s v="Consumer"/>
    <n v="558"/>
    <n v="380"/>
    <n v="178"/>
    <n v="0.31899641577060933"/>
  </r>
  <r>
    <s v="ORD-10662"/>
    <x v="119"/>
    <s v="CUST-0109"/>
    <s v="PROD-002"/>
    <x v="0"/>
    <s v="Online"/>
    <n v="4"/>
    <n v="0.1"/>
    <s v="No"/>
    <n v="4"/>
    <n v="1"/>
    <s v="Monitor"/>
    <s v="Technology"/>
    <n v="310"/>
    <n v="190"/>
    <s v="Consumer"/>
    <n v="1116"/>
    <n v="760"/>
    <n v="356"/>
    <n v="0.31899641577060933"/>
  </r>
  <r>
    <s v="ORD-10663"/>
    <x v="405"/>
    <s v="CUST-0131"/>
    <s v="PROD-006"/>
    <x v="3"/>
    <s v="Retail Store"/>
    <n v="2"/>
    <n v="0"/>
    <s v="No"/>
    <n v="4"/>
    <n v="4"/>
    <s v="Headset"/>
    <s v="Technology"/>
    <n v="98"/>
    <n v="46"/>
    <s v="Consumer"/>
    <n v="196"/>
    <n v="92"/>
    <n v="104"/>
    <n v="0.53061224489795922"/>
  </r>
  <r>
    <s v="ORD-10664"/>
    <x v="391"/>
    <s v="CUST-0079"/>
    <s v="PROD-004"/>
    <x v="3"/>
    <s v="Retail Store"/>
    <n v="4"/>
    <n v="0.15"/>
    <s v="No"/>
    <n v="4"/>
    <n v="3"/>
    <s v="Mouse"/>
    <s v="Technology"/>
    <n v="42"/>
    <n v="19"/>
    <s v="Consumer"/>
    <n v="142.79999999999998"/>
    <n v="76"/>
    <n v="66.799999999999983"/>
    <n v="0.46778711484593832"/>
  </r>
  <r>
    <s v="ORD-10665"/>
    <x v="386"/>
    <s v="CUST-0189"/>
    <s v="PROD-007"/>
    <x v="4"/>
    <s v="B2B Sales"/>
    <n v="2"/>
    <n v="0.05"/>
    <s v="No"/>
    <n v="5"/>
    <n v="3"/>
    <s v="Standing Desk"/>
    <s v="Furniture"/>
    <n v="540"/>
    <n v="320"/>
    <s v="Consumer"/>
    <n v="1026"/>
    <n v="640"/>
    <n v="386"/>
    <n v="0.37621832358674462"/>
  </r>
  <r>
    <s v="ORD-10666"/>
    <x v="406"/>
    <s v="CUST-0223"/>
    <s v="PROD-014"/>
    <x v="2"/>
    <s v="Retail Store"/>
    <n v="8"/>
    <n v="0.1"/>
    <s v="No"/>
    <n v="5"/>
    <n v="4"/>
    <s v="Printer Paper"/>
    <s v="Office Supplies"/>
    <n v="17"/>
    <n v="8"/>
    <s v="Corporate"/>
    <n v="122.4"/>
    <n v="64"/>
    <n v="58.400000000000006"/>
    <n v="0.47712418300653597"/>
  </r>
  <r>
    <s v="ORD-10667"/>
    <x v="407"/>
    <s v="CUST-0269"/>
    <s v="PROD-003"/>
    <x v="3"/>
    <s v="Online"/>
    <n v="6"/>
    <n v="0.05"/>
    <s v="No"/>
    <n v="3"/>
    <n v="3"/>
    <s v="Keyboard"/>
    <s v="Technology"/>
    <n v="75"/>
    <n v="38"/>
    <s v="Corporate"/>
    <n v="427.5"/>
    <n v="228"/>
    <n v="199.5"/>
    <n v="0.46666666666666667"/>
  </r>
  <r>
    <s v="ORD-10668"/>
    <x v="408"/>
    <s v="CUST-0268"/>
    <s v="PROD-014"/>
    <x v="3"/>
    <s v="Online"/>
    <n v="1"/>
    <n v="0"/>
    <s v="No"/>
    <n v="4"/>
    <n v="1"/>
    <s v="Printer Paper"/>
    <s v="Office Supplies"/>
    <n v="17"/>
    <n v="8"/>
    <s v="Small Business"/>
    <n v="17"/>
    <n v="8"/>
    <n v="9"/>
    <n v="0.52941176470588236"/>
  </r>
  <r>
    <s v="ORD-10669"/>
    <x v="29"/>
    <s v="CUST-0292"/>
    <s v="PROD-009"/>
    <x v="3"/>
    <s v="Retail Store"/>
    <n v="4"/>
    <n v="0"/>
    <s v="No"/>
    <n v="4"/>
    <n v="2"/>
    <s v="Bookshelf"/>
    <s v="Furniture"/>
    <n v="185"/>
    <n v="105"/>
    <s v="Corporate"/>
    <n v="740"/>
    <n v="420"/>
    <n v="320"/>
    <n v="0.43243243243243246"/>
  </r>
  <r>
    <s v="ORD-10670"/>
    <x v="154"/>
    <s v="CUST-0024"/>
    <s v="PROD-003"/>
    <x v="3"/>
    <s v="Retail Store"/>
    <n v="1"/>
    <n v="0.1"/>
    <s v="No"/>
    <n v="4"/>
    <n v="3"/>
    <s v="Keyboard"/>
    <s v="Technology"/>
    <n v="75"/>
    <n v="38"/>
    <s v="Consumer"/>
    <n v="67.5"/>
    <n v="38"/>
    <n v="29.5"/>
    <n v="0.43703703703703706"/>
  </r>
  <r>
    <s v="ORD-10671"/>
    <x v="331"/>
    <s v="CUST-0096"/>
    <s v="PROD-007"/>
    <x v="2"/>
    <s v="Retail Store"/>
    <n v="3"/>
    <n v="0.15"/>
    <s v="No"/>
    <n v="4"/>
    <n v="1"/>
    <s v="Standing Desk"/>
    <s v="Furniture"/>
    <n v="540"/>
    <n v="320"/>
    <s v="Consumer"/>
    <n v="1377"/>
    <n v="960"/>
    <n v="417"/>
    <n v="0.30283224400871461"/>
  </r>
  <r>
    <s v="ORD-10672"/>
    <x v="308"/>
    <s v="CUST-0060"/>
    <s v="PROD-001"/>
    <x v="2"/>
    <s v="Online"/>
    <n v="3"/>
    <n v="0.15"/>
    <s v="Yes"/>
    <n v="4"/>
    <n v="7"/>
    <s v="Laptop"/>
    <s v="Technology"/>
    <n v="1100"/>
    <n v="720"/>
    <s v="Consumer"/>
    <n v="2805"/>
    <n v="2160"/>
    <n v="645"/>
    <n v="0.22994652406417113"/>
  </r>
  <r>
    <s v="ORD-10673"/>
    <x v="177"/>
    <s v="CUST-0203"/>
    <s v="PROD-010"/>
    <x v="2"/>
    <s v="Online"/>
    <n v="1"/>
    <n v="0.1"/>
    <s v="No"/>
    <n v="3"/>
    <n v="1"/>
    <s v="Laptop Stand"/>
    <s v="Accessories"/>
    <n v="48"/>
    <n v="22"/>
    <s v="Small Business"/>
    <n v="43.2"/>
    <n v="22"/>
    <n v="21.200000000000003"/>
    <n v="0.49074074074074076"/>
  </r>
  <r>
    <s v="ORD-10674"/>
    <x v="409"/>
    <s v="CUST-0247"/>
    <s v="PROD-005"/>
    <x v="1"/>
    <s v="Online"/>
    <n v="3"/>
    <n v="0.1"/>
    <s v="No"/>
    <n v="4"/>
    <n v="4"/>
    <s v="Webcam"/>
    <s v="Technology"/>
    <n v="115"/>
    <n v="58"/>
    <s v="Consumer"/>
    <n v="310.5"/>
    <n v="174"/>
    <n v="136.5"/>
    <n v="0.43961352657004832"/>
  </r>
  <r>
    <s v="ORD-10675"/>
    <x v="215"/>
    <s v="CUST-0243"/>
    <s v="PROD-014"/>
    <x v="2"/>
    <s v="Online"/>
    <n v="1"/>
    <n v="0.1"/>
    <s v="Yes"/>
    <n v="4"/>
    <n v="6"/>
    <s v="Printer Paper"/>
    <s v="Office Supplies"/>
    <n v="17"/>
    <n v="8"/>
    <s v="Corporate"/>
    <n v="15.3"/>
    <n v="8"/>
    <n v="7.3000000000000007"/>
    <n v="0.47712418300653597"/>
  </r>
  <r>
    <s v="ORD-10676"/>
    <x v="229"/>
    <s v="CUST-0151"/>
    <s v="PROD-013"/>
    <x v="2"/>
    <s v="Online"/>
    <n v="3"/>
    <n v="0.1"/>
    <s v="Yes"/>
    <n v="5"/>
    <n v="8"/>
    <s v="Phone Charger"/>
    <s v="Accessories"/>
    <n v="32"/>
    <n v="13"/>
    <s v="Small Business"/>
    <n v="86.4"/>
    <n v="39"/>
    <n v="47.400000000000006"/>
    <n v="0.54861111111111116"/>
  </r>
  <r>
    <s v="ORD-10677"/>
    <x v="50"/>
    <s v="CUST-0250"/>
    <s v="PROD-013"/>
    <x v="4"/>
    <s v="Retail Store"/>
    <n v="3"/>
    <n v="0.1"/>
    <s v="No"/>
    <n v="4"/>
    <n v="1"/>
    <s v="Phone Charger"/>
    <s v="Accessories"/>
    <n v="32"/>
    <n v="13"/>
    <s v="Consumer"/>
    <n v="86.4"/>
    <n v="39"/>
    <n v="47.400000000000006"/>
    <n v="0.54861111111111116"/>
  </r>
  <r>
    <s v="ORD-10678"/>
    <x v="410"/>
    <s v="CUST-0010"/>
    <s v="PROD-014"/>
    <x v="4"/>
    <s v="Retail Store"/>
    <n v="1"/>
    <n v="0.05"/>
    <s v="No"/>
    <n v="3"/>
    <n v="5"/>
    <s v="Printer Paper"/>
    <s v="Office Supplies"/>
    <n v="17"/>
    <n v="8"/>
    <s v="Consumer"/>
    <n v="16.149999999999999"/>
    <n v="8"/>
    <n v="8.1499999999999986"/>
    <n v="0.50464396284829716"/>
  </r>
  <r>
    <s v="ORD-10679"/>
    <x v="221"/>
    <s v="CUST-0230"/>
    <s v="PROD-014"/>
    <x v="2"/>
    <s v="Online"/>
    <n v="1"/>
    <n v="0"/>
    <s v="No"/>
    <n v="3"/>
    <n v="3"/>
    <s v="Printer Paper"/>
    <s v="Office Supplies"/>
    <n v="17"/>
    <n v="8"/>
    <s v="Small Business"/>
    <n v="17"/>
    <n v="8"/>
    <n v="9"/>
    <n v="0.52941176470588236"/>
  </r>
  <r>
    <s v="ORD-10680"/>
    <x v="320"/>
    <s v="CUST-0068"/>
    <s v="PROD-010"/>
    <x v="1"/>
    <s v="Online"/>
    <n v="2"/>
    <n v="0.2"/>
    <s v="No"/>
    <n v="4"/>
    <n v="4"/>
    <s v="Laptop Stand"/>
    <s v="Accessories"/>
    <n v="48"/>
    <n v="22"/>
    <s v="Consumer"/>
    <n v="76.800000000000011"/>
    <n v="44"/>
    <n v="32.800000000000011"/>
    <n v="0.42708333333333343"/>
  </r>
  <r>
    <s v="ORD-10681"/>
    <x v="375"/>
    <s v="CUST-0107"/>
    <s v="PROD-010"/>
    <x v="1"/>
    <s v="Online"/>
    <n v="2"/>
    <n v="0"/>
    <s v="No"/>
    <n v="4"/>
    <n v="4"/>
    <s v="Laptop Stand"/>
    <s v="Accessories"/>
    <n v="48"/>
    <n v="22"/>
    <s v="Consumer"/>
    <n v="96"/>
    <n v="44"/>
    <n v="52"/>
    <n v="0.54166666666666663"/>
  </r>
  <r>
    <s v="ORD-10682"/>
    <x v="143"/>
    <s v="CUST-0156"/>
    <s v="PROD-008"/>
    <x v="2"/>
    <s v="Online"/>
    <n v="1"/>
    <n v="0.15"/>
    <s v="No"/>
    <n v="3"/>
    <n v="5"/>
    <s v="Office Chair"/>
    <s v="Furniture"/>
    <n v="255"/>
    <n v="145"/>
    <s v="Consumer"/>
    <n v="216.75"/>
    <n v="145"/>
    <n v="71.75"/>
    <n v="0.33102652825836215"/>
  </r>
  <r>
    <s v="ORD-10683"/>
    <x v="319"/>
    <s v="CUST-0033"/>
    <s v="PROD-011"/>
    <x v="4"/>
    <s v="Retail Store"/>
    <n v="1"/>
    <n v="0"/>
    <s v="No"/>
    <n v="4"/>
    <n v="3"/>
    <s v="Backpack"/>
    <s v="Accessories"/>
    <n v="85"/>
    <n v="39"/>
    <s v="Corporate"/>
    <n v="85"/>
    <n v="39"/>
    <n v="46"/>
    <n v="0.54117647058823526"/>
  </r>
  <r>
    <s v="ORD-10684"/>
    <x v="261"/>
    <s v="CUST-0286"/>
    <s v="PROD-009"/>
    <x v="0"/>
    <s v="B2B Sales"/>
    <n v="5"/>
    <n v="0.05"/>
    <s v="No"/>
    <n v="2"/>
    <n v="8"/>
    <s v="Bookshelf"/>
    <s v="Furniture"/>
    <n v="185"/>
    <n v="105"/>
    <s v="Small Business"/>
    <n v="878.75"/>
    <n v="525"/>
    <n v="353.75"/>
    <n v="0.40256045519203415"/>
  </r>
  <r>
    <s v="ORD-10685"/>
    <x v="411"/>
    <s v="CUST-0055"/>
    <s v="PROD-004"/>
    <x v="0"/>
    <s v="Online"/>
    <n v="1"/>
    <n v="0.05"/>
    <s v="No"/>
    <n v="5"/>
    <n v="2"/>
    <s v="Mouse"/>
    <s v="Technology"/>
    <n v="42"/>
    <n v="19"/>
    <s v="Corporate"/>
    <n v="39.9"/>
    <n v="19"/>
    <n v="20.9"/>
    <n v="0.52380952380952384"/>
  </r>
  <r>
    <s v="ORD-10686"/>
    <x v="193"/>
    <s v="CUST-0227"/>
    <s v="PROD-016"/>
    <x v="1"/>
    <s v="Online"/>
    <n v="3"/>
    <n v="0"/>
    <s v="No"/>
    <n v="5"/>
    <n v="4"/>
    <s v="Desk Organiser"/>
    <s v="Office Supplies"/>
    <n v="28"/>
    <n v="12"/>
    <s v="Corporate"/>
    <n v="84"/>
    <n v="36"/>
    <n v="48"/>
    <n v="0.5714285714285714"/>
  </r>
  <r>
    <s v="ORD-10687"/>
    <x v="148"/>
    <s v="CUST-0004"/>
    <s v="PROD-008"/>
    <x v="0"/>
    <s v="Online"/>
    <n v="1"/>
    <n v="0"/>
    <s v="No"/>
    <n v="5"/>
    <n v="4"/>
    <s v="Office Chair"/>
    <s v="Furniture"/>
    <n v="255"/>
    <n v="145"/>
    <s v="Consumer"/>
    <n v="255"/>
    <n v="145"/>
    <n v="110"/>
    <n v="0.43137254901960786"/>
  </r>
  <r>
    <s v="ORD-10688"/>
    <x v="177"/>
    <s v="CUST-0126"/>
    <s v="PROD-005"/>
    <x v="1"/>
    <s v="Retail Store"/>
    <n v="4"/>
    <n v="0"/>
    <s v="No"/>
    <n v="5"/>
    <n v="4"/>
    <s v="Webcam"/>
    <s v="Technology"/>
    <n v="115"/>
    <n v="58"/>
    <s v="Consumer"/>
    <n v="460"/>
    <n v="232"/>
    <n v="228"/>
    <n v="0.4956521739130435"/>
  </r>
  <r>
    <s v="ORD-10689"/>
    <x v="285"/>
    <s v="CUST-0186"/>
    <s v="PROD-001"/>
    <x v="4"/>
    <s v="Retail Store"/>
    <n v="4"/>
    <n v="0.05"/>
    <s v="No"/>
    <n v="4"/>
    <n v="4"/>
    <s v="Laptop"/>
    <s v="Technology"/>
    <n v="1100"/>
    <n v="720"/>
    <s v="Consumer"/>
    <n v="4180"/>
    <n v="2880"/>
    <n v="1300"/>
    <n v="0.31100478468899523"/>
  </r>
  <r>
    <s v="ORD-10690"/>
    <x v="149"/>
    <s v="CUST-0223"/>
    <s v="PROD-002"/>
    <x v="3"/>
    <s v="Online"/>
    <n v="6"/>
    <n v="0"/>
    <s v="No"/>
    <n v="5"/>
    <n v="5"/>
    <s v="Monitor"/>
    <s v="Technology"/>
    <n v="310"/>
    <n v="190"/>
    <s v="Corporate"/>
    <n v="1860"/>
    <n v="1140"/>
    <n v="720"/>
    <n v="0.38709677419354838"/>
  </r>
  <r>
    <s v="ORD-10691"/>
    <x v="276"/>
    <s v="CUST-0215"/>
    <s v="PROD-013"/>
    <x v="0"/>
    <s v="Retail Store"/>
    <n v="5"/>
    <n v="0.1"/>
    <s v="No"/>
    <n v="4"/>
    <n v="3"/>
    <s v="Phone Charger"/>
    <s v="Accessories"/>
    <n v="32"/>
    <n v="13"/>
    <s v="Small Business"/>
    <n v="144"/>
    <n v="65"/>
    <n v="79"/>
    <n v="0.54861111111111116"/>
  </r>
  <r>
    <s v="ORD-10692"/>
    <x v="410"/>
    <s v="CUST-0076"/>
    <s v="PROD-013"/>
    <x v="4"/>
    <s v="Online"/>
    <n v="2"/>
    <n v="0.1"/>
    <s v="No"/>
    <n v="5"/>
    <n v="4"/>
    <s v="Phone Charger"/>
    <s v="Accessories"/>
    <n v="32"/>
    <n v="13"/>
    <s v="Consumer"/>
    <n v="57.6"/>
    <n v="26"/>
    <n v="31.6"/>
    <n v="0.54861111111111116"/>
  </r>
  <r>
    <s v="ORD-10693"/>
    <x v="40"/>
    <s v="CUST-0155"/>
    <s v="PROD-003"/>
    <x v="2"/>
    <s v="Online"/>
    <n v="4"/>
    <n v="0.1"/>
    <s v="No"/>
    <n v="5"/>
    <n v="3"/>
    <s v="Keyboard"/>
    <s v="Technology"/>
    <n v="75"/>
    <n v="38"/>
    <s v="Consumer"/>
    <n v="270"/>
    <n v="152"/>
    <n v="118"/>
    <n v="0.43703703703703706"/>
  </r>
  <r>
    <s v="ORD-10694"/>
    <x v="412"/>
    <s v="CUST-0048"/>
    <s v="PROD-010"/>
    <x v="4"/>
    <s v="Retail Store"/>
    <n v="1"/>
    <n v="0"/>
    <s v="No"/>
    <n v="4"/>
    <n v="2"/>
    <s v="Laptop Stand"/>
    <s v="Accessories"/>
    <n v="48"/>
    <n v="22"/>
    <s v="Consumer"/>
    <n v="48"/>
    <n v="22"/>
    <n v="26"/>
    <n v="0.54166666666666663"/>
  </r>
  <r>
    <s v="ORD-10695"/>
    <x v="356"/>
    <s v="CUST-0217"/>
    <s v="PROD-004"/>
    <x v="1"/>
    <s v="B2B Sales"/>
    <n v="1"/>
    <n v="0.05"/>
    <s v="No"/>
    <n v="5"/>
    <n v="1"/>
    <s v="Mouse"/>
    <s v="Technology"/>
    <n v="42"/>
    <n v="19"/>
    <s v="Corporate"/>
    <n v="39.9"/>
    <n v="19"/>
    <n v="20.9"/>
    <n v="0.52380952380952384"/>
  </r>
  <r>
    <s v="ORD-10696"/>
    <x v="153"/>
    <s v="CUST-0153"/>
    <s v="PROD-001"/>
    <x v="4"/>
    <s v="B2B Sales"/>
    <n v="4"/>
    <n v="0.2"/>
    <s v="No"/>
    <n v="5"/>
    <n v="5"/>
    <s v="Laptop"/>
    <s v="Technology"/>
    <n v="1100"/>
    <n v="720"/>
    <s v="Consumer"/>
    <n v="3520"/>
    <n v="2880"/>
    <n v="640"/>
    <n v="0.18181818181818182"/>
  </r>
  <r>
    <s v="ORD-10697"/>
    <x v="201"/>
    <s v="CUST-0180"/>
    <s v="PROD-010"/>
    <x v="3"/>
    <s v="Retail Store"/>
    <n v="4"/>
    <n v="0.1"/>
    <s v="No"/>
    <n v="4"/>
    <n v="2"/>
    <s v="Laptop Stand"/>
    <s v="Accessories"/>
    <n v="48"/>
    <n v="22"/>
    <s v="Consumer"/>
    <n v="172.8"/>
    <n v="88"/>
    <n v="84.800000000000011"/>
    <n v="0.49074074074074076"/>
  </r>
  <r>
    <s v="ORD-10698"/>
    <x v="413"/>
    <s v="CUST-0168"/>
    <s v="PROD-007"/>
    <x v="0"/>
    <s v="Online"/>
    <n v="1"/>
    <n v="0.1"/>
    <s v="No"/>
    <n v="2"/>
    <n v="5"/>
    <s v="Standing Desk"/>
    <s v="Furniture"/>
    <n v="540"/>
    <n v="320"/>
    <s v="Corporate"/>
    <n v="486"/>
    <n v="320"/>
    <n v="166"/>
    <n v="0.34156378600823045"/>
  </r>
  <r>
    <s v="ORD-10699"/>
    <x v="199"/>
    <s v="CUST-0244"/>
    <s v="PROD-007"/>
    <x v="4"/>
    <s v="Online"/>
    <n v="2"/>
    <n v="0.05"/>
    <s v="No"/>
    <n v="4"/>
    <n v="3"/>
    <s v="Standing Desk"/>
    <s v="Furniture"/>
    <n v="540"/>
    <n v="320"/>
    <s v="Small Business"/>
    <n v="1026"/>
    <n v="640"/>
    <n v="386"/>
    <n v="0.37621832358674462"/>
  </r>
  <r>
    <s v="ORD-10700"/>
    <x v="414"/>
    <s v="CUST-0256"/>
    <s v="PROD-014"/>
    <x v="0"/>
    <s v="Retail Store"/>
    <n v="7"/>
    <n v="0.1"/>
    <s v="No"/>
    <n v="3"/>
    <n v="5"/>
    <s v="Printer Paper"/>
    <s v="Office Supplies"/>
    <n v="17"/>
    <n v="8"/>
    <s v="Small Business"/>
    <n v="107.10000000000001"/>
    <n v="56"/>
    <n v="51.100000000000009"/>
    <n v="0.47712418300653597"/>
  </r>
  <r>
    <s v="ORD-10701"/>
    <x v="415"/>
    <s v="CUST-0249"/>
    <s v="PROD-015"/>
    <x v="2"/>
    <s v="Retail Store"/>
    <n v="5"/>
    <n v="0"/>
    <s v="No"/>
    <n v="4"/>
    <n v="2"/>
    <s v="File Folder Pack"/>
    <s v="Office Supplies"/>
    <n v="23"/>
    <n v="10"/>
    <s v="Corporate"/>
    <n v="115"/>
    <n v="50"/>
    <n v="65"/>
    <n v="0.56521739130434778"/>
  </r>
  <r>
    <s v="ORD-10702"/>
    <x v="161"/>
    <s v="CUST-0190"/>
    <s v="PROD-004"/>
    <x v="1"/>
    <s v="Online"/>
    <n v="1"/>
    <n v="0.05"/>
    <s v="No"/>
    <n v="3"/>
    <n v="3"/>
    <s v="Mouse"/>
    <s v="Technology"/>
    <n v="42"/>
    <n v="19"/>
    <s v="Consumer"/>
    <n v="39.9"/>
    <n v="19"/>
    <n v="20.9"/>
    <n v="0.52380952380952384"/>
  </r>
  <r>
    <s v="ORD-10703"/>
    <x v="330"/>
    <s v="CUST-0192"/>
    <s v="PROD-010"/>
    <x v="3"/>
    <s v="Online"/>
    <n v="1"/>
    <n v="0.1"/>
    <s v="No"/>
    <n v="5"/>
    <n v="3"/>
    <s v="Laptop Stand"/>
    <s v="Accessories"/>
    <n v="48"/>
    <n v="22"/>
    <s v="Consumer"/>
    <n v="43.2"/>
    <n v="22"/>
    <n v="21.200000000000003"/>
    <n v="0.49074074074074076"/>
  </r>
  <r>
    <s v="ORD-10704"/>
    <x v="365"/>
    <s v="CUST-0111"/>
    <s v="PROD-006"/>
    <x v="0"/>
    <s v="Retail Store"/>
    <n v="1"/>
    <n v="0"/>
    <s v="No"/>
    <n v="4"/>
    <n v="5"/>
    <s v="Headset"/>
    <s v="Technology"/>
    <n v="98"/>
    <n v="46"/>
    <s v="Small Business"/>
    <n v="98"/>
    <n v="46"/>
    <n v="52"/>
    <n v="0.53061224489795922"/>
  </r>
  <r>
    <s v="ORD-10705"/>
    <x v="93"/>
    <s v="CUST-0290"/>
    <s v="PROD-015"/>
    <x v="0"/>
    <s v="Retail Store"/>
    <n v="2"/>
    <n v="0.1"/>
    <s v="No"/>
    <n v="5"/>
    <n v="5"/>
    <s v="File Folder Pack"/>
    <s v="Office Supplies"/>
    <n v="23"/>
    <n v="10"/>
    <s v="Consumer"/>
    <n v="41.4"/>
    <n v="20"/>
    <n v="21.4"/>
    <n v="0.51690821256038644"/>
  </r>
  <r>
    <s v="ORD-10706"/>
    <x v="299"/>
    <s v="CUST-0231"/>
    <s v="PROD-015"/>
    <x v="2"/>
    <s v="Retail Store"/>
    <n v="1"/>
    <n v="0.05"/>
    <s v="No"/>
    <n v="4"/>
    <n v="4"/>
    <s v="File Folder Pack"/>
    <s v="Office Supplies"/>
    <n v="23"/>
    <n v="10"/>
    <s v="Consumer"/>
    <n v="21.849999999999998"/>
    <n v="10"/>
    <n v="11.849999999999998"/>
    <n v="0.54233409610983974"/>
  </r>
  <r>
    <s v="ORD-10707"/>
    <x v="416"/>
    <s v="CUST-0277"/>
    <s v="PROD-002"/>
    <x v="0"/>
    <s v="B2B Sales"/>
    <n v="4"/>
    <n v="0.05"/>
    <s v="No"/>
    <n v="5"/>
    <n v="5"/>
    <s v="Monitor"/>
    <s v="Technology"/>
    <n v="310"/>
    <n v="190"/>
    <s v="Consumer"/>
    <n v="1178"/>
    <n v="760"/>
    <n v="418"/>
    <n v="0.35483870967741937"/>
  </r>
  <r>
    <s v="ORD-10708"/>
    <x v="59"/>
    <s v="CUST-0288"/>
    <s v="PROD-004"/>
    <x v="1"/>
    <s v="Online"/>
    <n v="7"/>
    <n v="0.05"/>
    <s v="No"/>
    <n v="5"/>
    <n v="5"/>
    <s v="Mouse"/>
    <s v="Technology"/>
    <n v="42"/>
    <n v="19"/>
    <s v="Consumer"/>
    <n v="279.3"/>
    <n v="133"/>
    <n v="146.30000000000001"/>
    <n v="0.52380952380952384"/>
  </r>
  <r>
    <s v="ORD-10709"/>
    <x v="402"/>
    <s v="CUST-0244"/>
    <s v="PROD-001"/>
    <x v="2"/>
    <s v="B2B Sales"/>
    <n v="1"/>
    <n v="0"/>
    <s v="No"/>
    <n v="3"/>
    <n v="5"/>
    <s v="Laptop"/>
    <s v="Technology"/>
    <n v="1100"/>
    <n v="720"/>
    <s v="Small Business"/>
    <n v="1100"/>
    <n v="720"/>
    <n v="380"/>
    <n v="0.34545454545454546"/>
  </r>
  <r>
    <s v="ORD-10710"/>
    <x v="96"/>
    <s v="CUST-0044"/>
    <s v="PROD-011"/>
    <x v="3"/>
    <s v="Online"/>
    <n v="5"/>
    <n v="0"/>
    <s v="No"/>
    <n v="4"/>
    <n v="5"/>
    <s v="Backpack"/>
    <s v="Accessories"/>
    <n v="85"/>
    <n v="39"/>
    <s v="Consumer"/>
    <n v="425"/>
    <n v="195"/>
    <n v="230"/>
    <n v="0.54117647058823526"/>
  </r>
  <r>
    <s v="ORD-10711"/>
    <x v="173"/>
    <s v="CUST-0196"/>
    <s v="PROD-009"/>
    <x v="2"/>
    <s v="B2B Sales"/>
    <n v="2"/>
    <n v="0"/>
    <s v="No"/>
    <n v="5"/>
    <n v="2"/>
    <s v="Bookshelf"/>
    <s v="Furniture"/>
    <n v="185"/>
    <n v="105"/>
    <s v="Small Business"/>
    <n v="370"/>
    <n v="210"/>
    <n v="160"/>
    <n v="0.43243243243243246"/>
  </r>
  <r>
    <s v="ORD-10712"/>
    <x v="384"/>
    <s v="CUST-0209"/>
    <s v="PROD-006"/>
    <x v="2"/>
    <s v="B2B Sales"/>
    <n v="1"/>
    <n v="0.1"/>
    <s v="No"/>
    <n v="2"/>
    <n v="6"/>
    <s v="Headset"/>
    <s v="Technology"/>
    <n v="98"/>
    <n v="46"/>
    <s v="Consumer"/>
    <n v="88.2"/>
    <n v="46"/>
    <n v="42.2"/>
    <n v="0.47845804988662133"/>
  </r>
  <r>
    <s v="ORD-10713"/>
    <x v="417"/>
    <s v="CUST-0133"/>
    <s v="PROD-013"/>
    <x v="0"/>
    <s v="B2B Sales"/>
    <n v="1"/>
    <n v="0"/>
    <s v="No"/>
    <n v="3"/>
    <n v="5"/>
    <s v="Phone Charger"/>
    <s v="Accessories"/>
    <n v="32"/>
    <n v="13"/>
    <s v="Small Business"/>
    <n v="32"/>
    <n v="13"/>
    <n v="19"/>
    <n v="0.59375"/>
  </r>
  <r>
    <s v="ORD-10714"/>
    <x v="418"/>
    <s v="CUST-0198"/>
    <s v="PROD-004"/>
    <x v="3"/>
    <s v="Online"/>
    <n v="3"/>
    <n v="0"/>
    <s v="No"/>
    <n v="5"/>
    <n v="1"/>
    <s v="Mouse"/>
    <s v="Technology"/>
    <n v="42"/>
    <n v="19"/>
    <s v="Consumer"/>
    <n v="126"/>
    <n v="57"/>
    <n v="69"/>
    <n v="0.54761904761904767"/>
  </r>
  <r>
    <s v="ORD-10715"/>
    <x v="42"/>
    <s v="CUST-0284"/>
    <s v="PROD-004"/>
    <x v="3"/>
    <s v="Retail Store"/>
    <n v="4"/>
    <n v="0"/>
    <s v="No"/>
    <n v="2"/>
    <n v="7"/>
    <s v="Mouse"/>
    <s v="Technology"/>
    <n v="42"/>
    <n v="19"/>
    <s v="Consumer"/>
    <n v="168"/>
    <n v="76"/>
    <n v="92"/>
    <n v="0.54761904761904767"/>
  </r>
  <r>
    <s v="ORD-10716"/>
    <x v="213"/>
    <s v="CUST-0192"/>
    <s v="PROD-006"/>
    <x v="0"/>
    <s v="Retail Store"/>
    <n v="2"/>
    <n v="0.15"/>
    <s v="No"/>
    <n v="1"/>
    <n v="7"/>
    <s v="Headset"/>
    <s v="Technology"/>
    <n v="98"/>
    <n v="46"/>
    <s v="Consumer"/>
    <n v="166.6"/>
    <n v="92"/>
    <n v="74.599999999999994"/>
    <n v="0.44777911164465783"/>
  </r>
  <r>
    <s v="ORD-10717"/>
    <x v="381"/>
    <s v="CUST-0001"/>
    <s v="PROD-002"/>
    <x v="0"/>
    <s v="Retail Store"/>
    <n v="3"/>
    <n v="0.15"/>
    <s v="No"/>
    <n v="4"/>
    <n v="2"/>
    <s v="Monitor"/>
    <s v="Technology"/>
    <n v="310"/>
    <n v="190"/>
    <s v="Corporate"/>
    <n v="790.5"/>
    <n v="570"/>
    <n v="220.5"/>
    <n v="0.27893738140417457"/>
  </r>
  <r>
    <s v="ORD-10718"/>
    <x v="419"/>
    <s v="CUST-0262"/>
    <s v="PROD-010"/>
    <x v="2"/>
    <s v="Retail Store"/>
    <n v="3"/>
    <n v="0"/>
    <s v="No"/>
    <n v="3"/>
    <n v="2"/>
    <s v="Laptop Stand"/>
    <s v="Accessories"/>
    <n v="48"/>
    <n v="22"/>
    <s v="Small Business"/>
    <n v="144"/>
    <n v="66"/>
    <n v="78"/>
    <n v="0.54166666666666663"/>
  </r>
  <r>
    <s v="ORD-10719"/>
    <x v="420"/>
    <s v="CUST-0144"/>
    <s v="PROD-014"/>
    <x v="2"/>
    <s v="Retail Store"/>
    <n v="4"/>
    <n v="0.15"/>
    <s v="Yes"/>
    <n v="5"/>
    <n v="7"/>
    <s v="Printer Paper"/>
    <s v="Office Supplies"/>
    <n v="17"/>
    <n v="8"/>
    <s v="Small Business"/>
    <n v="57.8"/>
    <n v="32"/>
    <n v="25.799999999999997"/>
    <n v="0.44636678200692037"/>
  </r>
  <r>
    <s v="ORD-10720"/>
    <x v="421"/>
    <s v="CUST-0165"/>
    <s v="PROD-011"/>
    <x v="2"/>
    <s v="B2B Sales"/>
    <n v="2"/>
    <n v="0.15"/>
    <s v="No"/>
    <n v="5"/>
    <n v="5"/>
    <s v="Backpack"/>
    <s v="Accessories"/>
    <n v="85"/>
    <n v="39"/>
    <s v="Small Business"/>
    <n v="144.5"/>
    <n v="78"/>
    <n v="66.5"/>
    <n v="0.46020761245674741"/>
  </r>
  <r>
    <s v="ORD-10721"/>
    <x v="140"/>
    <s v="CUST-0003"/>
    <s v="PROD-001"/>
    <x v="1"/>
    <s v="Online"/>
    <n v="6"/>
    <n v="0.1"/>
    <s v="No"/>
    <n v="4"/>
    <n v="1"/>
    <s v="Laptop"/>
    <s v="Technology"/>
    <n v="1100"/>
    <n v="720"/>
    <s v="Consumer"/>
    <n v="5940"/>
    <n v="4320"/>
    <n v="1620"/>
    <n v="0.27272727272727271"/>
  </r>
  <r>
    <s v="ORD-10722"/>
    <x v="28"/>
    <s v="CUST-0016"/>
    <s v="PROD-015"/>
    <x v="1"/>
    <s v="Online"/>
    <n v="4"/>
    <n v="0.1"/>
    <s v="No"/>
    <n v="3"/>
    <n v="1"/>
    <s v="File Folder Pack"/>
    <s v="Office Supplies"/>
    <n v="23"/>
    <n v="10"/>
    <s v="Corporate"/>
    <n v="82.8"/>
    <n v="40"/>
    <n v="42.8"/>
    <n v="0.51690821256038644"/>
  </r>
  <r>
    <s v="ORD-10723"/>
    <x v="110"/>
    <s v="CUST-0237"/>
    <s v="PROD-012"/>
    <x v="0"/>
    <s v="Online"/>
    <n v="1"/>
    <n v="0"/>
    <s v="No"/>
    <n v="5"/>
    <n v="3"/>
    <s v="USB-C Hub"/>
    <s v="Accessories"/>
    <n v="68"/>
    <n v="31"/>
    <s v="Small Business"/>
    <n v="68"/>
    <n v="31"/>
    <n v="37"/>
    <n v="0.54411764705882348"/>
  </r>
  <r>
    <s v="ORD-10724"/>
    <x v="313"/>
    <s v="CUST-0047"/>
    <s v="PROD-010"/>
    <x v="0"/>
    <s v="Online"/>
    <n v="8"/>
    <n v="0.2"/>
    <s v="No"/>
    <n v="4"/>
    <n v="5"/>
    <s v="Laptop Stand"/>
    <s v="Accessories"/>
    <n v="48"/>
    <n v="22"/>
    <s v="Consumer"/>
    <n v="307.20000000000005"/>
    <n v="176"/>
    <n v="131.20000000000005"/>
    <n v="0.42708333333333343"/>
  </r>
  <r>
    <s v="ORD-10725"/>
    <x v="409"/>
    <s v="CUST-0004"/>
    <s v="PROD-007"/>
    <x v="0"/>
    <s v="Retail Store"/>
    <n v="1"/>
    <n v="0"/>
    <s v="No"/>
    <n v="3"/>
    <n v="2"/>
    <s v="Standing Desk"/>
    <s v="Furniture"/>
    <n v="540"/>
    <n v="320"/>
    <s v="Consumer"/>
    <n v="540"/>
    <n v="320"/>
    <n v="220"/>
    <n v="0.40740740740740738"/>
  </r>
  <r>
    <s v="ORD-10726"/>
    <x v="26"/>
    <s v="CUST-0290"/>
    <s v="PROD-006"/>
    <x v="2"/>
    <s v="Online"/>
    <n v="1"/>
    <n v="0"/>
    <s v="No"/>
    <n v="3"/>
    <n v="5"/>
    <s v="Headset"/>
    <s v="Technology"/>
    <n v="98"/>
    <n v="46"/>
    <s v="Consumer"/>
    <n v="98"/>
    <n v="46"/>
    <n v="52"/>
    <n v="0.53061224489795922"/>
  </r>
  <r>
    <s v="ORD-10727"/>
    <x v="422"/>
    <s v="CUST-0099"/>
    <s v="PROD-001"/>
    <x v="0"/>
    <s v="Retail Store"/>
    <n v="2"/>
    <n v="0"/>
    <s v="No"/>
    <n v="4"/>
    <n v="4"/>
    <s v="Laptop"/>
    <s v="Technology"/>
    <n v="1100"/>
    <n v="720"/>
    <s v="Small Business"/>
    <n v="2200"/>
    <n v="1440"/>
    <n v="760"/>
    <n v="0.34545454545454546"/>
  </r>
  <r>
    <s v="ORD-10728"/>
    <x v="98"/>
    <s v="CUST-0166"/>
    <s v="PROD-014"/>
    <x v="0"/>
    <s v="Online"/>
    <n v="1"/>
    <n v="0.05"/>
    <s v="No"/>
    <n v="4"/>
    <n v="1"/>
    <s v="Printer Paper"/>
    <s v="Office Supplies"/>
    <n v="17"/>
    <n v="8"/>
    <s v="Consumer"/>
    <n v="16.149999999999999"/>
    <n v="8"/>
    <n v="8.1499999999999986"/>
    <n v="0.50464396284829716"/>
  </r>
  <r>
    <s v="ORD-10729"/>
    <x v="118"/>
    <s v="CUST-0025"/>
    <s v="PROD-009"/>
    <x v="0"/>
    <s v="Retail Store"/>
    <n v="1"/>
    <n v="0"/>
    <s v="No"/>
    <n v="5"/>
    <n v="1"/>
    <s v="Bookshelf"/>
    <s v="Furniture"/>
    <n v="185"/>
    <n v="105"/>
    <s v="Small Business"/>
    <n v="185"/>
    <n v="105"/>
    <n v="80"/>
    <n v="0.43243243243243246"/>
  </r>
  <r>
    <s v="ORD-10730"/>
    <x v="37"/>
    <s v="CUST-0217"/>
    <s v="PROD-003"/>
    <x v="0"/>
    <s v="Online"/>
    <n v="2"/>
    <n v="0"/>
    <s v="No"/>
    <n v="1"/>
    <n v="5"/>
    <s v="Keyboard"/>
    <s v="Technology"/>
    <n v="75"/>
    <n v="38"/>
    <s v="Corporate"/>
    <n v="150"/>
    <n v="76"/>
    <n v="74"/>
    <n v="0.49333333333333335"/>
  </r>
  <r>
    <s v="ORD-10731"/>
    <x v="122"/>
    <s v="CUST-0172"/>
    <s v="PROD-009"/>
    <x v="3"/>
    <s v="Online"/>
    <n v="7"/>
    <n v="0.15"/>
    <s v="No"/>
    <n v="4"/>
    <n v="2"/>
    <s v="Bookshelf"/>
    <s v="Furniture"/>
    <n v="185"/>
    <n v="105"/>
    <s v="Corporate"/>
    <n v="1100.75"/>
    <n v="735"/>
    <n v="365.75"/>
    <n v="0.33227344992050872"/>
  </r>
  <r>
    <s v="ORD-10732"/>
    <x v="423"/>
    <s v="CUST-0225"/>
    <s v="PROD-004"/>
    <x v="1"/>
    <s v="Retail Store"/>
    <n v="1"/>
    <n v="0"/>
    <s v="No"/>
    <n v="4"/>
    <n v="1"/>
    <s v="Mouse"/>
    <s v="Technology"/>
    <n v="42"/>
    <n v="19"/>
    <s v="Consumer"/>
    <n v="42"/>
    <n v="19"/>
    <n v="23"/>
    <n v="0.54761904761904767"/>
  </r>
  <r>
    <s v="ORD-10733"/>
    <x v="415"/>
    <s v="CUST-0032"/>
    <s v="PROD-015"/>
    <x v="2"/>
    <s v="Retail Store"/>
    <n v="2"/>
    <n v="0"/>
    <s v="No"/>
    <n v="2"/>
    <n v="8"/>
    <s v="File Folder Pack"/>
    <s v="Office Supplies"/>
    <n v="23"/>
    <n v="10"/>
    <s v="Corporate"/>
    <n v="46"/>
    <n v="20"/>
    <n v="26"/>
    <n v="0.56521739130434778"/>
  </r>
  <r>
    <s v="ORD-10734"/>
    <x v="386"/>
    <s v="CUST-0211"/>
    <s v="PROD-008"/>
    <x v="0"/>
    <s v="Retail Store"/>
    <n v="3"/>
    <n v="0"/>
    <s v="No"/>
    <n v="4"/>
    <n v="5"/>
    <s v="Office Chair"/>
    <s v="Furniture"/>
    <n v="255"/>
    <n v="145"/>
    <s v="Consumer"/>
    <n v="765"/>
    <n v="435"/>
    <n v="330"/>
    <n v="0.43137254901960786"/>
  </r>
  <r>
    <s v="ORD-10735"/>
    <x v="248"/>
    <s v="CUST-0174"/>
    <s v="PROD-001"/>
    <x v="4"/>
    <s v="Online"/>
    <n v="1"/>
    <n v="0"/>
    <s v="No"/>
    <n v="2"/>
    <n v="4"/>
    <s v="Laptop"/>
    <s v="Technology"/>
    <n v="1100"/>
    <n v="720"/>
    <s v="Corporate"/>
    <n v="1100"/>
    <n v="720"/>
    <n v="380"/>
    <n v="0.34545454545454546"/>
  </r>
  <r>
    <s v="ORD-10736"/>
    <x v="47"/>
    <s v="CUST-0132"/>
    <s v="PROD-012"/>
    <x v="4"/>
    <s v="Retail Store"/>
    <n v="2"/>
    <n v="0"/>
    <s v="No"/>
    <n v="2"/>
    <n v="7"/>
    <s v="USB-C Hub"/>
    <s v="Accessories"/>
    <n v="68"/>
    <n v="31"/>
    <s v="Consumer"/>
    <n v="136"/>
    <n v="62"/>
    <n v="74"/>
    <n v="0.54411764705882348"/>
  </r>
  <r>
    <s v="ORD-10737"/>
    <x v="424"/>
    <s v="CUST-0184"/>
    <s v="PROD-010"/>
    <x v="4"/>
    <s v="Retail Store"/>
    <n v="1"/>
    <n v="0.05"/>
    <s v="No"/>
    <n v="4"/>
    <n v="1"/>
    <s v="Laptop Stand"/>
    <s v="Accessories"/>
    <n v="48"/>
    <n v="22"/>
    <s v="Consumer"/>
    <n v="45.599999999999994"/>
    <n v="22"/>
    <n v="23.599999999999994"/>
    <n v="0.51754385964912275"/>
  </r>
  <r>
    <s v="ORD-10738"/>
    <x v="205"/>
    <s v="CUST-0075"/>
    <s v="PROD-002"/>
    <x v="3"/>
    <s v="Retail Store"/>
    <n v="3"/>
    <n v="0"/>
    <s v="No"/>
    <n v="5"/>
    <n v="2"/>
    <s v="Monitor"/>
    <s v="Technology"/>
    <n v="310"/>
    <n v="190"/>
    <s v="Corporate"/>
    <n v="930"/>
    <n v="570"/>
    <n v="360"/>
    <n v="0.38709677419354838"/>
  </r>
  <r>
    <s v="ORD-10739"/>
    <x v="202"/>
    <s v="CUST-0175"/>
    <s v="PROD-007"/>
    <x v="1"/>
    <s v="Retail Store"/>
    <n v="8"/>
    <n v="0.05"/>
    <s v="No"/>
    <n v="4"/>
    <n v="3"/>
    <s v="Standing Desk"/>
    <s v="Furniture"/>
    <n v="540"/>
    <n v="320"/>
    <s v="Small Business"/>
    <n v="4104"/>
    <n v="2560"/>
    <n v="1544"/>
    <n v="0.37621832358674462"/>
  </r>
  <r>
    <s v="ORD-10740"/>
    <x v="425"/>
    <s v="CUST-0215"/>
    <s v="PROD-011"/>
    <x v="2"/>
    <s v="Online"/>
    <n v="4"/>
    <n v="0"/>
    <s v="No"/>
    <n v="1"/>
    <n v="4"/>
    <s v="Backpack"/>
    <s v="Accessories"/>
    <n v="85"/>
    <n v="39"/>
    <s v="Small Business"/>
    <n v="340"/>
    <n v="156"/>
    <n v="184"/>
    <n v="0.54117647058823526"/>
  </r>
  <r>
    <s v="ORD-10741"/>
    <x v="237"/>
    <s v="CUST-0110"/>
    <s v="PROD-008"/>
    <x v="4"/>
    <s v="Retail Store"/>
    <n v="4"/>
    <n v="0.1"/>
    <s v="No"/>
    <n v="4"/>
    <n v="1"/>
    <s v="Office Chair"/>
    <s v="Furniture"/>
    <n v="255"/>
    <n v="145"/>
    <s v="Small Business"/>
    <n v="918"/>
    <n v="580"/>
    <n v="338"/>
    <n v="0.36819172113289761"/>
  </r>
  <r>
    <s v="ORD-10742"/>
    <x v="426"/>
    <s v="CUST-0006"/>
    <s v="PROD-003"/>
    <x v="3"/>
    <s v="Retail Store"/>
    <n v="1"/>
    <n v="0"/>
    <s v="No"/>
    <n v="5"/>
    <n v="3"/>
    <s v="Keyboard"/>
    <s v="Technology"/>
    <n v="75"/>
    <n v="38"/>
    <s v="Corporate"/>
    <n v="75"/>
    <n v="38"/>
    <n v="37"/>
    <n v="0.49333333333333335"/>
  </r>
  <r>
    <s v="ORD-10743"/>
    <x v="329"/>
    <s v="CUST-0016"/>
    <s v="PROD-007"/>
    <x v="2"/>
    <s v="Online"/>
    <n v="5"/>
    <n v="0.1"/>
    <s v="No"/>
    <n v="4"/>
    <n v="2"/>
    <s v="Standing Desk"/>
    <s v="Furniture"/>
    <n v="540"/>
    <n v="320"/>
    <s v="Corporate"/>
    <n v="2430"/>
    <n v="1600"/>
    <n v="830"/>
    <n v="0.34156378600823045"/>
  </r>
  <r>
    <s v="ORD-10744"/>
    <x v="305"/>
    <s v="CUST-0012"/>
    <s v="PROD-006"/>
    <x v="0"/>
    <s v="B2B Sales"/>
    <n v="1"/>
    <n v="0.1"/>
    <s v="No"/>
    <n v="5"/>
    <n v="1"/>
    <s v="Headset"/>
    <s v="Technology"/>
    <n v="98"/>
    <n v="46"/>
    <s v="Corporate"/>
    <n v="88.2"/>
    <n v="46"/>
    <n v="42.2"/>
    <n v="0.47845804988662133"/>
  </r>
  <r>
    <s v="ORD-10745"/>
    <x v="427"/>
    <s v="CUST-0108"/>
    <s v="PROD-010"/>
    <x v="4"/>
    <s v="Online"/>
    <n v="2"/>
    <n v="0"/>
    <s v="No"/>
    <n v="5"/>
    <n v="5"/>
    <s v="Laptop Stand"/>
    <s v="Accessories"/>
    <n v="48"/>
    <n v="22"/>
    <s v="Consumer"/>
    <n v="96"/>
    <n v="44"/>
    <n v="52"/>
    <n v="0.54166666666666663"/>
  </r>
  <r>
    <s v="ORD-10746"/>
    <x v="225"/>
    <s v="CUST-0034"/>
    <s v="PROD-004"/>
    <x v="2"/>
    <s v="B2B Sales"/>
    <n v="4"/>
    <n v="0"/>
    <s v="No"/>
    <n v="4"/>
    <n v="5"/>
    <s v="Mouse"/>
    <s v="Technology"/>
    <n v="42"/>
    <n v="19"/>
    <s v="Small Business"/>
    <n v="168"/>
    <n v="76"/>
    <n v="92"/>
    <n v="0.54761904761904767"/>
  </r>
  <r>
    <s v="ORD-10747"/>
    <x v="428"/>
    <s v="CUST-0126"/>
    <s v="PROD-002"/>
    <x v="1"/>
    <s v="Retail Store"/>
    <n v="5"/>
    <n v="0"/>
    <s v="No"/>
    <n v="3"/>
    <n v="3"/>
    <s v="Monitor"/>
    <s v="Technology"/>
    <n v="310"/>
    <n v="190"/>
    <s v="Consumer"/>
    <n v="1550"/>
    <n v="950"/>
    <n v="600"/>
    <n v="0.38709677419354838"/>
  </r>
  <r>
    <s v="ORD-10748"/>
    <x v="429"/>
    <s v="CUST-0261"/>
    <s v="PROD-016"/>
    <x v="2"/>
    <s v="Online"/>
    <n v="2"/>
    <n v="0.1"/>
    <s v="No"/>
    <n v="4"/>
    <n v="5"/>
    <s v="Desk Organiser"/>
    <s v="Office Supplies"/>
    <n v="28"/>
    <n v="12"/>
    <s v="Small Business"/>
    <n v="50.4"/>
    <n v="24"/>
    <n v="26.4"/>
    <n v="0.52380952380952384"/>
  </r>
  <r>
    <s v="ORD-10749"/>
    <x v="75"/>
    <s v="CUST-0256"/>
    <s v="PROD-015"/>
    <x v="2"/>
    <s v="Retail Store"/>
    <n v="2"/>
    <n v="0.05"/>
    <s v="Yes"/>
    <n v="4"/>
    <n v="9"/>
    <s v="File Folder Pack"/>
    <s v="Office Supplies"/>
    <n v="23"/>
    <n v="10"/>
    <s v="Small Business"/>
    <n v="43.699999999999996"/>
    <n v="20"/>
    <n v="23.699999999999996"/>
    <n v="0.54233409610983974"/>
  </r>
  <r>
    <s v="ORD-10750"/>
    <x v="430"/>
    <s v="CUST-0019"/>
    <s v="PROD-007"/>
    <x v="2"/>
    <s v="Online"/>
    <n v="5"/>
    <n v="0"/>
    <s v="No"/>
    <n v="5"/>
    <n v="5"/>
    <s v="Standing Desk"/>
    <s v="Furniture"/>
    <n v="540"/>
    <n v="320"/>
    <s v="Small Business"/>
    <n v="2700"/>
    <n v="1600"/>
    <n v="1100"/>
    <n v="0.40740740740740738"/>
  </r>
  <r>
    <s v="ORD-10751"/>
    <x v="431"/>
    <s v="CUST-0192"/>
    <s v="PROD-009"/>
    <x v="4"/>
    <s v="Online"/>
    <n v="1"/>
    <n v="0"/>
    <s v="No"/>
    <n v="4"/>
    <n v="4"/>
    <s v="Bookshelf"/>
    <s v="Furniture"/>
    <n v="185"/>
    <n v="105"/>
    <s v="Consumer"/>
    <n v="185"/>
    <n v="105"/>
    <n v="80"/>
    <n v="0.43243243243243246"/>
  </r>
  <r>
    <s v="ORD-10752"/>
    <x v="432"/>
    <s v="CUST-0173"/>
    <s v="PROD-014"/>
    <x v="4"/>
    <s v="Online"/>
    <n v="2"/>
    <n v="0.05"/>
    <s v="No"/>
    <n v="1"/>
    <n v="6"/>
    <s v="Printer Paper"/>
    <s v="Office Supplies"/>
    <n v="17"/>
    <n v="8"/>
    <s v="Consumer"/>
    <n v="32.299999999999997"/>
    <n v="16"/>
    <n v="16.299999999999997"/>
    <n v="0.50464396284829716"/>
  </r>
  <r>
    <s v="ORD-10753"/>
    <x v="214"/>
    <s v="CUST-0039"/>
    <s v="PROD-012"/>
    <x v="0"/>
    <s v="Online"/>
    <n v="2"/>
    <n v="0.05"/>
    <s v="No"/>
    <n v="4"/>
    <n v="2"/>
    <s v="USB-C Hub"/>
    <s v="Accessories"/>
    <n v="68"/>
    <n v="31"/>
    <s v="Small Business"/>
    <n v="129.19999999999999"/>
    <n v="62"/>
    <n v="67.199999999999989"/>
    <n v="0.52012383900928794"/>
  </r>
  <r>
    <s v="ORD-10754"/>
    <x v="53"/>
    <s v="CUST-0061"/>
    <s v="PROD-003"/>
    <x v="3"/>
    <s v="Retail Store"/>
    <n v="2"/>
    <n v="0.1"/>
    <s v="No"/>
    <n v="5"/>
    <n v="3"/>
    <s v="Keyboard"/>
    <s v="Technology"/>
    <n v="75"/>
    <n v="38"/>
    <s v="Small Business"/>
    <n v="135"/>
    <n v="76"/>
    <n v="59"/>
    <n v="0.43703703703703706"/>
  </r>
  <r>
    <s v="ORD-10755"/>
    <x v="433"/>
    <s v="CUST-0071"/>
    <s v="PROD-009"/>
    <x v="2"/>
    <s v="Online"/>
    <n v="5"/>
    <n v="0.1"/>
    <s v="No"/>
    <n v="4"/>
    <n v="5"/>
    <s v="Bookshelf"/>
    <s v="Furniture"/>
    <n v="185"/>
    <n v="105"/>
    <s v="Consumer"/>
    <n v="832.5"/>
    <n v="525"/>
    <n v="307.5"/>
    <n v="0.36936936936936937"/>
  </r>
  <r>
    <s v="ORD-10756"/>
    <x v="434"/>
    <s v="CUST-0242"/>
    <s v="PROD-005"/>
    <x v="0"/>
    <s v="Online"/>
    <n v="4"/>
    <n v="0"/>
    <s v="No"/>
    <n v="4"/>
    <n v="5"/>
    <s v="Webcam"/>
    <s v="Technology"/>
    <n v="115"/>
    <n v="58"/>
    <s v="Corporate"/>
    <n v="460"/>
    <n v="232"/>
    <n v="228"/>
    <n v="0.4956521739130435"/>
  </r>
  <r>
    <s v="ORD-10757"/>
    <x v="320"/>
    <s v="CUST-0237"/>
    <s v="PROD-011"/>
    <x v="0"/>
    <s v="Online"/>
    <n v="1"/>
    <n v="0.1"/>
    <s v="No"/>
    <n v="3"/>
    <n v="4"/>
    <s v="Backpack"/>
    <s v="Accessories"/>
    <n v="85"/>
    <n v="39"/>
    <s v="Small Business"/>
    <n v="76.5"/>
    <n v="39"/>
    <n v="37.5"/>
    <n v="0.49019607843137253"/>
  </r>
  <r>
    <s v="ORD-10758"/>
    <x v="374"/>
    <s v="CUST-0016"/>
    <s v="PROD-012"/>
    <x v="2"/>
    <s v="B2B Sales"/>
    <n v="1"/>
    <n v="0.1"/>
    <s v="No"/>
    <n v="5"/>
    <n v="3"/>
    <s v="USB-C Hub"/>
    <s v="Accessories"/>
    <n v="68"/>
    <n v="31"/>
    <s v="Corporate"/>
    <n v="61.2"/>
    <n v="31"/>
    <n v="30.200000000000003"/>
    <n v="0.49346405228758172"/>
  </r>
  <r>
    <s v="ORD-10759"/>
    <x v="416"/>
    <s v="CUST-0116"/>
    <s v="PROD-014"/>
    <x v="4"/>
    <s v="Retail Store"/>
    <n v="4"/>
    <n v="0.1"/>
    <s v="No"/>
    <n v="4"/>
    <n v="5"/>
    <s v="Printer Paper"/>
    <s v="Office Supplies"/>
    <n v="17"/>
    <n v="8"/>
    <s v="Small Business"/>
    <n v="61.2"/>
    <n v="32"/>
    <n v="29.200000000000003"/>
    <n v="0.47712418300653597"/>
  </r>
  <r>
    <s v="ORD-10760"/>
    <x v="319"/>
    <s v="CUST-0072"/>
    <s v="PROD-005"/>
    <x v="0"/>
    <s v="B2B Sales"/>
    <n v="3"/>
    <n v="0.1"/>
    <s v="Yes"/>
    <n v="4"/>
    <n v="8"/>
    <s v="Webcam"/>
    <s v="Technology"/>
    <n v="115"/>
    <n v="58"/>
    <s v="Small Business"/>
    <n v="310.5"/>
    <n v="174"/>
    <n v="136.5"/>
    <n v="0.43961352657004832"/>
  </r>
  <r>
    <s v="ORD-10761"/>
    <x v="435"/>
    <s v="CUST-0201"/>
    <s v="PROD-003"/>
    <x v="4"/>
    <s v="Online"/>
    <n v="1"/>
    <n v="0.05"/>
    <s v="No"/>
    <n v="5"/>
    <n v="1"/>
    <s v="Keyboard"/>
    <s v="Technology"/>
    <n v="75"/>
    <n v="38"/>
    <s v="Small Business"/>
    <n v="71.25"/>
    <n v="38"/>
    <n v="33.25"/>
    <n v="0.46666666666666667"/>
  </r>
  <r>
    <s v="ORD-10762"/>
    <x v="349"/>
    <s v="CUST-0054"/>
    <s v="PROD-006"/>
    <x v="2"/>
    <s v="Retail Store"/>
    <n v="2"/>
    <n v="0"/>
    <s v="No"/>
    <n v="5"/>
    <n v="3"/>
    <s v="Headset"/>
    <s v="Technology"/>
    <n v="98"/>
    <n v="46"/>
    <s v="Small Business"/>
    <n v="196"/>
    <n v="92"/>
    <n v="104"/>
    <n v="0.53061224489795922"/>
  </r>
  <r>
    <s v="ORD-10763"/>
    <x v="392"/>
    <s v="CUST-0120"/>
    <s v="PROD-010"/>
    <x v="1"/>
    <s v="Online"/>
    <n v="1"/>
    <n v="0.05"/>
    <s v="No"/>
    <n v="5"/>
    <n v="4"/>
    <s v="Laptop Stand"/>
    <s v="Accessories"/>
    <n v="48"/>
    <n v="22"/>
    <s v="Consumer"/>
    <n v="45.599999999999994"/>
    <n v="22"/>
    <n v="23.599999999999994"/>
    <n v="0.51754385964912275"/>
  </r>
  <r>
    <s v="ORD-10764"/>
    <x v="182"/>
    <s v="CUST-0081"/>
    <s v="PROD-004"/>
    <x v="2"/>
    <s v="Online"/>
    <n v="4"/>
    <n v="0"/>
    <s v="No"/>
    <n v="3"/>
    <n v="2"/>
    <s v="Mouse"/>
    <s v="Technology"/>
    <n v="42"/>
    <n v="19"/>
    <s v="Corporate"/>
    <n v="168"/>
    <n v="76"/>
    <n v="92"/>
    <n v="0.54761904761904767"/>
  </r>
  <r>
    <s v="ORD-10765"/>
    <x v="93"/>
    <s v="CUST-0222"/>
    <s v="PROD-016"/>
    <x v="2"/>
    <s v="Retail Store"/>
    <n v="1"/>
    <n v="0"/>
    <s v="No"/>
    <n v="4"/>
    <n v="2"/>
    <s v="Desk Organiser"/>
    <s v="Office Supplies"/>
    <n v="28"/>
    <n v="12"/>
    <s v="Corporate"/>
    <n v="28"/>
    <n v="12"/>
    <n v="16"/>
    <n v="0.5714285714285714"/>
  </r>
  <r>
    <s v="ORD-10766"/>
    <x v="436"/>
    <s v="CUST-0074"/>
    <s v="PROD-015"/>
    <x v="2"/>
    <s v="Online"/>
    <n v="4"/>
    <n v="0.05"/>
    <s v="Yes"/>
    <n v="5"/>
    <n v="8"/>
    <s v="File Folder Pack"/>
    <s v="Office Supplies"/>
    <n v="23"/>
    <n v="10"/>
    <s v="Consumer"/>
    <n v="87.399999999999991"/>
    <n v="40"/>
    <n v="47.399999999999991"/>
    <n v="0.54233409610983974"/>
  </r>
  <r>
    <s v="ORD-10767"/>
    <x v="218"/>
    <s v="CUST-0021"/>
    <s v="PROD-003"/>
    <x v="3"/>
    <s v="B2B Sales"/>
    <n v="2"/>
    <n v="0.1"/>
    <s v="No"/>
    <n v="4"/>
    <n v="5"/>
    <s v="Keyboard"/>
    <s v="Technology"/>
    <n v="75"/>
    <n v="38"/>
    <s v="Small Business"/>
    <n v="135"/>
    <n v="76"/>
    <n v="59"/>
    <n v="0.43703703703703706"/>
  </r>
  <r>
    <s v="ORD-10768"/>
    <x v="219"/>
    <s v="CUST-0213"/>
    <s v="PROD-008"/>
    <x v="2"/>
    <s v="Retail Store"/>
    <n v="2"/>
    <n v="0"/>
    <s v="No"/>
    <n v="5"/>
    <n v="1"/>
    <s v="Office Chair"/>
    <s v="Furniture"/>
    <n v="255"/>
    <n v="145"/>
    <s v="Consumer"/>
    <n v="510"/>
    <n v="290"/>
    <n v="220"/>
    <n v="0.43137254901960786"/>
  </r>
  <r>
    <s v="ORD-10769"/>
    <x v="154"/>
    <s v="CUST-0023"/>
    <s v="PROD-008"/>
    <x v="0"/>
    <s v="Online"/>
    <n v="5"/>
    <n v="0.05"/>
    <s v="No"/>
    <n v="2"/>
    <n v="6"/>
    <s v="Office Chair"/>
    <s v="Furniture"/>
    <n v="255"/>
    <n v="145"/>
    <s v="Consumer"/>
    <n v="1211.25"/>
    <n v="725"/>
    <n v="486.25"/>
    <n v="0.40144478844169246"/>
  </r>
  <r>
    <s v="ORD-10770"/>
    <x v="437"/>
    <s v="CUST-0284"/>
    <s v="PROD-004"/>
    <x v="0"/>
    <s v="Online"/>
    <n v="1"/>
    <n v="0.1"/>
    <s v="No"/>
    <n v="4"/>
    <n v="3"/>
    <s v="Mouse"/>
    <s v="Technology"/>
    <n v="42"/>
    <n v="19"/>
    <s v="Consumer"/>
    <n v="37.800000000000004"/>
    <n v="19"/>
    <n v="18.800000000000004"/>
    <n v="0.49735449735449744"/>
  </r>
  <r>
    <s v="ORD-10771"/>
    <x v="338"/>
    <s v="CUST-0260"/>
    <s v="PROD-002"/>
    <x v="4"/>
    <s v="Online"/>
    <n v="3"/>
    <n v="0.1"/>
    <s v="No"/>
    <n v="5"/>
    <n v="2"/>
    <s v="Monitor"/>
    <s v="Technology"/>
    <n v="310"/>
    <n v="190"/>
    <s v="Small Business"/>
    <n v="837"/>
    <n v="570"/>
    <n v="267"/>
    <n v="0.31899641577060933"/>
  </r>
  <r>
    <s v="ORD-10772"/>
    <x v="395"/>
    <s v="CUST-0020"/>
    <s v="PROD-001"/>
    <x v="3"/>
    <s v="Retail Store"/>
    <n v="1"/>
    <n v="0.1"/>
    <s v="No"/>
    <n v="4"/>
    <n v="1"/>
    <s v="Laptop"/>
    <s v="Technology"/>
    <n v="1100"/>
    <n v="720"/>
    <s v="Consumer"/>
    <n v="990"/>
    <n v="720"/>
    <n v="270"/>
    <n v="0.27272727272727271"/>
  </r>
  <r>
    <s v="ORD-10773"/>
    <x v="309"/>
    <s v="CUST-0125"/>
    <s v="PROD-015"/>
    <x v="2"/>
    <s v="Retail Store"/>
    <n v="5"/>
    <n v="0"/>
    <s v="No"/>
    <n v="2"/>
    <n v="4"/>
    <s v="File Folder Pack"/>
    <s v="Office Supplies"/>
    <n v="23"/>
    <n v="10"/>
    <s v="Consumer"/>
    <n v="115"/>
    <n v="50"/>
    <n v="65"/>
    <n v="0.56521739130434778"/>
  </r>
  <r>
    <s v="ORD-10774"/>
    <x v="141"/>
    <s v="CUST-0201"/>
    <s v="PROD-006"/>
    <x v="2"/>
    <s v="Retail Store"/>
    <n v="3"/>
    <n v="0"/>
    <s v="No"/>
    <n v="3"/>
    <n v="1"/>
    <s v="Headset"/>
    <s v="Technology"/>
    <n v="98"/>
    <n v="46"/>
    <s v="Small Business"/>
    <n v="294"/>
    <n v="138"/>
    <n v="156"/>
    <n v="0.53061224489795922"/>
  </r>
  <r>
    <s v="ORD-10775"/>
    <x v="135"/>
    <s v="CUST-0111"/>
    <s v="PROD-015"/>
    <x v="1"/>
    <s v="B2B Sales"/>
    <n v="4"/>
    <n v="0.05"/>
    <s v="No"/>
    <n v="5"/>
    <n v="4"/>
    <s v="File Folder Pack"/>
    <s v="Office Supplies"/>
    <n v="23"/>
    <n v="10"/>
    <s v="Small Business"/>
    <n v="87.399999999999991"/>
    <n v="40"/>
    <n v="47.399999999999991"/>
    <n v="0.54233409610983974"/>
  </r>
  <r>
    <s v="ORD-10776"/>
    <x v="341"/>
    <s v="CUST-0228"/>
    <s v="PROD-002"/>
    <x v="4"/>
    <s v="Online"/>
    <n v="2"/>
    <n v="0"/>
    <s v="No"/>
    <n v="5"/>
    <n v="2"/>
    <s v="Monitor"/>
    <s v="Technology"/>
    <n v="310"/>
    <n v="190"/>
    <s v="Small Business"/>
    <n v="620"/>
    <n v="380"/>
    <n v="240"/>
    <n v="0.38709677419354838"/>
  </r>
  <r>
    <s v="ORD-10777"/>
    <x v="295"/>
    <s v="CUST-0009"/>
    <s v="PROD-014"/>
    <x v="2"/>
    <s v="Online"/>
    <n v="5"/>
    <n v="0.1"/>
    <s v="No"/>
    <n v="5"/>
    <n v="1"/>
    <s v="Printer Paper"/>
    <s v="Office Supplies"/>
    <n v="17"/>
    <n v="8"/>
    <s v="Consumer"/>
    <n v="76.5"/>
    <n v="40"/>
    <n v="36.5"/>
    <n v="0.47712418300653597"/>
  </r>
  <r>
    <s v="ORD-10778"/>
    <x v="381"/>
    <s v="CUST-0086"/>
    <s v="PROD-002"/>
    <x v="3"/>
    <s v="Online"/>
    <n v="2"/>
    <n v="0.05"/>
    <s v="No"/>
    <n v="3"/>
    <n v="5"/>
    <s v="Monitor"/>
    <s v="Technology"/>
    <n v="310"/>
    <n v="190"/>
    <s v="Consumer"/>
    <n v="589"/>
    <n v="380"/>
    <n v="209"/>
    <n v="0.35483870967741937"/>
  </r>
  <r>
    <s v="ORD-10779"/>
    <x v="308"/>
    <s v="CUST-0220"/>
    <s v="PROD-004"/>
    <x v="3"/>
    <s v="Online"/>
    <n v="2"/>
    <n v="0"/>
    <s v="No"/>
    <n v="1"/>
    <n v="6"/>
    <s v="Mouse"/>
    <s v="Technology"/>
    <n v="42"/>
    <n v="19"/>
    <s v="Consumer"/>
    <n v="84"/>
    <n v="38"/>
    <n v="46"/>
    <n v="0.54761904761904767"/>
  </r>
  <r>
    <s v="ORD-10780"/>
    <x v="438"/>
    <s v="CUST-0034"/>
    <s v="PROD-009"/>
    <x v="1"/>
    <s v="Online"/>
    <n v="1"/>
    <n v="0"/>
    <s v="No"/>
    <n v="4"/>
    <n v="1"/>
    <s v="Bookshelf"/>
    <s v="Furniture"/>
    <n v="185"/>
    <n v="105"/>
    <s v="Small Business"/>
    <n v="185"/>
    <n v="105"/>
    <n v="80"/>
    <n v="0.43243243243243246"/>
  </r>
  <r>
    <s v="ORD-10781"/>
    <x v="207"/>
    <s v="CUST-0292"/>
    <s v="PROD-006"/>
    <x v="3"/>
    <s v="Online"/>
    <n v="2"/>
    <n v="0.05"/>
    <s v="No"/>
    <n v="5"/>
    <n v="2"/>
    <s v="Headset"/>
    <s v="Technology"/>
    <n v="98"/>
    <n v="46"/>
    <s v="Corporate"/>
    <n v="186.2"/>
    <n v="92"/>
    <n v="94.199999999999989"/>
    <n v="0.50590762620837804"/>
  </r>
  <r>
    <s v="ORD-10782"/>
    <x v="439"/>
    <s v="CUST-0090"/>
    <s v="PROD-011"/>
    <x v="0"/>
    <s v="Retail Store"/>
    <n v="1"/>
    <n v="0"/>
    <s v="Yes"/>
    <n v="4"/>
    <n v="7"/>
    <s v="Backpack"/>
    <s v="Accessories"/>
    <n v="85"/>
    <n v="39"/>
    <s v="Consumer"/>
    <n v="85"/>
    <n v="39"/>
    <n v="46"/>
    <n v="0.54117647058823526"/>
  </r>
  <r>
    <s v="ORD-10783"/>
    <x v="440"/>
    <s v="CUST-0007"/>
    <s v="PROD-008"/>
    <x v="2"/>
    <s v="Retail Store"/>
    <n v="1"/>
    <n v="0"/>
    <s v="No"/>
    <n v="3"/>
    <n v="1"/>
    <s v="Office Chair"/>
    <s v="Furniture"/>
    <n v="255"/>
    <n v="145"/>
    <s v="Small Business"/>
    <n v="255"/>
    <n v="145"/>
    <n v="110"/>
    <n v="0.43137254901960786"/>
  </r>
  <r>
    <s v="ORD-10784"/>
    <x v="76"/>
    <s v="CUST-0071"/>
    <s v="PROD-012"/>
    <x v="4"/>
    <s v="Online"/>
    <n v="2"/>
    <n v="0.05"/>
    <s v="No"/>
    <n v="5"/>
    <n v="4"/>
    <s v="USB-C Hub"/>
    <s v="Accessories"/>
    <n v="68"/>
    <n v="31"/>
    <s v="Consumer"/>
    <n v="129.19999999999999"/>
    <n v="62"/>
    <n v="67.199999999999989"/>
    <n v="0.52012383900928794"/>
  </r>
  <r>
    <s v="ORD-10785"/>
    <x v="250"/>
    <s v="CUST-0069"/>
    <s v="PROD-009"/>
    <x v="3"/>
    <s v="Retail Store"/>
    <n v="1"/>
    <n v="0.1"/>
    <s v="No"/>
    <n v="5"/>
    <n v="1"/>
    <s v="Bookshelf"/>
    <s v="Furniture"/>
    <n v="185"/>
    <n v="105"/>
    <s v="Consumer"/>
    <n v="166.5"/>
    <n v="105"/>
    <n v="61.5"/>
    <n v="0.36936936936936937"/>
  </r>
  <r>
    <s v="ORD-10786"/>
    <x v="401"/>
    <s v="CUST-0170"/>
    <s v="PROD-011"/>
    <x v="3"/>
    <s v="Retail Store"/>
    <n v="6"/>
    <n v="0.1"/>
    <s v="No"/>
    <n v="5"/>
    <n v="2"/>
    <s v="Backpack"/>
    <s v="Accessories"/>
    <n v="85"/>
    <n v="39"/>
    <s v="Consumer"/>
    <n v="459"/>
    <n v="234"/>
    <n v="225"/>
    <n v="0.49019607843137253"/>
  </r>
  <r>
    <s v="ORD-10787"/>
    <x v="441"/>
    <s v="CUST-0267"/>
    <s v="PROD-011"/>
    <x v="2"/>
    <s v="Retail Store"/>
    <n v="1"/>
    <n v="0.05"/>
    <s v="Yes"/>
    <n v="2"/>
    <n v="4"/>
    <s v="Backpack"/>
    <s v="Accessories"/>
    <n v="85"/>
    <n v="39"/>
    <s v="Corporate"/>
    <n v="80.75"/>
    <n v="39"/>
    <n v="41.75"/>
    <n v="0.51702786377708976"/>
  </r>
  <r>
    <s v="ORD-10788"/>
    <x v="120"/>
    <s v="CUST-0047"/>
    <s v="PROD-006"/>
    <x v="4"/>
    <s v="B2B Sales"/>
    <n v="6"/>
    <n v="0"/>
    <s v="No"/>
    <n v="5"/>
    <n v="3"/>
    <s v="Headset"/>
    <s v="Technology"/>
    <n v="98"/>
    <n v="46"/>
    <s v="Consumer"/>
    <n v="588"/>
    <n v="276"/>
    <n v="312"/>
    <n v="0.53061224489795922"/>
  </r>
  <r>
    <s v="ORD-10789"/>
    <x v="149"/>
    <s v="CUST-0102"/>
    <s v="PROD-008"/>
    <x v="4"/>
    <s v="Retail Store"/>
    <n v="1"/>
    <n v="0.05"/>
    <s v="Yes"/>
    <n v="3"/>
    <n v="5"/>
    <s v="Office Chair"/>
    <s v="Furniture"/>
    <n v="255"/>
    <n v="145"/>
    <s v="Corporate"/>
    <n v="242.25"/>
    <n v="145"/>
    <n v="97.25"/>
    <n v="0.40144478844169246"/>
  </r>
  <r>
    <s v="ORD-10790"/>
    <x v="249"/>
    <s v="CUST-0204"/>
    <s v="PROD-013"/>
    <x v="2"/>
    <s v="Online"/>
    <n v="2"/>
    <n v="0.1"/>
    <s v="No"/>
    <n v="5"/>
    <n v="4"/>
    <s v="Phone Charger"/>
    <s v="Accessories"/>
    <n v="32"/>
    <n v="13"/>
    <s v="Consumer"/>
    <n v="57.6"/>
    <n v="26"/>
    <n v="31.6"/>
    <n v="0.54861111111111116"/>
  </r>
  <r>
    <s v="ORD-10791"/>
    <x v="18"/>
    <s v="CUST-0196"/>
    <s v="PROD-014"/>
    <x v="0"/>
    <s v="Retail Store"/>
    <n v="6"/>
    <n v="0.05"/>
    <s v="No"/>
    <n v="5"/>
    <n v="3"/>
    <s v="Printer Paper"/>
    <s v="Office Supplies"/>
    <n v="17"/>
    <n v="8"/>
    <s v="Small Business"/>
    <n v="96.899999999999991"/>
    <n v="48"/>
    <n v="48.899999999999991"/>
    <n v="0.50464396284829716"/>
  </r>
  <r>
    <s v="ORD-10792"/>
    <x v="52"/>
    <s v="CUST-0238"/>
    <s v="PROD-010"/>
    <x v="4"/>
    <s v="Online"/>
    <n v="3"/>
    <n v="0"/>
    <s v="No"/>
    <n v="4"/>
    <n v="2"/>
    <s v="Laptop Stand"/>
    <s v="Accessories"/>
    <n v="48"/>
    <n v="22"/>
    <s v="Consumer"/>
    <n v="144"/>
    <n v="66"/>
    <n v="78"/>
    <n v="0.54166666666666663"/>
  </r>
  <r>
    <s v="ORD-10793"/>
    <x v="317"/>
    <s v="CUST-0003"/>
    <s v="PROD-001"/>
    <x v="0"/>
    <s v="Retail Store"/>
    <n v="2"/>
    <n v="0"/>
    <s v="No"/>
    <n v="4"/>
    <n v="3"/>
    <s v="Laptop"/>
    <s v="Technology"/>
    <n v="1100"/>
    <n v="720"/>
    <s v="Consumer"/>
    <n v="2200"/>
    <n v="1440"/>
    <n v="760"/>
    <n v="0.34545454545454546"/>
  </r>
  <r>
    <s v="ORD-10794"/>
    <x v="353"/>
    <s v="CUST-0251"/>
    <s v="PROD-010"/>
    <x v="1"/>
    <s v="Retail Store"/>
    <n v="2"/>
    <n v="0"/>
    <s v="Yes"/>
    <n v="4"/>
    <n v="7"/>
    <s v="Laptop Stand"/>
    <s v="Accessories"/>
    <n v="48"/>
    <n v="22"/>
    <s v="Consumer"/>
    <n v="96"/>
    <n v="44"/>
    <n v="52"/>
    <n v="0.54166666666666663"/>
  </r>
  <r>
    <s v="ORD-10795"/>
    <x v="342"/>
    <s v="CUST-0224"/>
    <s v="PROD-009"/>
    <x v="0"/>
    <s v="Retail Store"/>
    <n v="2"/>
    <n v="0.1"/>
    <s v="No"/>
    <n v="4"/>
    <n v="1"/>
    <s v="Bookshelf"/>
    <s v="Furniture"/>
    <n v="185"/>
    <n v="105"/>
    <s v="Corporate"/>
    <n v="333"/>
    <n v="210"/>
    <n v="123"/>
    <n v="0.36936936936936937"/>
  </r>
  <r>
    <s v="ORD-10796"/>
    <x v="442"/>
    <s v="CUST-0218"/>
    <s v="PROD-008"/>
    <x v="3"/>
    <s v="Online"/>
    <n v="4"/>
    <n v="0.05"/>
    <s v="No"/>
    <n v="5"/>
    <n v="2"/>
    <s v="Office Chair"/>
    <s v="Furniture"/>
    <n v="255"/>
    <n v="145"/>
    <s v="Corporate"/>
    <n v="969"/>
    <n v="580"/>
    <n v="389"/>
    <n v="0.40144478844169246"/>
  </r>
  <r>
    <s v="ORD-10797"/>
    <x v="163"/>
    <s v="CUST-0234"/>
    <s v="PROD-005"/>
    <x v="3"/>
    <s v="Retail Store"/>
    <n v="7"/>
    <n v="0.15"/>
    <s v="No"/>
    <n v="5"/>
    <n v="4"/>
    <s v="Webcam"/>
    <s v="Technology"/>
    <n v="115"/>
    <n v="58"/>
    <s v="Corporate"/>
    <n v="684.25"/>
    <n v="406"/>
    <n v="278.25"/>
    <n v="0.40664961636828645"/>
  </r>
  <r>
    <s v="ORD-10798"/>
    <x v="443"/>
    <s v="CUST-0042"/>
    <s v="PROD-007"/>
    <x v="0"/>
    <s v="Online"/>
    <n v="2"/>
    <n v="0.1"/>
    <s v="No"/>
    <n v="4"/>
    <n v="4"/>
    <s v="Standing Desk"/>
    <s v="Furniture"/>
    <n v="540"/>
    <n v="320"/>
    <s v="Consumer"/>
    <n v="972"/>
    <n v="640"/>
    <n v="332"/>
    <n v="0.34156378600823045"/>
  </r>
  <r>
    <s v="ORD-10799"/>
    <x v="444"/>
    <s v="CUST-0158"/>
    <s v="PROD-014"/>
    <x v="1"/>
    <s v="B2B Sales"/>
    <n v="5"/>
    <n v="0"/>
    <s v="No"/>
    <n v="5"/>
    <n v="2"/>
    <s v="Printer Paper"/>
    <s v="Office Supplies"/>
    <n v="17"/>
    <n v="8"/>
    <s v="Corporate"/>
    <n v="85"/>
    <n v="40"/>
    <n v="45"/>
    <n v="0.52941176470588236"/>
  </r>
  <r>
    <s v="ORD-10800"/>
    <x v="42"/>
    <s v="CUST-0108"/>
    <s v="PROD-013"/>
    <x v="1"/>
    <s v="Online"/>
    <n v="1"/>
    <n v="0.05"/>
    <s v="No"/>
    <n v="5"/>
    <n v="4"/>
    <s v="Phone Charger"/>
    <s v="Accessories"/>
    <n v="32"/>
    <n v="13"/>
    <s v="Consumer"/>
    <n v="30.4"/>
    <n v="13"/>
    <n v="17.399999999999999"/>
    <n v="0.57236842105263153"/>
  </r>
  <r>
    <s v="ORD-10801"/>
    <x v="445"/>
    <s v="CUST-0214"/>
    <s v="PROD-010"/>
    <x v="1"/>
    <s v="Online"/>
    <n v="2"/>
    <n v="0.1"/>
    <s v="No"/>
    <n v="3"/>
    <n v="1"/>
    <s v="Laptop Stand"/>
    <s v="Accessories"/>
    <n v="48"/>
    <n v="22"/>
    <s v="Consumer"/>
    <n v="86.4"/>
    <n v="44"/>
    <n v="42.400000000000006"/>
    <n v="0.49074074074074076"/>
  </r>
  <r>
    <s v="ORD-10802"/>
    <x v="89"/>
    <s v="CUST-0291"/>
    <s v="PROD-007"/>
    <x v="2"/>
    <s v="Online"/>
    <n v="1"/>
    <n v="0.1"/>
    <s v="No"/>
    <n v="5"/>
    <n v="4"/>
    <s v="Standing Desk"/>
    <s v="Furniture"/>
    <n v="540"/>
    <n v="320"/>
    <s v="Consumer"/>
    <n v="486"/>
    <n v="320"/>
    <n v="166"/>
    <n v="0.34156378600823045"/>
  </r>
  <r>
    <s v="ORD-10803"/>
    <x v="97"/>
    <s v="CUST-0056"/>
    <s v="PROD-006"/>
    <x v="2"/>
    <s v="Online"/>
    <n v="1"/>
    <n v="0"/>
    <s v="No"/>
    <n v="3"/>
    <n v="4"/>
    <s v="Headset"/>
    <s v="Technology"/>
    <n v="98"/>
    <n v="46"/>
    <s v="Corporate"/>
    <n v="98"/>
    <n v="46"/>
    <n v="52"/>
    <n v="0.53061224489795922"/>
  </r>
  <r>
    <s v="ORD-10804"/>
    <x v="248"/>
    <s v="CUST-0005"/>
    <s v="PROD-002"/>
    <x v="3"/>
    <s v="B2B Sales"/>
    <n v="3"/>
    <n v="0.1"/>
    <s v="No"/>
    <n v="3"/>
    <n v="1"/>
    <s v="Monitor"/>
    <s v="Technology"/>
    <n v="310"/>
    <n v="190"/>
    <s v="Corporate"/>
    <n v="837"/>
    <n v="570"/>
    <n v="267"/>
    <n v="0.31899641577060933"/>
  </r>
  <r>
    <s v="ORD-10805"/>
    <x v="379"/>
    <s v="CUST-0267"/>
    <s v="PROD-009"/>
    <x v="0"/>
    <s v="Online"/>
    <n v="2"/>
    <n v="0"/>
    <s v="No"/>
    <n v="5"/>
    <n v="3"/>
    <s v="Bookshelf"/>
    <s v="Furniture"/>
    <n v="185"/>
    <n v="105"/>
    <s v="Corporate"/>
    <n v="370"/>
    <n v="210"/>
    <n v="160"/>
    <n v="0.43243243243243246"/>
  </r>
  <r>
    <s v="ORD-10806"/>
    <x v="446"/>
    <s v="CUST-0185"/>
    <s v="PROD-013"/>
    <x v="3"/>
    <s v="Online"/>
    <n v="2"/>
    <n v="0"/>
    <s v="No"/>
    <n v="4"/>
    <n v="4"/>
    <s v="Phone Charger"/>
    <s v="Accessories"/>
    <n v="32"/>
    <n v="13"/>
    <s v="Consumer"/>
    <n v="64"/>
    <n v="26"/>
    <n v="38"/>
    <n v="0.59375"/>
  </r>
  <r>
    <s v="ORD-10807"/>
    <x v="180"/>
    <s v="CUST-0014"/>
    <s v="PROD-004"/>
    <x v="0"/>
    <s v="Online"/>
    <n v="3"/>
    <n v="0.1"/>
    <s v="No"/>
    <n v="5"/>
    <n v="4"/>
    <s v="Mouse"/>
    <s v="Technology"/>
    <n v="42"/>
    <n v="19"/>
    <s v="Consumer"/>
    <n v="113.4"/>
    <n v="57"/>
    <n v="56.400000000000006"/>
    <n v="0.49735449735449738"/>
  </r>
  <r>
    <s v="ORD-10808"/>
    <x v="104"/>
    <s v="CUST-0212"/>
    <s v="PROD-007"/>
    <x v="2"/>
    <s v="Retail Store"/>
    <n v="7"/>
    <n v="0"/>
    <s v="No"/>
    <n v="5"/>
    <n v="3"/>
    <s v="Standing Desk"/>
    <s v="Furniture"/>
    <n v="540"/>
    <n v="320"/>
    <s v="Corporate"/>
    <n v="3780"/>
    <n v="2240"/>
    <n v="1540"/>
    <n v="0.40740740740740738"/>
  </r>
  <r>
    <s v="ORD-10809"/>
    <x v="96"/>
    <s v="CUST-0120"/>
    <s v="PROD-016"/>
    <x v="3"/>
    <s v="Retail Store"/>
    <n v="1"/>
    <n v="0"/>
    <s v="Yes"/>
    <n v="5"/>
    <n v="5"/>
    <s v="Desk Organiser"/>
    <s v="Office Supplies"/>
    <n v="28"/>
    <n v="12"/>
    <s v="Consumer"/>
    <n v="28"/>
    <n v="12"/>
    <n v="16"/>
    <n v="0.5714285714285714"/>
  </r>
  <r>
    <s v="ORD-10810"/>
    <x v="447"/>
    <s v="CUST-0100"/>
    <s v="PROD-005"/>
    <x v="0"/>
    <s v="B2B Sales"/>
    <n v="4"/>
    <n v="0.1"/>
    <s v="No"/>
    <n v="4"/>
    <n v="1"/>
    <s v="Webcam"/>
    <s v="Technology"/>
    <n v="115"/>
    <n v="58"/>
    <s v="Small Business"/>
    <n v="414"/>
    <n v="232"/>
    <n v="182"/>
    <n v="0.43961352657004832"/>
  </r>
  <r>
    <s v="ORD-10811"/>
    <x v="397"/>
    <s v="CUST-0281"/>
    <s v="PROD-015"/>
    <x v="2"/>
    <s v="Online"/>
    <n v="1"/>
    <n v="0.1"/>
    <s v="No"/>
    <n v="3"/>
    <n v="1"/>
    <s v="File Folder Pack"/>
    <s v="Office Supplies"/>
    <n v="23"/>
    <n v="10"/>
    <s v="Corporate"/>
    <n v="20.7"/>
    <n v="10"/>
    <n v="10.7"/>
    <n v="0.51690821256038644"/>
  </r>
  <r>
    <s v="ORD-10812"/>
    <x v="27"/>
    <s v="CUST-0223"/>
    <s v="PROD-001"/>
    <x v="2"/>
    <s v="B2B Sales"/>
    <n v="6"/>
    <n v="0.1"/>
    <s v="No"/>
    <n v="4"/>
    <n v="4"/>
    <s v="Laptop"/>
    <s v="Technology"/>
    <n v="1100"/>
    <n v="720"/>
    <s v="Corporate"/>
    <n v="5940"/>
    <n v="4320"/>
    <n v="1620"/>
    <n v="0.27272727272727271"/>
  </r>
  <r>
    <s v="ORD-10813"/>
    <x v="448"/>
    <s v="CUST-0070"/>
    <s v="PROD-016"/>
    <x v="2"/>
    <s v="Retail Store"/>
    <n v="5"/>
    <n v="0.15"/>
    <s v="No"/>
    <n v="4"/>
    <n v="3"/>
    <s v="Desk Organiser"/>
    <s v="Office Supplies"/>
    <n v="28"/>
    <n v="12"/>
    <s v="Consumer"/>
    <n v="119"/>
    <n v="60"/>
    <n v="59"/>
    <n v="0.49579831932773111"/>
  </r>
  <r>
    <s v="ORD-10814"/>
    <x v="449"/>
    <s v="CUST-0196"/>
    <s v="PROD-014"/>
    <x v="0"/>
    <s v="Online"/>
    <n v="1"/>
    <n v="0"/>
    <s v="No"/>
    <n v="5"/>
    <n v="2"/>
    <s v="Printer Paper"/>
    <s v="Office Supplies"/>
    <n v="17"/>
    <n v="8"/>
    <s v="Small Business"/>
    <n v="17"/>
    <n v="8"/>
    <n v="9"/>
    <n v="0.52941176470588236"/>
  </r>
  <r>
    <s v="ORD-10815"/>
    <x v="264"/>
    <s v="CUST-0294"/>
    <s v="PROD-012"/>
    <x v="2"/>
    <s v="Online"/>
    <n v="2"/>
    <n v="0.1"/>
    <s v="No"/>
    <n v="4"/>
    <n v="2"/>
    <s v="USB-C Hub"/>
    <s v="Accessories"/>
    <n v="68"/>
    <n v="31"/>
    <s v="Consumer"/>
    <n v="122.4"/>
    <n v="62"/>
    <n v="60.400000000000006"/>
    <n v="0.49346405228758172"/>
  </r>
  <r>
    <s v="ORD-10816"/>
    <x v="188"/>
    <s v="CUST-0217"/>
    <s v="PROD-011"/>
    <x v="0"/>
    <s v="Retail Store"/>
    <n v="6"/>
    <n v="0"/>
    <s v="No"/>
    <n v="4"/>
    <n v="1"/>
    <s v="Backpack"/>
    <s v="Accessories"/>
    <n v="85"/>
    <n v="39"/>
    <s v="Corporate"/>
    <n v="510"/>
    <n v="234"/>
    <n v="276"/>
    <n v="0.54117647058823526"/>
  </r>
  <r>
    <s v="ORD-10817"/>
    <x v="308"/>
    <s v="CUST-0005"/>
    <s v="PROD-015"/>
    <x v="3"/>
    <s v="Retail Store"/>
    <n v="1"/>
    <n v="0"/>
    <s v="No"/>
    <n v="3"/>
    <n v="3"/>
    <s v="File Folder Pack"/>
    <s v="Office Supplies"/>
    <n v="23"/>
    <n v="10"/>
    <s v="Corporate"/>
    <n v="23"/>
    <n v="10"/>
    <n v="13"/>
    <n v="0.56521739130434778"/>
  </r>
  <r>
    <s v="ORD-10818"/>
    <x v="54"/>
    <s v="CUST-0018"/>
    <s v="PROD-011"/>
    <x v="3"/>
    <s v="B2B Sales"/>
    <n v="1"/>
    <n v="0.2"/>
    <s v="No"/>
    <n v="4"/>
    <n v="2"/>
    <s v="Backpack"/>
    <s v="Accessories"/>
    <n v="85"/>
    <n v="39"/>
    <s v="Corporate"/>
    <n v="68"/>
    <n v="39"/>
    <n v="29"/>
    <n v="0.4264705882352941"/>
  </r>
  <r>
    <s v="ORD-10819"/>
    <x v="450"/>
    <s v="CUST-0150"/>
    <s v="PROD-013"/>
    <x v="2"/>
    <s v="Retail Store"/>
    <n v="1"/>
    <n v="0.1"/>
    <s v="No"/>
    <n v="5"/>
    <n v="2"/>
    <s v="Phone Charger"/>
    <s v="Accessories"/>
    <n v="32"/>
    <n v="13"/>
    <s v="Consumer"/>
    <n v="28.8"/>
    <n v="13"/>
    <n v="15.8"/>
    <n v="0.54861111111111116"/>
  </r>
  <r>
    <s v="ORD-10820"/>
    <x v="98"/>
    <s v="CUST-0092"/>
    <s v="PROD-016"/>
    <x v="1"/>
    <s v="Online"/>
    <n v="4"/>
    <n v="0.15"/>
    <s v="No"/>
    <n v="1"/>
    <n v="7"/>
    <s v="Desk Organiser"/>
    <s v="Office Supplies"/>
    <n v="28"/>
    <n v="12"/>
    <s v="Corporate"/>
    <n v="95.2"/>
    <n v="48"/>
    <n v="47.2"/>
    <n v="0.49579831932773111"/>
  </r>
  <r>
    <s v="ORD-10821"/>
    <x v="451"/>
    <s v="CUST-0243"/>
    <s v="PROD-012"/>
    <x v="1"/>
    <s v="Online"/>
    <n v="2"/>
    <n v="0"/>
    <s v="No"/>
    <n v="3"/>
    <n v="5"/>
    <s v="USB-C Hub"/>
    <s v="Accessories"/>
    <n v="68"/>
    <n v="31"/>
    <s v="Corporate"/>
    <n v="136"/>
    <n v="62"/>
    <n v="74"/>
    <n v="0.54411764705882348"/>
  </r>
  <r>
    <s v="ORD-10822"/>
    <x v="452"/>
    <s v="CUST-0050"/>
    <s v="PROD-005"/>
    <x v="3"/>
    <s v="Retail Store"/>
    <n v="5"/>
    <n v="0"/>
    <s v="Yes"/>
    <n v="4"/>
    <n v="4"/>
    <s v="Webcam"/>
    <s v="Technology"/>
    <n v="115"/>
    <n v="58"/>
    <s v="Consumer"/>
    <n v="575"/>
    <n v="290"/>
    <n v="285"/>
    <n v="0.4956521739130435"/>
  </r>
  <r>
    <s v="ORD-10823"/>
    <x v="10"/>
    <s v="CUST-0248"/>
    <s v="PROD-010"/>
    <x v="0"/>
    <s v="Online"/>
    <n v="4"/>
    <n v="0"/>
    <s v="No"/>
    <n v="4"/>
    <n v="5"/>
    <s v="Laptop Stand"/>
    <s v="Accessories"/>
    <n v="48"/>
    <n v="22"/>
    <s v="Consumer"/>
    <n v="192"/>
    <n v="88"/>
    <n v="104"/>
    <n v="0.54166666666666663"/>
  </r>
  <r>
    <s v="ORD-10824"/>
    <x v="382"/>
    <s v="CUST-0076"/>
    <s v="PROD-013"/>
    <x v="0"/>
    <s v="Online"/>
    <n v="5"/>
    <n v="0.15"/>
    <s v="No"/>
    <n v="5"/>
    <n v="2"/>
    <s v="Phone Charger"/>
    <s v="Accessories"/>
    <n v="32"/>
    <n v="13"/>
    <s v="Consumer"/>
    <n v="136"/>
    <n v="65"/>
    <n v="71"/>
    <n v="0.5220588235294118"/>
  </r>
  <r>
    <s v="ORD-10825"/>
    <x v="98"/>
    <s v="CUST-0061"/>
    <s v="PROD-011"/>
    <x v="4"/>
    <s v="B2B Sales"/>
    <n v="3"/>
    <n v="0"/>
    <s v="No"/>
    <n v="3"/>
    <n v="4"/>
    <s v="Backpack"/>
    <s v="Accessories"/>
    <n v="85"/>
    <n v="39"/>
    <s v="Small Business"/>
    <n v="255"/>
    <n v="117"/>
    <n v="138"/>
    <n v="0.54117647058823526"/>
  </r>
  <r>
    <s v="ORD-10826"/>
    <x v="124"/>
    <s v="CUST-0089"/>
    <s v="PROD-013"/>
    <x v="0"/>
    <s v="B2B Sales"/>
    <n v="3"/>
    <n v="0"/>
    <s v="No"/>
    <n v="5"/>
    <n v="4"/>
    <s v="Phone Charger"/>
    <s v="Accessories"/>
    <n v="32"/>
    <n v="13"/>
    <s v="Consumer"/>
    <n v="96"/>
    <n v="39"/>
    <n v="57"/>
    <n v="0.59375"/>
  </r>
  <r>
    <s v="ORD-10827"/>
    <x v="16"/>
    <s v="CUST-0228"/>
    <s v="PROD-012"/>
    <x v="2"/>
    <s v="Online"/>
    <n v="1"/>
    <n v="0.05"/>
    <s v="No"/>
    <n v="3"/>
    <n v="5"/>
    <s v="USB-C Hub"/>
    <s v="Accessories"/>
    <n v="68"/>
    <n v="31"/>
    <s v="Small Business"/>
    <n v="64.599999999999994"/>
    <n v="31"/>
    <n v="33.599999999999994"/>
    <n v="0.52012383900928794"/>
  </r>
  <r>
    <s v="ORD-10828"/>
    <x v="146"/>
    <s v="CUST-0294"/>
    <s v="PROD-016"/>
    <x v="3"/>
    <s v="Retail Store"/>
    <n v="4"/>
    <n v="0"/>
    <s v="No"/>
    <n v="5"/>
    <n v="4"/>
    <s v="Desk Organiser"/>
    <s v="Office Supplies"/>
    <n v="28"/>
    <n v="12"/>
    <s v="Consumer"/>
    <n v="112"/>
    <n v="48"/>
    <n v="64"/>
    <n v="0.5714285714285714"/>
  </r>
  <r>
    <s v="ORD-10829"/>
    <x v="453"/>
    <s v="CUST-0293"/>
    <s v="PROD-005"/>
    <x v="2"/>
    <s v="Online"/>
    <n v="6"/>
    <n v="0.1"/>
    <s v="No"/>
    <n v="5"/>
    <n v="1"/>
    <s v="Webcam"/>
    <s v="Technology"/>
    <n v="115"/>
    <n v="58"/>
    <s v="Corporate"/>
    <n v="621"/>
    <n v="348"/>
    <n v="273"/>
    <n v="0.43961352657004832"/>
  </r>
  <r>
    <s v="ORD-10830"/>
    <x v="452"/>
    <s v="CUST-0285"/>
    <s v="PROD-016"/>
    <x v="2"/>
    <s v="B2B Sales"/>
    <n v="2"/>
    <n v="0.1"/>
    <s v="No"/>
    <n v="5"/>
    <n v="2"/>
    <s v="Desk Organiser"/>
    <s v="Office Supplies"/>
    <n v="28"/>
    <n v="12"/>
    <s v="Consumer"/>
    <n v="50.4"/>
    <n v="24"/>
    <n v="26.4"/>
    <n v="0.52380952380952384"/>
  </r>
  <r>
    <s v="ORD-10831"/>
    <x v="454"/>
    <s v="CUST-0093"/>
    <s v="PROD-006"/>
    <x v="2"/>
    <s v="Online"/>
    <n v="1"/>
    <n v="0"/>
    <s v="No"/>
    <n v="5"/>
    <n v="1"/>
    <s v="Headset"/>
    <s v="Technology"/>
    <n v="98"/>
    <n v="46"/>
    <s v="Corporate"/>
    <n v="98"/>
    <n v="46"/>
    <n v="52"/>
    <n v="0.53061224489795922"/>
  </r>
  <r>
    <s v="ORD-10832"/>
    <x v="192"/>
    <s v="CUST-0132"/>
    <s v="PROD-002"/>
    <x v="2"/>
    <s v="Online"/>
    <n v="1"/>
    <n v="0.2"/>
    <s v="No"/>
    <n v="5"/>
    <n v="1"/>
    <s v="Monitor"/>
    <s v="Technology"/>
    <n v="310"/>
    <n v="190"/>
    <s v="Consumer"/>
    <n v="248"/>
    <n v="190"/>
    <n v="58"/>
    <n v="0.23387096774193547"/>
  </r>
  <r>
    <s v="ORD-10833"/>
    <x v="408"/>
    <s v="CUST-0154"/>
    <s v="PROD-002"/>
    <x v="0"/>
    <s v="Retail Store"/>
    <n v="4"/>
    <n v="0.05"/>
    <s v="No"/>
    <n v="4"/>
    <n v="3"/>
    <s v="Monitor"/>
    <s v="Technology"/>
    <n v="310"/>
    <n v="190"/>
    <s v="Corporate"/>
    <n v="1178"/>
    <n v="760"/>
    <n v="418"/>
    <n v="0.35483870967741937"/>
  </r>
  <r>
    <s v="ORD-10834"/>
    <x v="90"/>
    <s v="CUST-0181"/>
    <s v="PROD-007"/>
    <x v="1"/>
    <s v="Retail Store"/>
    <n v="1"/>
    <n v="0"/>
    <s v="No"/>
    <n v="5"/>
    <n v="2"/>
    <s v="Standing Desk"/>
    <s v="Furniture"/>
    <n v="540"/>
    <n v="320"/>
    <s v="Corporate"/>
    <n v="540"/>
    <n v="320"/>
    <n v="220"/>
    <n v="0.40740740740740738"/>
  </r>
  <r>
    <s v="ORD-10835"/>
    <x v="455"/>
    <s v="CUST-0283"/>
    <s v="PROD-007"/>
    <x v="4"/>
    <s v="Online"/>
    <n v="4"/>
    <n v="0"/>
    <s v="No"/>
    <n v="4"/>
    <n v="2"/>
    <s v="Standing Desk"/>
    <s v="Furniture"/>
    <n v="540"/>
    <n v="320"/>
    <s v="Corporate"/>
    <n v="2160"/>
    <n v="1280"/>
    <n v="880"/>
    <n v="0.40740740740740738"/>
  </r>
  <r>
    <s v="ORD-10836"/>
    <x v="456"/>
    <s v="CUST-0234"/>
    <s v="PROD-003"/>
    <x v="0"/>
    <s v="Retail Store"/>
    <n v="7"/>
    <n v="0"/>
    <s v="No"/>
    <n v="5"/>
    <n v="3"/>
    <s v="Keyboard"/>
    <s v="Technology"/>
    <n v="75"/>
    <n v="38"/>
    <s v="Corporate"/>
    <n v="525"/>
    <n v="266"/>
    <n v="259"/>
    <n v="0.49333333333333335"/>
  </r>
  <r>
    <s v="ORD-10837"/>
    <x v="316"/>
    <s v="CUST-0191"/>
    <s v="PROD-006"/>
    <x v="3"/>
    <s v="Online"/>
    <n v="8"/>
    <n v="0"/>
    <s v="No"/>
    <n v="4"/>
    <n v="1"/>
    <s v="Headset"/>
    <s v="Technology"/>
    <n v="98"/>
    <n v="46"/>
    <s v="Consumer"/>
    <n v="784"/>
    <n v="368"/>
    <n v="416"/>
    <n v="0.53061224489795922"/>
  </r>
  <r>
    <s v="ORD-10838"/>
    <x v="245"/>
    <s v="CUST-0064"/>
    <s v="PROD-004"/>
    <x v="1"/>
    <s v="Online"/>
    <n v="2"/>
    <n v="0"/>
    <s v="No"/>
    <n v="5"/>
    <n v="2"/>
    <s v="Mouse"/>
    <s v="Technology"/>
    <n v="42"/>
    <n v="19"/>
    <s v="Corporate"/>
    <n v="84"/>
    <n v="38"/>
    <n v="46"/>
    <n v="0.54761904761904767"/>
  </r>
  <r>
    <s v="ORD-10839"/>
    <x v="37"/>
    <s v="CUST-0141"/>
    <s v="PROD-001"/>
    <x v="2"/>
    <s v="B2B Sales"/>
    <n v="1"/>
    <n v="0.2"/>
    <s v="No"/>
    <n v="3"/>
    <n v="5"/>
    <s v="Laptop"/>
    <s v="Technology"/>
    <n v="1100"/>
    <n v="720"/>
    <s v="Consumer"/>
    <n v="880"/>
    <n v="720"/>
    <n v="160"/>
    <n v="0.18181818181818182"/>
  </r>
  <r>
    <s v="ORD-10840"/>
    <x v="457"/>
    <s v="CUST-0251"/>
    <s v="PROD-004"/>
    <x v="4"/>
    <s v="Retail Store"/>
    <n v="5"/>
    <n v="0.05"/>
    <s v="No"/>
    <n v="5"/>
    <n v="2"/>
    <s v="Mouse"/>
    <s v="Technology"/>
    <n v="42"/>
    <n v="19"/>
    <s v="Consumer"/>
    <n v="199.5"/>
    <n v="95"/>
    <n v="104.5"/>
    <n v="0.52380952380952384"/>
  </r>
  <r>
    <s v="ORD-10841"/>
    <x v="357"/>
    <s v="CUST-0200"/>
    <s v="PROD-006"/>
    <x v="3"/>
    <s v="Retail Store"/>
    <n v="7"/>
    <n v="0.05"/>
    <s v="No"/>
    <n v="5"/>
    <n v="4"/>
    <s v="Headset"/>
    <s v="Technology"/>
    <n v="98"/>
    <n v="46"/>
    <s v="Small Business"/>
    <n v="651.69999999999993"/>
    <n v="322"/>
    <n v="329.69999999999993"/>
    <n v="0.50590762620837804"/>
  </r>
  <r>
    <s v="ORD-10842"/>
    <x v="122"/>
    <s v="CUST-0066"/>
    <s v="PROD-009"/>
    <x v="2"/>
    <s v="Retail Store"/>
    <n v="1"/>
    <n v="0"/>
    <s v="No"/>
    <n v="5"/>
    <n v="1"/>
    <s v="Bookshelf"/>
    <s v="Furniture"/>
    <n v="185"/>
    <n v="105"/>
    <s v="Corporate"/>
    <n v="185"/>
    <n v="105"/>
    <n v="80"/>
    <n v="0.43243243243243246"/>
  </r>
  <r>
    <s v="ORD-10843"/>
    <x v="115"/>
    <s v="CUST-0128"/>
    <s v="PROD-014"/>
    <x v="1"/>
    <s v="Online"/>
    <n v="8"/>
    <n v="0.1"/>
    <s v="No"/>
    <n v="4"/>
    <n v="4"/>
    <s v="Printer Paper"/>
    <s v="Office Supplies"/>
    <n v="17"/>
    <n v="8"/>
    <s v="Small Business"/>
    <n v="122.4"/>
    <n v="64"/>
    <n v="58.400000000000006"/>
    <n v="0.47712418300653597"/>
  </r>
  <r>
    <s v="ORD-10844"/>
    <x v="71"/>
    <s v="CUST-0118"/>
    <s v="PROD-010"/>
    <x v="1"/>
    <s v="Online"/>
    <n v="1"/>
    <n v="0.1"/>
    <s v="No"/>
    <n v="5"/>
    <n v="1"/>
    <s v="Laptop Stand"/>
    <s v="Accessories"/>
    <n v="48"/>
    <n v="22"/>
    <s v="Corporate"/>
    <n v="43.2"/>
    <n v="22"/>
    <n v="21.200000000000003"/>
    <n v="0.49074074074074076"/>
  </r>
  <r>
    <s v="ORD-10845"/>
    <x v="446"/>
    <s v="CUST-0048"/>
    <s v="PROD-006"/>
    <x v="4"/>
    <s v="Online"/>
    <n v="1"/>
    <n v="0.15"/>
    <s v="No"/>
    <n v="1"/>
    <n v="6"/>
    <s v="Headset"/>
    <s v="Technology"/>
    <n v="98"/>
    <n v="46"/>
    <s v="Consumer"/>
    <n v="83.3"/>
    <n v="46"/>
    <n v="37.299999999999997"/>
    <n v="0.44777911164465783"/>
  </r>
  <r>
    <s v="ORD-10846"/>
    <x v="137"/>
    <s v="CUST-0255"/>
    <s v="PROD-004"/>
    <x v="3"/>
    <s v="Retail Store"/>
    <n v="6"/>
    <n v="0.1"/>
    <s v="No"/>
    <n v="5"/>
    <n v="3"/>
    <s v="Mouse"/>
    <s v="Technology"/>
    <n v="42"/>
    <n v="19"/>
    <s v="Small Business"/>
    <n v="226.8"/>
    <n v="114"/>
    <n v="112.80000000000001"/>
    <n v="0.49735449735449738"/>
  </r>
  <r>
    <s v="ORD-10847"/>
    <x v="458"/>
    <s v="CUST-0271"/>
    <s v="PROD-002"/>
    <x v="1"/>
    <s v="B2B Sales"/>
    <n v="3"/>
    <n v="0.15"/>
    <s v="No"/>
    <n v="3"/>
    <n v="1"/>
    <s v="Monitor"/>
    <s v="Technology"/>
    <n v="310"/>
    <n v="190"/>
    <s v="Small Business"/>
    <n v="790.5"/>
    <n v="570"/>
    <n v="220.5"/>
    <n v="0.27893738140417457"/>
  </r>
  <r>
    <s v="ORD-10848"/>
    <x v="459"/>
    <s v="CUST-0069"/>
    <s v="PROD-012"/>
    <x v="0"/>
    <s v="Online"/>
    <n v="2"/>
    <n v="0"/>
    <s v="No"/>
    <n v="5"/>
    <n v="2"/>
    <s v="USB-C Hub"/>
    <s v="Accessories"/>
    <n v="68"/>
    <n v="31"/>
    <s v="Consumer"/>
    <n v="136"/>
    <n v="62"/>
    <n v="74"/>
    <n v="0.54411764705882348"/>
  </r>
  <r>
    <s v="ORD-10849"/>
    <x v="60"/>
    <s v="CUST-0061"/>
    <s v="PROD-010"/>
    <x v="3"/>
    <s v="Online"/>
    <n v="1"/>
    <n v="0.1"/>
    <s v="No"/>
    <n v="3"/>
    <n v="3"/>
    <s v="Laptop Stand"/>
    <s v="Accessories"/>
    <n v="48"/>
    <n v="22"/>
    <s v="Small Business"/>
    <n v="43.2"/>
    <n v="22"/>
    <n v="21.200000000000003"/>
    <n v="0.49074074074074076"/>
  </r>
  <r>
    <s v="ORD-10850"/>
    <x v="104"/>
    <s v="CUST-0019"/>
    <s v="PROD-015"/>
    <x v="0"/>
    <s v="B2B Sales"/>
    <n v="1"/>
    <n v="0"/>
    <s v="No"/>
    <n v="4"/>
    <n v="1"/>
    <s v="File Folder Pack"/>
    <s v="Office Supplies"/>
    <n v="23"/>
    <n v="10"/>
    <s v="Small Business"/>
    <n v="23"/>
    <n v="10"/>
    <n v="13"/>
    <n v="0.56521739130434778"/>
  </r>
  <r>
    <s v="ORD-10851"/>
    <x v="404"/>
    <s v="CUST-0180"/>
    <s v="PROD-006"/>
    <x v="3"/>
    <s v="Online"/>
    <n v="2"/>
    <n v="0"/>
    <s v="No"/>
    <n v="5"/>
    <n v="4"/>
    <s v="Headset"/>
    <s v="Technology"/>
    <n v="98"/>
    <n v="46"/>
    <s v="Consumer"/>
    <n v="196"/>
    <n v="92"/>
    <n v="104"/>
    <n v="0.53061224489795922"/>
  </r>
  <r>
    <s v="ORD-10852"/>
    <x v="448"/>
    <s v="CUST-0250"/>
    <s v="PROD-001"/>
    <x v="2"/>
    <s v="Retail Store"/>
    <n v="1"/>
    <n v="0"/>
    <s v="No"/>
    <n v="4"/>
    <n v="2"/>
    <s v="Laptop"/>
    <s v="Technology"/>
    <n v="1100"/>
    <n v="720"/>
    <s v="Consumer"/>
    <n v="1100"/>
    <n v="720"/>
    <n v="380"/>
    <n v="0.34545454545454546"/>
  </r>
  <r>
    <s v="ORD-10853"/>
    <x v="207"/>
    <s v="CUST-0138"/>
    <s v="PROD-004"/>
    <x v="0"/>
    <s v="Retail Store"/>
    <n v="2"/>
    <n v="0"/>
    <s v="No"/>
    <n v="1"/>
    <n v="3"/>
    <s v="Mouse"/>
    <s v="Technology"/>
    <n v="42"/>
    <n v="19"/>
    <s v="Corporate"/>
    <n v="84"/>
    <n v="38"/>
    <n v="46"/>
    <n v="0.54761904761904767"/>
  </r>
  <r>
    <s v="ORD-10854"/>
    <x v="317"/>
    <s v="CUST-0146"/>
    <s v="PROD-002"/>
    <x v="2"/>
    <s v="Online"/>
    <n v="2"/>
    <n v="0"/>
    <s v="No"/>
    <n v="5"/>
    <n v="3"/>
    <s v="Monitor"/>
    <s v="Technology"/>
    <n v="310"/>
    <n v="190"/>
    <s v="Consumer"/>
    <n v="620"/>
    <n v="380"/>
    <n v="240"/>
    <n v="0.38709677419354838"/>
  </r>
  <r>
    <s v="ORD-10855"/>
    <x v="460"/>
    <s v="CUST-0216"/>
    <s v="PROD-016"/>
    <x v="4"/>
    <s v="Retail Store"/>
    <n v="4"/>
    <n v="0"/>
    <s v="No"/>
    <n v="5"/>
    <n v="5"/>
    <s v="Desk Organiser"/>
    <s v="Office Supplies"/>
    <n v="28"/>
    <n v="12"/>
    <s v="Small Business"/>
    <n v="112"/>
    <n v="48"/>
    <n v="64"/>
    <n v="0.5714285714285714"/>
  </r>
  <r>
    <s v="ORD-10856"/>
    <x v="461"/>
    <s v="CUST-0068"/>
    <s v="PROD-004"/>
    <x v="0"/>
    <s v="Retail Store"/>
    <n v="1"/>
    <n v="0"/>
    <s v="No"/>
    <n v="5"/>
    <n v="1"/>
    <s v="Mouse"/>
    <s v="Technology"/>
    <n v="42"/>
    <n v="19"/>
    <s v="Consumer"/>
    <n v="42"/>
    <n v="19"/>
    <n v="23"/>
    <n v="0.54761904761904767"/>
  </r>
  <r>
    <s v="ORD-10857"/>
    <x v="242"/>
    <s v="CUST-0220"/>
    <s v="PROD-001"/>
    <x v="4"/>
    <s v="Online"/>
    <n v="2"/>
    <n v="0.1"/>
    <s v="No"/>
    <n v="3"/>
    <n v="5"/>
    <s v="Laptop"/>
    <s v="Technology"/>
    <n v="1100"/>
    <n v="720"/>
    <s v="Consumer"/>
    <n v="1980"/>
    <n v="1440"/>
    <n v="540"/>
    <n v="0.27272727272727271"/>
  </r>
  <r>
    <s v="ORD-10858"/>
    <x v="462"/>
    <s v="CUST-0128"/>
    <s v="PROD-009"/>
    <x v="1"/>
    <s v="B2B Sales"/>
    <n v="8"/>
    <n v="0"/>
    <s v="No"/>
    <n v="3"/>
    <n v="1"/>
    <s v="Bookshelf"/>
    <s v="Furniture"/>
    <n v="185"/>
    <n v="105"/>
    <s v="Small Business"/>
    <n v="1480"/>
    <n v="840"/>
    <n v="640"/>
    <n v="0.43243243243243246"/>
  </r>
  <r>
    <s v="ORD-10859"/>
    <x v="212"/>
    <s v="CUST-0093"/>
    <s v="PROD-007"/>
    <x v="0"/>
    <s v="Retail Store"/>
    <n v="3"/>
    <n v="0"/>
    <s v="No"/>
    <n v="1"/>
    <n v="4"/>
    <s v="Standing Desk"/>
    <s v="Furniture"/>
    <n v="540"/>
    <n v="320"/>
    <s v="Corporate"/>
    <n v="1620"/>
    <n v="960"/>
    <n v="660"/>
    <n v="0.40740740740740738"/>
  </r>
  <r>
    <s v="ORD-10860"/>
    <x v="463"/>
    <s v="CUST-0010"/>
    <s v="PROD-007"/>
    <x v="2"/>
    <s v="Online"/>
    <n v="2"/>
    <n v="0"/>
    <s v="No"/>
    <n v="3"/>
    <n v="3"/>
    <s v="Standing Desk"/>
    <s v="Furniture"/>
    <n v="540"/>
    <n v="320"/>
    <s v="Consumer"/>
    <n v="1080"/>
    <n v="640"/>
    <n v="440"/>
    <n v="0.40740740740740738"/>
  </r>
  <r>
    <s v="ORD-10861"/>
    <x v="463"/>
    <s v="CUST-0246"/>
    <s v="PROD-002"/>
    <x v="4"/>
    <s v="Retail Store"/>
    <n v="1"/>
    <n v="0"/>
    <s v="No"/>
    <n v="4"/>
    <n v="4"/>
    <s v="Monitor"/>
    <s v="Technology"/>
    <n v="310"/>
    <n v="190"/>
    <s v="Corporate"/>
    <n v="310"/>
    <n v="190"/>
    <n v="120"/>
    <n v="0.38709677419354838"/>
  </r>
  <r>
    <s v="ORD-10862"/>
    <x v="464"/>
    <s v="CUST-0164"/>
    <s v="PROD-002"/>
    <x v="2"/>
    <s v="Online"/>
    <n v="3"/>
    <n v="0"/>
    <s v="No"/>
    <n v="4"/>
    <n v="5"/>
    <s v="Monitor"/>
    <s v="Technology"/>
    <n v="310"/>
    <n v="190"/>
    <s v="Small Business"/>
    <n v="930"/>
    <n v="570"/>
    <n v="360"/>
    <n v="0.38709677419354838"/>
  </r>
  <r>
    <s v="ORD-10863"/>
    <x v="248"/>
    <s v="CUST-0221"/>
    <s v="PROD-006"/>
    <x v="3"/>
    <s v="Retail Store"/>
    <n v="2"/>
    <n v="0"/>
    <s v="No"/>
    <n v="5"/>
    <n v="2"/>
    <s v="Headset"/>
    <s v="Technology"/>
    <n v="98"/>
    <n v="46"/>
    <s v="Small Business"/>
    <n v="196"/>
    <n v="92"/>
    <n v="104"/>
    <n v="0.53061224489795922"/>
  </r>
  <r>
    <s v="ORD-10864"/>
    <x v="5"/>
    <s v="CUST-0185"/>
    <s v="PROD-012"/>
    <x v="1"/>
    <s v="Retail Store"/>
    <n v="3"/>
    <n v="0"/>
    <s v="No"/>
    <n v="4"/>
    <n v="1"/>
    <s v="USB-C Hub"/>
    <s v="Accessories"/>
    <n v="68"/>
    <n v="31"/>
    <s v="Consumer"/>
    <n v="204"/>
    <n v="93"/>
    <n v="111"/>
    <n v="0.54411764705882348"/>
  </r>
  <r>
    <s v="ORD-10865"/>
    <x v="27"/>
    <s v="CUST-0067"/>
    <s v="PROD-004"/>
    <x v="2"/>
    <s v="B2B Sales"/>
    <n v="5"/>
    <n v="0.1"/>
    <s v="No"/>
    <n v="4"/>
    <n v="1"/>
    <s v="Mouse"/>
    <s v="Technology"/>
    <n v="42"/>
    <n v="19"/>
    <s v="Consumer"/>
    <n v="189"/>
    <n v="95"/>
    <n v="94"/>
    <n v="0.49735449735449733"/>
  </r>
  <r>
    <s v="ORD-10866"/>
    <x v="465"/>
    <s v="CUST-0280"/>
    <s v="PROD-011"/>
    <x v="3"/>
    <s v="Online"/>
    <n v="4"/>
    <n v="0.05"/>
    <s v="No"/>
    <n v="3"/>
    <n v="4"/>
    <s v="Backpack"/>
    <s v="Accessories"/>
    <n v="85"/>
    <n v="39"/>
    <s v="Corporate"/>
    <n v="323"/>
    <n v="156"/>
    <n v="167"/>
    <n v="0.51702786377708976"/>
  </r>
  <r>
    <s v="ORD-10867"/>
    <x v="466"/>
    <s v="CUST-0130"/>
    <s v="PROD-012"/>
    <x v="0"/>
    <s v="Online"/>
    <n v="4"/>
    <n v="0.15"/>
    <s v="No"/>
    <n v="4"/>
    <n v="5"/>
    <s v="USB-C Hub"/>
    <s v="Accessories"/>
    <n v="68"/>
    <n v="31"/>
    <s v="Small Business"/>
    <n v="231.2"/>
    <n v="124"/>
    <n v="107.19999999999999"/>
    <n v="0.46366782006920415"/>
  </r>
  <r>
    <s v="ORD-10868"/>
    <x v="467"/>
    <s v="CUST-0086"/>
    <s v="PROD-009"/>
    <x v="1"/>
    <s v="Online"/>
    <n v="1"/>
    <n v="0.05"/>
    <s v="No"/>
    <n v="5"/>
    <n v="4"/>
    <s v="Bookshelf"/>
    <s v="Furniture"/>
    <n v="185"/>
    <n v="105"/>
    <s v="Consumer"/>
    <n v="175.75"/>
    <n v="105"/>
    <n v="70.75"/>
    <n v="0.40256045519203415"/>
  </r>
  <r>
    <s v="ORD-10869"/>
    <x v="450"/>
    <s v="CUST-0273"/>
    <s v="PROD-003"/>
    <x v="2"/>
    <s v="Retail Store"/>
    <n v="2"/>
    <n v="0.1"/>
    <s v="No"/>
    <n v="4"/>
    <n v="2"/>
    <s v="Keyboard"/>
    <s v="Technology"/>
    <n v="75"/>
    <n v="38"/>
    <s v="Corporate"/>
    <n v="135"/>
    <n v="76"/>
    <n v="59"/>
    <n v="0.43703703703703706"/>
  </r>
  <r>
    <s v="ORD-10870"/>
    <x v="468"/>
    <s v="CUST-0082"/>
    <s v="PROD-007"/>
    <x v="4"/>
    <s v="Online"/>
    <n v="6"/>
    <n v="0.05"/>
    <s v="No"/>
    <n v="5"/>
    <n v="3"/>
    <s v="Standing Desk"/>
    <s v="Furniture"/>
    <n v="540"/>
    <n v="320"/>
    <s v="Consumer"/>
    <n v="3078"/>
    <n v="1920"/>
    <n v="1158"/>
    <n v="0.37621832358674462"/>
  </r>
  <r>
    <s v="ORD-10871"/>
    <x v="310"/>
    <s v="CUST-0113"/>
    <s v="PROD-010"/>
    <x v="1"/>
    <s v="Retail Store"/>
    <n v="1"/>
    <n v="0"/>
    <s v="No"/>
    <n v="1"/>
    <n v="5"/>
    <s v="Laptop Stand"/>
    <s v="Accessories"/>
    <n v="48"/>
    <n v="22"/>
    <s v="Corporate"/>
    <n v="48"/>
    <n v="22"/>
    <n v="26"/>
    <n v="0.54166666666666663"/>
  </r>
  <r>
    <s v="ORD-10872"/>
    <x v="107"/>
    <s v="CUST-0139"/>
    <s v="PROD-002"/>
    <x v="1"/>
    <s v="Online"/>
    <n v="5"/>
    <n v="0.05"/>
    <s v="No"/>
    <n v="4"/>
    <n v="5"/>
    <s v="Monitor"/>
    <s v="Technology"/>
    <n v="310"/>
    <n v="190"/>
    <s v="Corporate"/>
    <n v="1472.5"/>
    <n v="950"/>
    <n v="522.5"/>
    <n v="0.35483870967741937"/>
  </r>
  <r>
    <s v="ORD-10873"/>
    <x v="197"/>
    <s v="CUST-0167"/>
    <s v="PROD-003"/>
    <x v="0"/>
    <s v="B2B Sales"/>
    <n v="1"/>
    <n v="0"/>
    <s v="No"/>
    <n v="4"/>
    <n v="1"/>
    <s v="Keyboard"/>
    <s v="Technology"/>
    <n v="75"/>
    <n v="38"/>
    <s v="Consumer"/>
    <n v="75"/>
    <n v="38"/>
    <n v="37"/>
    <n v="0.49333333333333335"/>
  </r>
  <r>
    <s v="ORD-10874"/>
    <x v="469"/>
    <s v="CUST-0183"/>
    <s v="PROD-008"/>
    <x v="1"/>
    <s v="Online"/>
    <n v="1"/>
    <n v="0"/>
    <s v="No"/>
    <n v="5"/>
    <n v="5"/>
    <s v="Office Chair"/>
    <s v="Furniture"/>
    <n v="255"/>
    <n v="145"/>
    <s v="Small Business"/>
    <n v="255"/>
    <n v="145"/>
    <n v="110"/>
    <n v="0.43137254901960786"/>
  </r>
  <r>
    <s v="ORD-10875"/>
    <x v="27"/>
    <s v="CUST-0196"/>
    <s v="PROD-009"/>
    <x v="0"/>
    <s v="Retail Store"/>
    <n v="3"/>
    <n v="0.1"/>
    <s v="No"/>
    <n v="4"/>
    <n v="5"/>
    <s v="Bookshelf"/>
    <s v="Furniture"/>
    <n v="185"/>
    <n v="105"/>
    <s v="Small Business"/>
    <n v="499.5"/>
    <n v="315"/>
    <n v="184.5"/>
    <n v="0.36936936936936937"/>
  </r>
  <r>
    <s v="ORD-10876"/>
    <x v="308"/>
    <s v="CUST-0080"/>
    <s v="PROD-015"/>
    <x v="3"/>
    <s v="Retail Store"/>
    <n v="2"/>
    <n v="0.15"/>
    <s v="No"/>
    <n v="3"/>
    <n v="2"/>
    <s v="File Folder Pack"/>
    <s v="Office Supplies"/>
    <n v="23"/>
    <n v="10"/>
    <s v="Consumer"/>
    <n v="39.1"/>
    <n v="20"/>
    <n v="19.100000000000001"/>
    <n v="0.48849104859335041"/>
  </r>
  <r>
    <s v="ORD-10877"/>
    <x v="470"/>
    <s v="CUST-0097"/>
    <s v="PROD-016"/>
    <x v="0"/>
    <s v="Online"/>
    <n v="1"/>
    <n v="0"/>
    <s v="No"/>
    <n v="5"/>
    <n v="5"/>
    <s v="Desk Organiser"/>
    <s v="Office Supplies"/>
    <n v="28"/>
    <n v="12"/>
    <s v="Small Business"/>
    <n v="28"/>
    <n v="12"/>
    <n v="16"/>
    <n v="0.5714285714285714"/>
  </r>
  <r>
    <s v="ORD-10878"/>
    <x v="239"/>
    <s v="CUST-0036"/>
    <s v="PROD-005"/>
    <x v="2"/>
    <s v="Online"/>
    <n v="6"/>
    <n v="0.2"/>
    <s v="No"/>
    <n v="4"/>
    <n v="1"/>
    <s v="Webcam"/>
    <s v="Technology"/>
    <n v="115"/>
    <n v="58"/>
    <s v="Corporate"/>
    <n v="552"/>
    <n v="348"/>
    <n v="204"/>
    <n v="0.36956521739130432"/>
  </r>
  <r>
    <s v="ORD-10879"/>
    <x v="294"/>
    <s v="CUST-0194"/>
    <s v="PROD-013"/>
    <x v="2"/>
    <s v="Retail Store"/>
    <n v="4"/>
    <n v="0.05"/>
    <s v="No"/>
    <n v="3"/>
    <n v="1"/>
    <s v="Phone Charger"/>
    <s v="Accessories"/>
    <n v="32"/>
    <n v="13"/>
    <s v="Small Business"/>
    <n v="121.6"/>
    <n v="52"/>
    <n v="69.599999999999994"/>
    <n v="0.57236842105263153"/>
  </r>
  <r>
    <s v="ORD-10880"/>
    <x v="471"/>
    <s v="CUST-0074"/>
    <s v="PROD-001"/>
    <x v="0"/>
    <s v="Online"/>
    <n v="4"/>
    <n v="0.05"/>
    <s v="No"/>
    <n v="5"/>
    <n v="1"/>
    <s v="Laptop"/>
    <s v="Technology"/>
    <n v="1100"/>
    <n v="720"/>
    <s v="Consumer"/>
    <n v="4180"/>
    <n v="2880"/>
    <n v="1300"/>
    <n v="0.31100478468899523"/>
  </r>
  <r>
    <s v="ORD-10881"/>
    <x v="332"/>
    <s v="CUST-0072"/>
    <s v="PROD-016"/>
    <x v="1"/>
    <s v="B2B Sales"/>
    <n v="4"/>
    <n v="0"/>
    <s v="No"/>
    <n v="3"/>
    <n v="5"/>
    <s v="Desk Organiser"/>
    <s v="Office Supplies"/>
    <n v="28"/>
    <n v="12"/>
    <s v="Small Business"/>
    <n v="112"/>
    <n v="48"/>
    <n v="64"/>
    <n v="0.5714285714285714"/>
  </r>
  <r>
    <s v="ORD-10882"/>
    <x v="3"/>
    <s v="CUST-0279"/>
    <s v="PROD-004"/>
    <x v="2"/>
    <s v="Online"/>
    <n v="2"/>
    <n v="0"/>
    <s v="No"/>
    <n v="4"/>
    <n v="1"/>
    <s v="Mouse"/>
    <s v="Technology"/>
    <n v="42"/>
    <n v="19"/>
    <s v="Consumer"/>
    <n v="84"/>
    <n v="38"/>
    <n v="46"/>
    <n v="0.54761904761904767"/>
  </r>
  <r>
    <s v="ORD-10883"/>
    <x v="118"/>
    <s v="CUST-0013"/>
    <s v="PROD-008"/>
    <x v="4"/>
    <s v="Online"/>
    <n v="3"/>
    <n v="0"/>
    <s v="No"/>
    <n v="4"/>
    <n v="1"/>
    <s v="Office Chair"/>
    <s v="Furniture"/>
    <n v="255"/>
    <n v="145"/>
    <s v="Consumer"/>
    <n v="765"/>
    <n v="435"/>
    <n v="330"/>
    <n v="0.43137254901960786"/>
  </r>
  <r>
    <s v="ORD-10884"/>
    <x v="36"/>
    <s v="CUST-0087"/>
    <s v="PROD-004"/>
    <x v="3"/>
    <s v="B2B Sales"/>
    <n v="1"/>
    <n v="0"/>
    <s v="No"/>
    <n v="4"/>
    <n v="1"/>
    <s v="Mouse"/>
    <s v="Technology"/>
    <n v="42"/>
    <n v="19"/>
    <s v="Small Business"/>
    <n v="42"/>
    <n v="19"/>
    <n v="23"/>
    <n v="0.54761904761904767"/>
  </r>
  <r>
    <s v="ORD-10885"/>
    <x v="329"/>
    <s v="CUST-0078"/>
    <s v="PROD-006"/>
    <x v="4"/>
    <s v="Online"/>
    <n v="1"/>
    <n v="0"/>
    <s v="No"/>
    <n v="5"/>
    <n v="5"/>
    <s v="Headset"/>
    <s v="Technology"/>
    <n v="98"/>
    <n v="46"/>
    <s v="Consumer"/>
    <n v="98"/>
    <n v="46"/>
    <n v="52"/>
    <n v="0.53061224489795922"/>
  </r>
  <r>
    <s v="ORD-10886"/>
    <x v="152"/>
    <s v="CUST-0179"/>
    <s v="PROD-004"/>
    <x v="3"/>
    <s v="Retail Store"/>
    <n v="2"/>
    <n v="0"/>
    <s v="No"/>
    <n v="5"/>
    <n v="1"/>
    <s v="Mouse"/>
    <s v="Technology"/>
    <n v="42"/>
    <n v="19"/>
    <s v="Consumer"/>
    <n v="84"/>
    <n v="38"/>
    <n v="46"/>
    <n v="0.54761904761904767"/>
  </r>
  <r>
    <s v="ORD-10887"/>
    <x v="0"/>
    <s v="CUST-0076"/>
    <s v="PROD-011"/>
    <x v="2"/>
    <s v="Online"/>
    <n v="4"/>
    <n v="0.2"/>
    <s v="No"/>
    <n v="3"/>
    <n v="4"/>
    <s v="Backpack"/>
    <s v="Accessories"/>
    <n v="85"/>
    <n v="39"/>
    <s v="Consumer"/>
    <n v="272"/>
    <n v="156"/>
    <n v="116"/>
    <n v="0.4264705882352941"/>
  </r>
  <r>
    <s v="ORD-10888"/>
    <x v="136"/>
    <s v="CUST-0075"/>
    <s v="PROD-003"/>
    <x v="3"/>
    <s v="Online"/>
    <n v="4"/>
    <n v="0"/>
    <s v="No"/>
    <n v="4"/>
    <n v="4"/>
    <s v="Keyboard"/>
    <s v="Technology"/>
    <n v="75"/>
    <n v="38"/>
    <s v="Corporate"/>
    <n v="300"/>
    <n v="152"/>
    <n v="148"/>
    <n v="0.49333333333333335"/>
  </r>
  <r>
    <s v="ORD-10889"/>
    <x v="346"/>
    <s v="CUST-0071"/>
    <s v="PROD-008"/>
    <x v="3"/>
    <s v="Retail Store"/>
    <n v="2"/>
    <n v="0.05"/>
    <s v="No"/>
    <n v="3"/>
    <n v="1"/>
    <s v="Office Chair"/>
    <s v="Furniture"/>
    <n v="255"/>
    <n v="145"/>
    <s v="Consumer"/>
    <n v="484.5"/>
    <n v="290"/>
    <n v="194.5"/>
    <n v="0.40144478844169246"/>
  </r>
  <r>
    <s v="ORD-10890"/>
    <x v="88"/>
    <s v="CUST-0216"/>
    <s v="PROD-008"/>
    <x v="1"/>
    <s v="Online"/>
    <n v="1"/>
    <n v="0.2"/>
    <s v="No"/>
    <n v="4"/>
    <n v="2"/>
    <s v="Office Chair"/>
    <s v="Furniture"/>
    <n v="255"/>
    <n v="145"/>
    <s v="Small Business"/>
    <n v="204"/>
    <n v="145"/>
    <n v="59"/>
    <n v="0.28921568627450983"/>
  </r>
  <r>
    <s v="ORD-10891"/>
    <x v="472"/>
    <s v="CUST-0031"/>
    <s v="PROD-012"/>
    <x v="3"/>
    <s v="B2B Sales"/>
    <n v="4"/>
    <n v="0"/>
    <s v="No"/>
    <n v="5"/>
    <n v="5"/>
    <s v="USB-C Hub"/>
    <s v="Accessories"/>
    <n v="68"/>
    <n v="31"/>
    <s v="Small Business"/>
    <n v="272"/>
    <n v="124"/>
    <n v="148"/>
    <n v="0.54411764705882348"/>
  </r>
  <r>
    <s v="ORD-10892"/>
    <x v="307"/>
    <s v="CUST-0125"/>
    <s v="PROD-007"/>
    <x v="0"/>
    <s v="Online"/>
    <n v="1"/>
    <n v="0.2"/>
    <s v="No"/>
    <n v="4"/>
    <n v="1"/>
    <s v="Standing Desk"/>
    <s v="Furniture"/>
    <n v="540"/>
    <n v="320"/>
    <s v="Consumer"/>
    <n v="432"/>
    <n v="320"/>
    <n v="112"/>
    <n v="0.25925925925925924"/>
  </r>
  <r>
    <s v="ORD-10893"/>
    <x v="155"/>
    <s v="CUST-0191"/>
    <s v="PROD-002"/>
    <x v="1"/>
    <s v="Retail Store"/>
    <n v="1"/>
    <n v="0.15"/>
    <s v="No"/>
    <n v="1"/>
    <n v="5"/>
    <s v="Monitor"/>
    <s v="Technology"/>
    <n v="310"/>
    <n v="190"/>
    <s v="Consumer"/>
    <n v="263.5"/>
    <n v="190"/>
    <n v="73.5"/>
    <n v="0.27893738140417457"/>
  </r>
  <r>
    <s v="ORD-10894"/>
    <x v="121"/>
    <s v="CUST-0126"/>
    <s v="PROD-003"/>
    <x v="2"/>
    <s v="B2B Sales"/>
    <n v="2"/>
    <n v="0.1"/>
    <s v="No"/>
    <n v="3"/>
    <n v="5"/>
    <s v="Keyboard"/>
    <s v="Technology"/>
    <n v="75"/>
    <n v="38"/>
    <s v="Consumer"/>
    <n v="135"/>
    <n v="76"/>
    <n v="59"/>
    <n v="0.43703703703703706"/>
  </r>
  <r>
    <s v="ORD-10895"/>
    <x v="425"/>
    <s v="CUST-0241"/>
    <s v="PROD-014"/>
    <x v="1"/>
    <s v="Online"/>
    <n v="3"/>
    <n v="0"/>
    <s v="No"/>
    <n v="2"/>
    <n v="3"/>
    <s v="Printer Paper"/>
    <s v="Office Supplies"/>
    <n v="17"/>
    <n v="8"/>
    <s v="Consumer"/>
    <n v="51"/>
    <n v="24"/>
    <n v="27"/>
    <n v="0.52941176470588236"/>
  </r>
  <r>
    <s v="ORD-10896"/>
    <x v="440"/>
    <s v="CUST-0083"/>
    <s v="PROD-001"/>
    <x v="3"/>
    <s v="Online"/>
    <n v="7"/>
    <n v="0"/>
    <s v="No"/>
    <n v="4"/>
    <n v="5"/>
    <s v="Laptop"/>
    <s v="Technology"/>
    <n v="1100"/>
    <n v="720"/>
    <s v="Corporate"/>
    <n v="7700"/>
    <n v="5040"/>
    <n v="2660"/>
    <n v="0.34545454545454546"/>
  </r>
  <r>
    <s v="ORD-10897"/>
    <x v="359"/>
    <s v="CUST-0157"/>
    <s v="PROD-008"/>
    <x v="4"/>
    <s v="Online"/>
    <n v="8"/>
    <n v="0.05"/>
    <s v="Yes"/>
    <n v="3"/>
    <n v="6"/>
    <s v="Office Chair"/>
    <s v="Furniture"/>
    <n v="255"/>
    <n v="145"/>
    <s v="Consumer"/>
    <n v="1938"/>
    <n v="1160"/>
    <n v="778"/>
    <n v="0.40144478844169246"/>
  </r>
  <r>
    <s v="ORD-10898"/>
    <x v="473"/>
    <s v="CUST-0113"/>
    <s v="PROD-013"/>
    <x v="2"/>
    <s v="Retail Store"/>
    <n v="3"/>
    <n v="0.15"/>
    <s v="No"/>
    <n v="4"/>
    <n v="3"/>
    <s v="Phone Charger"/>
    <s v="Accessories"/>
    <n v="32"/>
    <n v="13"/>
    <s v="Corporate"/>
    <n v="81.599999999999994"/>
    <n v="39"/>
    <n v="42.599999999999994"/>
    <n v="0.52205882352941169"/>
  </r>
  <r>
    <s v="ORD-10899"/>
    <x v="83"/>
    <s v="CUST-0195"/>
    <s v="PROD-006"/>
    <x v="2"/>
    <s v="Online"/>
    <n v="2"/>
    <n v="0"/>
    <s v="No"/>
    <n v="4"/>
    <n v="3"/>
    <s v="Headset"/>
    <s v="Technology"/>
    <n v="98"/>
    <n v="46"/>
    <s v="Consumer"/>
    <n v="196"/>
    <n v="92"/>
    <n v="104"/>
    <n v="0.53061224489795922"/>
  </r>
  <r>
    <s v="ORD-10900"/>
    <x v="474"/>
    <s v="CUST-0123"/>
    <s v="PROD-010"/>
    <x v="2"/>
    <s v="Online"/>
    <n v="1"/>
    <n v="0"/>
    <s v="No"/>
    <n v="3"/>
    <n v="2"/>
    <s v="Laptop Stand"/>
    <s v="Accessories"/>
    <n v="48"/>
    <n v="22"/>
    <s v="Corporate"/>
    <n v="48"/>
    <n v="22"/>
    <n v="26"/>
    <n v="0.54166666666666663"/>
  </r>
  <r>
    <s v="ORD-10901"/>
    <x v="66"/>
    <s v="CUST-0124"/>
    <s v="PROD-009"/>
    <x v="2"/>
    <s v="Retail Store"/>
    <n v="1"/>
    <n v="0.2"/>
    <s v="No"/>
    <n v="2"/>
    <n v="4"/>
    <s v="Bookshelf"/>
    <s v="Furniture"/>
    <n v="185"/>
    <n v="105"/>
    <s v="Corporate"/>
    <n v="148"/>
    <n v="105"/>
    <n v="43"/>
    <n v="0.29054054054054052"/>
  </r>
  <r>
    <s v="ORD-10902"/>
    <x v="57"/>
    <s v="CUST-0183"/>
    <s v="PROD-010"/>
    <x v="0"/>
    <s v="Retail Store"/>
    <n v="1"/>
    <n v="0"/>
    <s v="No"/>
    <n v="3"/>
    <n v="1"/>
    <s v="Laptop Stand"/>
    <s v="Accessories"/>
    <n v="48"/>
    <n v="22"/>
    <s v="Small Business"/>
    <n v="48"/>
    <n v="22"/>
    <n v="26"/>
    <n v="0.54166666666666663"/>
  </r>
  <r>
    <s v="ORD-10903"/>
    <x v="5"/>
    <s v="CUST-0209"/>
    <s v="PROD-004"/>
    <x v="4"/>
    <s v="Retail Store"/>
    <n v="1"/>
    <n v="0.1"/>
    <s v="No"/>
    <n v="5"/>
    <n v="1"/>
    <s v="Mouse"/>
    <s v="Technology"/>
    <n v="42"/>
    <n v="19"/>
    <s v="Consumer"/>
    <n v="37.800000000000004"/>
    <n v="19"/>
    <n v="18.800000000000004"/>
    <n v="0.49735449735449744"/>
  </r>
  <r>
    <s v="ORD-10904"/>
    <x v="138"/>
    <s v="CUST-0083"/>
    <s v="PROD-005"/>
    <x v="1"/>
    <s v="Online"/>
    <n v="3"/>
    <n v="0.2"/>
    <s v="No"/>
    <n v="3"/>
    <n v="2"/>
    <s v="Webcam"/>
    <s v="Technology"/>
    <n v="115"/>
    <n v="58"/>
    <s v="Corporate"/>
    <n v="276"/>
    <n v="174"/>
    <n v="102"/>
    <n v="0.36956521739130432"/>
  </r>
  <r>
    <s v="ORD-10905"/>
    <x v="224"/>
    <s v="CUST-0257"/>
    <s v="PROD-011"/>
    <x v="4"/>
    <s v="Online"/>
    <n v="1"/>
    <n v="0.05"/>
    <s v="Yes"/>
    <n v="2"/>
    <n v="6"/>
    <s v="Backpack"/>
    <s v="Accessories"/>
    <n v="85"/>
    <n v="39"/>
    <s v="Consumer"/>
    <n v="80.75"/>
    <n v="39"/>
    <n v="41.75"/>
    <n v="0.51702786377708976"/>
  </r>
  <r>
    <s v="ORD-10906"/>
    <x v="475"/>
    <s v="CUST-0039"/>
    <s v="PROD-005"/>
    <x v="4"/>
    <s v="B2B Sales"/>
    <n v="1"/>
    <n v="0"/>
    <s v="No"/>
    <n v="4"/>
    <n v="1"/>
    <s v="Webcam"/>
    <s v="Technology"/>
    <n v="115"/>
    <n v="58"/>
    <s v="Small Business"/>
    <n v="115"/>
    <n v="58"/>
    <n v="57"/>
    <n v="0.4956521739130435"/>
  </r>
  <r>
    <s v="ORD-10907"/>
    <x v="126"/>
    <s v="CUST-0049"/>
    <s v="PROD-015"/>
    <x v="3"/>
    <s v="B2B Sales"/>
    <n v="1"/>
    <n v="0"/>
    <s v="No"/>
    <n v="2"/>
    <n v="6"/>
    <s v="File Folder Pack"/>
    <s v="Office Supplies"/>
    <n v="23"/>
    <n v="10"/>
    <s v="Corporate"/>
    <n v="23"/>
    <n v="10"/>
    <n v="13"/>
    <n v="0.56521739130434778"/>
  </r>
  <r>
    <s v="ORD-10908"/>
    <x v="351"/>
    <s v="CUST-0243"/>
    <s v="PROD-009"/>
    <x v="1"/>
    <s v="Online"/>
    <n v="6"/>
    <n v="0.15"/>
    <s v="Yes"/>
    <n v="4"/>
    <n v="6"/>
    <s v="Bookshelf"/>
    <s v="Furniture"/>
    <n v="185"/>
    <n v="105"/>
    <s v="Corporate"/>
    <n v="943.5"/>
    <n v="630"/>
    <n v="313.5"/>
    <n v="0.33227344992050872"/>
  </r>
  <r>
    <s v="ORD-10909"/>
    <x v="43"/>
    <s v="CUST-0210"/>
    <s v="PROD-005"/>
    <x v="4"/>
    <s v="Retail Store"/>
    <n v="3"/>
    <n v="0"/>
    <s v="No"/>
    <n v="4"/>
    <n v="4"/>
    <s v="Webcam"/>
    <s v="Technology"/>
    <n v="115"/>
    <n v="58"/>
    <s v="Small Business"/>
    <n v="345"/>
    <n v="174"/>
    <n v="171"/>
    <n v="0.4956521739130435"/>
  </r>
  <r>
    <s v="ORD-10910"/>
    <x v="246"/>
    <s v="CUST-0022"/>
    <s v="PROD-002"/>
    <x v="1"/>
    <s v="Online"/>
    <n v="5"/>
    <n v="0"/>
    <s v="No"/>
    <n v="4"/>
    <n v="2"/>
    <s v="Monitor"/>
    <s v="Technology"/>
    <n v="310"/>
    <n v="190"/>
    <s v="Corporate"/>
    <n v="1550"/>
    <n v="950"/>
    <n v="600"/>
    <n v="0.38709677419354838"/>
  </r>
  <r>
    <s v="ORD-10911"/>
    <x v="476"/>
    <s v="CUST-0205"/>
    <s v="PROD-003"/>
    <x v="3"/>
    <s v="B2B Sales"/>
    <n v="3"/>
    <n v="0"/>
    <s v="No"/>
    <n v="4"/>
    <n v="4"/>
    <s v="Keyboard"/>
    <s v="Technology"/>
    <n v="75"/>
    <n v="38"/>
    <s v="Consumer"/>
    <n v="225"/>
    <n v="114"/>
    <n v="111"/>
    <n v="0.49333333333333335"/>
  </r>
  <r>
    <s v="ORD-10912"/>
    <x v="181"/>
    <s v="CUST-0044"/>
    <s v="PROD-006"/>
    <x v="1"/>
    <s v="B2B Sales"/>
    <n v="6"/>
    <n v="0.1"/>
    <s v="No"/>
    <n v="4"/>
    <n v="3"/>
    <s v="Headset"/>
    <s v="Technology"/>
    <n v="98"/>
    <n v="46"/>
    <s v="Consumer"/>
    <n v="529.20000000000005"/>
    <n v="276"/>
    <n v="253.20000000000005"/>
    <n v="0.47845804988662138"/>
  </r>
  <r>
    <s v="ORD-10913"/>
    <x v="242"/>
    <s v="CUST-0249"/>
    <s v="PROD-007"/>
    <x v="1"/>
    <s v="Online"/>
    <n v="1"/>
    <n v="0"/>
    <s v="No"/>
    <n v="4"/>
    <n v="2"/>
    <s v="Standing Desk"/>
    <s v="Furniture"/>
    <n v="540"/>
    <n v="320"/>
    <s v="Corporate"/>
    <n v="540"/>
    <n v="320"/>
    <n v="220"/>
    <n v="0.40740740740740738"/>
  </r>
  <r>
    <s v="ORD-10914"/>
    <x v="477"/>
    <s v="CUST-0291"/>
    <s v="PROD-002"/>
    <x v="0"/>
    <s v="Retail Store"/>
    <n v="1"/>
    <n v="0.1"/>
    <s v="No"/>
    <n v="5"/>
    <n v="2"/>
    <s v="Monitor"/>
    <s v="Technology"/>
    <n v="310"/>
    <n v="190"/>
    <s v="Consumer"/>
    <n v="279"/>
    <n v="190"/>
    <n v="89"/>
    <n v="0.31899641577060933"/>
  </r>
  <r>
    <s v="ORD-10915"/>
    <x v="335"/>
    <s v="CUST-0109"/>
    <s v="PROD-001"/>
    <x v="0"/>
    <s v="Retail Store"/>
    <n v="1"/>
    <n v="0.05"/>
    <s v="No"/>
    <n v="2"/>
    <n v="5"/>
    <s v="Laptop"/>
    <s v="Technology"/>
    <n v="1100"/>
    <n v="720"/>
    <s v="Consumer"/>
    <n v="1045"/>
    <n v="720"/>
    <n v="325"/>
    <n v="0.31100478468899523"/>
  </r>
  <r>
    <s v="ORD-10916"/>
    <x v="453"/>
    <s v="CUST-0232"/>
    <s v="PROD-014"/>
    <x v="4"/>
    <s v="Retail Store"/>
    <n v="1"/>
    <n v="0.15"/>
    <s v="No"/>
    <n v="5"/>
    <n v="3"/>
    <s v="Printer Paper"/>
    <s v="Office Supplies"/>
    <n v="17"/>
    <n v="8"/>
    <s v="Consumer"/>
    <n v="14.45"/>
    <n v="8"/>
    <n v="6.4499999999999993"/>
    <n v="0.44636678200692037"/>
  </r>
  <r>
    <s v="ORD-10917"/>
    <x v="478"/>
    <s v="CUST-0085"/>
    <s v="PROD-007"/>
    <x v="3"/>
    <s v="Online"/>
    <n v="2"/>
    <n v="0.1"/>
    <s v="No"/>
    <n v="5"/>
    <n v="3"/>
    <s v="Standing Desk"/>
    <s v="Furniture"/>
    <n v="540"/>
    <n v="320"/>
    <s v="Consumer"/>
    <n v="972"/>
    <n v="640"/>
    <n v="332"/>
    <n v="0.34156378600823045"/>
  </r>
  <r>
    <s v="ORD-10918"/>
    <x v="479"/>
    <s v="CUST-0200"/>
    <s v="PROD-001"/>
    <x v="4"/>
    <s v="B2B Sales"/>
    <n v="1"/>
    <n v="0.1"/>
    <s v="No"/>
    <n v="3"/>
    <n v="3"/>
    <s v="Laptop"/>
    <s v="Technology"/>
    <n v="1100"/>
    <n v="720"/>
    <s v="Small Business"/>
    <n v="990"/>
    <n v="720"/>
    <n v="270"/>
    <n v="0.27272727272727271"/>
  </r>
  <r>
    <s v="ORD-10919"/>
    <x v="480"/>
    <s v="CUST-0078"/>
    <s v="PROD-015"/>
    <x v="0"/>
    <s v="Retail Store"/>
    <n v="1"/>
    <n v="0.1"/>
    <s v="No"/>
    <n v="4"/>
    <n v="1"/>
    <s v="File Folder Pack"/>
    <s v="Office Supplies"/>
    <n v="23"/>
    <n v="10"/>
    <s v="Consumer"/>
    <n v="20.7"/>
    <n v="10"/>
    <n v="10.7"/>
    <n v="0.51690821256038644"/>
  </r>
  <r>
    <s v="ORD-10920"/>
    <x v="89"/>
    <s v="CUST-0065"/>
    <s v="PROD-015"/>
    <x v="1"/>
    <s v="Retail Store"/>
    <n v="1"/>
    <n v="0.1"/>
    <s v="No"/>
    <n v="5"/>
    <n v="2"/>
    <s v="File Folder Pack"/>
    <s v="Office Supplies"/>
    <n v="23"/>
    <n v="10"/>
    <s v="Small Business"/>
    <n v="20.7"/>
    <n v="10"/>
    <n v="10.7"/>
    <n v="0.51690821256038644"/>
  </r>
  <r>
    <s v="ORD-10921"/>
    <x v="449"/>
    <s v="CUST-0111"/>
    <s v="PROD-012"/>
    <x v="2"/>
    <s v="Online"/>
    <n v="3"/>
    <n v="0.2"/>
    <s v="No"/>
    <n v="4"/>
    <n v="3"/>
    <s v="USB-C Hub"/>
    <s v="Accessories"/>
    <n v="68"/>
    <n v="31"/>
    <s v="Small Business"/>
    <n v="163.20000000000002"/>
    <n v="93"/>
    <n v="70.200000000000017"/>
    <n v="0.43014705882352949"/>
  </r>
  <r>
    <s v="ORD-10922"/>
    <x v="384"/>
    <s v="CUST-0258"/>
    <s v="PROD-004"/>
    <x v="1"/>
    <s v="Retail Store"/>
    <n v="2"/>
    <n v="0"/>
    <s v="No"/>
    <n v="4"/>
    <n v="5"/>
    <s v="Mouse"/>
    <s v="Technology"/>
    <n v="42"/>
    <n v="19"/>
    <s v="Consumer"/>
    <n v="84"/>
    <n v="38"/>
    <n v="46"/>
    <n v="0.54761904761904767"/>
  </r>
  <r>
    <s v="ORD-10923"/>
    <x v="11"/>
    <s v="CUST-0059"/>
    <s v="PROD-006"/>
    <x v="4"/>
    <s v="Online"/>
    <n v="3"/>
    <n v="0"/>
    <s v="No"/>
    <n v="4"/>
    <n v="4"/>
    <s v="Headset"/>
    <s v="Technology"/>
    <n v="98"/>
    <n v="46"/>
    <s v="Consumer"/>
    <n v="294"/>
    <n v="138"/>
    <n v="156"/>
    <n v="0.53061224489795922"/>
  </r>
  <r>
    <s v="ORD-10924"/>
    <x v="365"/>
    <s v="CUST-0051"/>
    <s v="PROD-003"/>
    <x v="0"/>
    <s v="Online"/>
    <n v="3"/>
    <n v="0.05"/>
    <s v="No"/>
    <n v="4"/>
    <n v="5"/>
    <s v="Keyboard"/>
    <s v="Technology"/>
    <n v="75"/>
    <n v="38"/>
    <s v="Consumer"/>
    <n v="213.75"/>
    <n v="114"/>
    <n v="99.75"/>
    <n v="0.46666666666666667"/>
  </r>
  <r>
    <s v="ORD-10925"/>
    <x v="481"/>
    <s v="CUST-0052"/>
    <s v="PROD-015"/>
    <x v="4"/>
    <s v="Retail Store"/>
    <n v="3"/>
    <n v="0.15"/>
    <s v="No"/>
    <n v="5"/>
    <n v="5"/>
    <s v="File Folder Pack"/>
    <s v="Office Supplies"/>
    <n v="23"/>
    <n v="10"/>
    <s v="Consumer"/>
    <n v="58.65"/>
    <n v="30"/>
    <n v="28.65"/>
    <n v="0.48849104859335035"/>
  </r>
  <r>
    <s v="ORD-10926"/>
    <x v="441"/>
    <s v="CUST-0059"/>
    <s v="PROD-007"/>
    <x v="0"/>
    <s v="B2B Sales"/>
    <n v="2"/>
    <n v="0.1"/>
    <s v="No"/>
    <n v="5"/>
    <n v="4"/>
    <s v="Standing Desk"/>
    <s v="Furniture"/>
    <n v="540"/>
    <n v="320"/>
    <s v="Consumer"/>
    <n v="972"/>
    <n v="640"/>
    <n v="332"/>
    <n v="0.34156378600823045"/>
  </r>
  <r>
    <s v="ORD-10927"/>
    <x v="436"/>
    <s v="CUST-0192"/>
    <s v="PROD-008"/>
    <x v="4"/>
    <s v="Online"/>
    <n v="3"/>
    <n v="0"/>
    <s v="No"/>
    <n v="5"/>
    <n v="2"/>
    <s v="Office Chair"/>
    <s v="Furniture"/>
    <n v="255"/>
    <n v="145"/>
    <s v="Consumer"/>
    <n v="765"/>
    <n v="435"/>
    <n v="330"/>
    <n v="0.43137254901960786"/>
  </r>
  <r>
    <s v="ORD-10928"/>
    <x v="403"/>
    <s v="CUST-0213"/>
    <s v="PROD-002"/>
    <x v="2"/>
    <s v="Online"/>
    <n v="2"/>
    <n v="0.1"/>
    <s v="No"/>
    <n v="4"/>
    <n v="3"/>
    <s v="Monitor"/>
    <s v="Technology"/>
    <n v="310"/>
    <n v="190"/>
    <s v="Consumer"/>
    <n v="558"/>
    <n v="380"/>
    <n v="178"/>
    <n v="0.31899641577060933"/>
  </r>
  <r>
    <s v="ORD-10929"/>
    <x v="482"/>
    <s v="CUST-0293"/>
    <s v="PROD-014"/>
    <x v="3"/>
    <s v="B2B Sales"/>
    <n v="1"/>
    <n v="0.05"/>
    <s v="No"/>
    <n v="5"/>
    <n v="5"/>
    <s v="Printer Paper"/>
    <s v="Office Supplies"/>
    <n v="17"/>
    <n v="8"/>
    <s v="Corporate"/>
    <n v="16.149999999999999"/>
    <n v="8"/>
    <n v="8.1499999999999986"/>
    <n v="0.50464396284829716"/>
  </r>
  <r>
    <s v="ORD-10930"/>
    <x v="428"/>
    <s v="CUST-0066"/>
    <s v="PROD-013"/>
    <x v="0"/>
    <s v="Online"/>
    <n v="6"/>
    <n v="0.05"/>
    <s v="No"/>
    <n v="2"/>
    <n v="3"/>
    <s v="Phone Charger"/>
    <s v="Accessories"/>
    <n v="32"/>
    <n v="13"/>
    <s v="Corporate"/>
    <n v="182.39999999999998"/>
    <n v="78"/>
    <n v="104.39999999999998"/>
    <n v="0.57236842105263153"/>
  </r>
  <r>
    <s v="ORD-10931"/>
    <x v="210"/>
    <s v="CUST-0201"/>
    <s v="PROD-009"/>
    <x v="0"/>
    <s v="Online"/>
    <n v="2"/>
    <n v="0"/>
    <s v="No"/>
    <n v="1"/>
    <n v="7"/>
    <s v="Bookshelf"/>
    <s v="Furniture"/>
    <n v="185"/>
    <n v="105"/>
    <s v="Small Business"/>
    <n v="370"/>
    <n v="210"/>
    <n v="160"/>
    <n v="0.43243243243243246"/>
  </r>
  <r>
    <s v="ORD-10932"/>
    <x v="474"/>
    <s v="CUST-0279"/>
    <s v="PROD-003"/>
    <x v="4"/>
    <s v="Online"/>
    <n v="4"/>
    <n v="0.2"/>
    <s v="No"/>
    <n v="5"/>
    <n v="2"/>
    <s v="Keyboard"/>
    <s v="Technology"/>
    <n v="75"/>
    <n v="38"/>
    <s v="Consumer"/>
    <n v="240"/>
    <n v="152"/>
    <n v="88"/>
    <n v="0.36666666666666664"/>
  </r>
  <r>
    <s v="ORD-10933"/>
    <x v="446"/>
    <s v="CUST-0114"/>
    <s v="PROD-010"/>
    <x v="2"/>
    <s v="B2B Sales"/>
    <n v="4"/>
    <n v="0.1"/>
    <s v="No"/>
    <n v="4"/>
    <n v="1"/>
    <s v="Laptop Stand"/>
    <s v="Accessories"/>
    <n v="48"/>
    <n v="22"/>
    <s v="Consumer"/>
    <n v="172.8"/>
    <n v="88"/>
    <n v="84.800000000000011"/>
    <n v="0.49074074074074076"/>
  </r>
  <r>
    <s v="ORD-10934"/>
    <x v="16"/>
    <s v="CUST-0043"/>
    <s v="PROD-005"/>
    <x v="1"/>
    <s v="Retail Store"/>
    <n v="3"/>
    <n v="0"/>
    <s v="No"/>
    <n v="4"/>
    <n v="1"/>
    <s v="Webcam"/>
    <s v="Technology"/>
    <n v="115"/>
    <n v="58"/>
    <s v="Consumer"/>
    <n v="345"/>
    <n v="174"/>
    <n v="171"/>
    <n v="0.4956521739130435"/>
  </r>
  <r>
    <s v="ORD-10935"/>
    <x v="213"/>
    <s v="CUST-0145"/>
    <s v="PROD-009"/>
    <x v="0"/>
    <s v="Online"/>
    <n v="2"/>
    <n v="0"/>
    <s v="No"/>
    <n v="4"/>
    <n v="4"/>
    <s v="Bookshelf"/>
    <s v="Furniture"/>
    <n v="185"/>
    <n v="105"/>
    <s v="Consumer"/>
    <n v="370"/>
    <n v="210"/>
    <n v="160"/>
    <n v="0.43243243243243246"/>
  </r>
  <r>
    <s v="ORD-10936"/>
    <x v="467"/>
    <s v="CUST-0212"/>
    <s v="PROD-003"/>
    <x v="4"/>
    <s v="Retail Store"/>
    <n v="1"/>
    <n v="0"/>
    <s v="No"/>
    <n v="5"/>
    <n v="4"/>
    <s v="Keyboard"/>
    <s v="Technology"/>
    <n v="75"/>
    <n v="38"/>
    <s v="Corporate"/>
    <n v="75"/>
    <n v="38"/>
    <n v="37"/>
    <n v="0.49333333333333335"/>
  </r>
  <r>
    <s v="ORD-10937"/>
    <x v="224"/>
    <s v="CUST-0093"/>
    <s v="PROD-010"/>
    <x v="2"/>
    <s v="Online"/>
    <n v="3"/>
    <n v="0.05"/>
    <s v="No"/>
    <n v="5"/>
    <n v="3"/>
    <s v="Laptop Stand"/>
    <s v="Accessories"/>
    <n v="48"/>
    <n v="22"/>
    <s v="Corporate"/>
    <n v="136.79999999999998"/>
    <n v="66"/>
    <n v="70.799999999999983"/>
    <n v="0.51754385964912275"/>
  </r>
  <r>
    <s v="ORD-10938"/>
    <x v="483"/>
    <s v="CUST-0280"/>
    <s v="PROD-001"/>
    <x v="2"/>
    <s v="Retail Store"/>
    <n v="6"/>
    <n v="0"/>
    <s v="No"/>
    <n v="1"/>
    <n v="7"/>
    <s v="Laptop"/>
    <s v="Technology"/>
    <n v="1100"/>
    <n v="720"/>
    <s v="Corporate"/>
    <n v="6600"/>
    <n v="4320"/>
    <n v="2280"/>
    <n v="0.34545454545454546"/>
  </r>
  <r>
    <s v="ORD-10939"/>
    <x v="484"/>
    <s v="CUST-0187"/>
    <s v="PROD-004"/>
    <x v="0"/>
    <s v="Online"/>
    <n v="1"/>
    <n v="0"/>
    <s v="No"/>
    <n v="3"/>
    <n v="3"/>
    <s v="Mouse"/>
    <s v="Technology"/>
    <n v="42"/>
    <n v="19"/>
    <s v="Small Business"/>
    <n v="42"/>
    <n v="19"/>
    <n v="23"/>
    <n v="0.54761904761904767"/>
  </r>
  <r>
    <s v="ORD-10940"/>
    <x v="360"/>
    <s v="CUST-0103"/>
    <s v="PROD-003"/>
    <x v="3"/>
    <s v="Retail Store"/>
    <n v="1"/>
    <n v="0.1"/>
    <s v="No"/>
    <n v="4"/>
    <n v="4"/>
    <s v="Keyboard"/>
    <s v="Technology"/>
    <n v="75"/>
    <n v="38"/>
    <s v="Corporate"/>
    <n v="67.5"/>
    <n v="38"/>
    <n v="29.5"/>
    <n v="0.43703703703703706"/>
  </r>
  <r>
    <s v="ORD-10941"/>
    <x v="316"/>
    <s v="CUST-0129"/>
    <s v="PROD-006"/>
    <x v="2"/>
    <s v="B2B Sales"/>
    <n v="4"/>
    <n v="0.2"/>
    <s v="No"/>
    <n v="5"/>
    <n v="5"/>
    <s v="Headset"/>
    <s v="Technology"/>
    <n v="98"/>
    <n v="46"/>
    <s v="Small Business"/>
    <n v="313.60000000000002"/>
    <n v="184"/>
    <n v="129.60000000000002"/>
    <n v="0.41326530612244905"/>
  </r>
  <r>
    <s v="ORD-10942"/>
    <x v="183"/>
    <s v="CUST-0085"/>
    <s v="PROD-007"/>
    <x v="0"/>
    <s v="Retail Store"/>
    <n v="5"/>
    <n v="0"/>
    <s v="No"/>
    <n v="5"/>
    <n v="5"/>
    <s v="Standing Desk"/>
    <s v="Furniture"/>
    <n v="540"/>
    <n v="320"/>
    <s v="Consumer"/>
    <n v="2700"/>
    <n v="1600"/>
    <n v="1100"/>
    <n v="0.40740740740740738"/>
  </r>
  <r>
    <s v="ORD-10943"/>
    <x v="63"/>
    <s v="CUST-0197"/>
    <s v="PROD-014"/>
    <x v="2"/>
    <s v="Online"/>
    <n v="6"/>
    <n v="0.1"/>
    <s v="No"/>
    <n v="5"/>
    <n v="5"/>
    <s v="Printer Paper"/>
    <s v="Office Supplies"/>
    <n v="17"/>
    <n v="8"/>
    <s v="Corporate"/>
    <n v="91.8"/>
    <n v="48"/>
    <n v="43.8"/>
    <n v="0.47712418300653592"/>
  </r>
  <r>
    <s v="ORD-10944"/>
    <x v="485"/>
    <s v="CUST-0210"/>
    <s v="PROD-010"/>
    <x v="1"/>
    <s v="B2B Sales"/>
    <n v="7"/>
    <n v="0.05"/>
    <s v="No"/>
    <n v="3"/>
    <n v="3"/>
    <s v="Laptop Stand"/>
    <s v="Accessories"/>
    <n v="48"/>
    <n v="22"/>
    <s v="Small Business"/>
    <n v="319.2"/>
    <n v="154"/>
    <n v="165.2"/>
    <n v="0.51754385964912275"/>
  </r>
  <r>
    <s v="ORD-10945"/>
    <x v="428"/>
    <s v="CUST-0096"/>
    <s v="PROD-012"/>
    <x v="3"/>
    <s v="Online"/>
    <n v="2"/>
    <n v="0"/>
    <s v="No"/>
    <n v="1"/>
    <n v="4"/>
    <s v="USB-C Hub"/>
    <s v="Accessories"/>
    <n v="68"/>
    <n v="31"/>
    <s v="Consumer"/>
    <n v="136"/>
    <n v="62"/>
    <n v="74"/>
    <n v="0.54411764705882348"/>
  </r>
  <r>
    <s v="ORD-10946"/>
    <x v="412"/>
    <s v="CUST-0239"/>
    <s v="PROD-011"/>
    <x v="0"/>
    <s v="Retail Store"/>
    <n v="2"/>
    <n v="0.05"/>
    <s v="No"/>
    <n v="2"/>
    <n v="4"/>
    <s v="Backpack"/>
    <s v="Accessories"/>
    <n v="85"/>
    <n v="39"/>
    <s v="Corporate"/>
    <n v="161.5"/>
    <n v="78"/>
    <n v="83.5"/>
    <n v="0.51702786377708976"/>
  </r>
  <r>
    <s v="ORD-10947"/>
    <x v="211"/>
    <s v="CUST-0216"/>
    <s v="PROD-014"/>
    <x v="3"/>
    <s v="Online"/>
    <n v="1"/>
    <n v="0.1"/>
    <s v="No"/>
    <n v="5"/>
    <n v="4"/>
    <s v="Printer Paper"/>
    <s v="Office Supplies"/>
    <n v="17"/>
    <n v="8"/>
    <s v="Small Business"/>
    <n v="15.3"/>
    <n v="8"/>
    <n v="7.3000000000000007"/>
    <n v="0.47712418300653597"/>
  </r>
  <r>
    <s v="ORD-10948"/>
    <x v="208"/>
    <s v="CUST-0064"/>
    <s v="PROD-015"/>
    <x v="2"/>
    <s v="Online"/>
    <n v="2"/>
    <n v="0.05"/>
    <s v="No"/>
    <n v="5"/>
    <n v="5"/>
    <s v="File Folder Pack"/>
    <s v="Office Supplies"/>
    <n v="23"/>
    <n v="10"/>
    <s v="Corporate"/>
    <n v="43.699999999999996"/>
    <n v="20"/>
    <n v="23.699999999999996"/>
    <n v="0.54233409610983974"/>
  </r>
  <r>
    <s v="ORD-10949"/>
    <x v="403"/>
    <s v="CUST-0237"/>
    <s v="PROD-010"/>
    <x v="2"/>
    <s v="B2B Sales"/>
    <n v="1"/>
    <n v="0.05"/>
    <s v="No"/>
    <n v="4"/>
    <n v="1"/>
    <s v="Laptop Stand"/>
    <s v="Accessories"/>
    <n v="48"/>
    <n v="22"/>
    <s v="Small Business"/>
    <n v="45.599999999999994"/>
    <n v="22"/>
    <n v="23.599999999999994"/>
    <n v="0.51754385964912275"/>
  </r>
  <r>
    <s v="ORD-10950"/>
    <x v="355"/>
    <s v="CUST-0241"/>
    <s v="PROD-004"/>
    <x v="0"/>
    <s v="Online"/>
    <n v="1"/>
    <n v="0"/>
    <s v="No"/>
    <n v="2"/>
    <n v="7"/>
    <s v="Mouse"/>
    <s v="Technology"/>
    <n v="42"/>
    <n v="19"/>
    <s v="Consumer"/>
    <n v="42"/>
    <n v="19"/>
    <n v="23"/>
    <n v="0.54761904761904767"/>
  </r>
  <r>
    <s v="ORD-10951"/>
    <x v="486"/>
    <s v="CUST-0202"/>
    <s v="PROD-010"/>
    <x v="1"/>
    <s v="Online"/>
    <n v="5"/>
    <n v="0.2"/>
    <s v="No"/>
    <n v="4"/>
    <n v="5"/>
    <s v="Laptop Stand"/>
    <s v="Accessories"/>
    <n v="48"/>
    <n v="22"/>
    <s v="Small Business"/>
    <n v="192"/>
    <n v="110"/>
    <n v="82"/>
    <n v="0.42708333333333331"/>
  </r>
  <r>
    <s v="ORD-10952"/>
    <x v="35"/>
    <s v="CUST-0015"/>
    <s v="PROD-008"/>
    <x v="2"/>
    <s v="Online"/>
    <n v="1"/>
    <n v="0"/>
    <s v="No"/>
    <n v="4"/>
    <n v="2"/>
    <s v="Office Chair"/>
    <s v="Furniture"/>
    <n v="255"/>
    <n v="145"/>
    <s v="Corporate"/>
    <n v="255"/>
    <n v="145"/>
    <n v="110"/>
    <n v="0.43137254901960786"/>
  </r>
  <r>
    <s v="ORD-10953"/>
    <x v="84"/>
    <s v="CUST-0098"/>
    <s v="PROD-012"/>
    <x v="0"/>
    <s v="Retail Store"/>
    <n v="1"/>
    <n v="0.1"/>
    <s v="No"/>
    <n v="5"/>
    <n v="1"/>
    <s v="USB-C Hub"/>
    <s v="Accessories"/>
    <n v="68"/>
    <n v="31"/>
    <s v="Corporate"/>
    <n v="61.2"/>
    <n v="31"/>
    <n v="30.200000000000003"/>
    <n v="0.49346405228758172"/>
  </r>
  <r>
    <s v="ORD-10954"/>
    <x v="411"/>
    <s v="CUST-0025"/>
    <s v="PROD-010"/>
    <x v="2"/>
    <s v="Online"/>
    <n v="3"/>
    <n v="0.1"/>
    <s v="No"/>
    <n v="3"/>
    <n v="2"/>
    <s v="Laptop Stand"/>
    <s v="Accessories"/>
    <n v="48"/>
    <n v="22"/>
    <s v="Small Business"/>
    <n v="129.6"/>
    <n v="66"/>
    <n v="63.599999999999994"/>
    <n v="0.4907407407407407"/>
  </r>
  <r>
    <s v="ORD-10955"/>
    <x v="430"/>
    <s v="CUST-0236"/>
    <s v="PROD-004"/>
    <x v="2"/>
    <s v="B2B Sales"/>
    <n v="4"/>
    <n v="0.15"/>
    <s v="Yes"/>
    <n v="4"/>
    <n v="5"/>
    <s v="Mouse"/>
    <s v="Technology"/>
    <n v="42"/>
    <n v="19"/>
    <s v="Consumer"/>
    <n v="142.79999999999998"/>
    <n v="76"/>
    <n v="66.799999999999983"/>
    <n v="0.46778711484593832"/>
  </r>
  <r>
    <s v="ORD-10956"/>
    <x v="487"/>
    <s v="CUST-0271"/>
    <s v="PROD-008"/>
    <x v="4"/>
    <s v="Retail Store"/>
    <n v="8"/>
    <n v="0"/>
    <s v="No"/>
    <n v="3"/>
    <n v="3"/>
    <s v="Office Chair"/>
    <s v="Furniture"/>
    <n v="255"/>
    <n v="145"/>
    <s v="Small Business"/>
    <n v="2040"/>
    <n v="1160"/>
    <n v="880"/>
    <n v="0.43137254901960786"/>
  </r>
  <r>
    <s v="ORD-10957"/>
    <x v="34"/>
    <s v="CUST-0043"/>
    <s v="PROD-012"/>
    <x v="4"/>
    <s v="B2B Sales"/>
    <n v="3"/>
    <n v="0.1"/>
    <s v="No"/>
    <n v="2"/>
    <n v="5"/>
    <s v="USB-C Hub"/>
    <s v="Accessories"/>
    <n v="68"/>
    <n v="31"/>
    <s v="Consumer"/>
    <n v="183.6"/>
    <n v="93"/>
    <n v="90.6"/>
    <n v="0.49346405228758167"/>
  </r>
  <r>
    <s v="ORD-10958"/>
    <x v="488"/>
    <s v="CUST-0007"/>
    <s v="PROD-007"/>
    <x v="4"/>
    <s v="Online"/>
    <n v="2"/>
    <n v="0"/>
    <s v="No"/>
    <n v="5"/>
    <n v="5"/>
    <s v="Standing Desk"/>
    <s v="Furniture"/>
    <n v="540"/>
    <n v="320"/>
    <s v="Small Business"/>
    <n v="1080"/>
    <n v="640"/>
    <n v="440"/>
    <n v="0.40740740740740738"/>
  </r>
  <r>
    <s v="ORD-10959"/>
    <x v="268"/>
    <s v="CUST-0160"/>
    <s v="PROD-015"/>
    <x v="1"/>
    <s v="B2B Sales"/>
    <n v="1"/>
    <n v="0"/>
    <s v="Yes"/>
    <n v="4"/>
    <n v="6"/>
    <s v="File Folder Pack"/>
    <s v="Office Supplies"/>
    <n v="23"/>
    <n v="10"/>
    <s v="Consumer"/>
    <n v="23"/>
    <n v="10"/>
    <n v="13"/>
    <n v="0.56521739130434778"/>
  </r>
  <r>
    <s v="ORD-10960"/>
    <x v="456"/>
    <s v="CUST-0097"/>
    <s v="PROD-003"/>
    <x v="3"/>
    <s v="Online"/>
    <n v="1"/>
    <n v="0.15"/>
    <s v="No"/>
    <n v="3"/>
    <n v="1"/>
    <s v="Keyboard"/>
    <s v="Technology"/>
    <n v="75"/>
    <n v="38"/>
    <s v="Small Business"/>
    <n v="63.75"/>
    <n v="38"/>
    <n v="25.75"/>
    <n v="0.40392156862745099"/>
  </r>
  <r>
    <s v="ORD-10961"/>
    <x v="472"/>
    <s v="CUST-0124"/>
    <s v="PROD-001"/>
    <x v="0"/>
    <s v="Online"/>
    <n v="1"/>
    <n v="0.1"/>
    <s v="No"/>
    <n v="4"/>
    <n v="5"/>
    <s v="Laptop"/>
    <s v="Technology"/>
    <n v="1100"/>
    <n v="720"/>
    <s v="Corporate"/>
    <n v="990"/>
    <n v="720"/>
    <n v="270"/>
    <n v="0.27272727272727271"/>
  </r>
  <r>
    <s v="ORD-10962"/>
    <x v="400"/>
    <s v="CUST-0182"/>
    <s v="PROD-014"/>
    <x v="2"/>
    <s v="Online"/>
    <n v="2"/>
    <n v="0"/>
    <s v="No"/>
    <n v="4"/>
    <n v="1"/>
    <s v="Printer Paper"/>
    <s v="Office Supplies"/>
    <n v="17"/>
    <n v="8"/>
    <s v="Corporate"/>
    <n v="34"/>
    <n v="16"/>
    <n v="18"/>
    <n v="0.52941176470588236"/>
  </r>
  <r>
    <s v="ORD-10963"/>
    <x v="489"/>
    <s v="CUST-0217"/>
    <s v="PROD-007"/>
    <x v="3"/>
    <s v="Online"/>
    <n v="3"/>
    <n v="0.05"/>
    <s v="No"/>
    <n v="4"/>
    <n v="1"/>
    <s v="Standing Desk"/>
    <s v="Furniture"/>
    <n v="540"/>
    <n v="320"/>
    <s v="Corporate"/>
    <n v="1539"/>
    <n v="960"/>
    <n v="579"/>
    <n v="0.37621832358674462"/>
  </r>
  <r>
    <s v="ORD-10964"/>
    <x v="408"/>
    <s v="CUST-0057"/>
    <s v="PROD-008"/>
    <x v="2"/>
    <s v="B2B Sales"/>
    <n v="3"/>
    <n v="0"/>
    <s v="No"/>
    <n v="4"/>
    <n v="5"/>
    <s v="Office Chair"/>
    <s v="Furniture"/>
    <n v="255"/>
    <n v="145"/>
    <s v="Consumer"/>
    <n v="765"/>
    <n v="435"/>
    <n v="330"/>
    <n v="0.43137254901960786"/>
  </r>
  <r>
    <s v="ORD-10965"/>
    <x v="83"/>
    <s v="CUST-0201"/>
    <s v="PROD-013"/>
    <x v="2"/>
    <s v="Retail Store"/>
    <n v="5"/>
    <n v="0"/>
    <s v="No"/>
    <n v="5"/>
    <n v="3"/>
    <s v="Phone Charger"/>
    <s v="Accessories"/>
    <n v="32"/>
    <n v="13"/>
    <s v="Small Business"/>
    <n v="160"/>
    <n v="65"/>
    <n v="95"/>
    <n v="0.59375"/>
  </r>
  <r>
    <s v="ORD-10966"/>
    <x v="45"/>
    <s v="CUST-0148"/>
    <s v="PROD-001"/>
    <x v="2"/>
    <s v="Retail Store"/>
    <n v="3"/>
    <n v="0.05"/>
    <s v="No"/>
    <n v="5"/>
    <n v="2"/>
    <s v="Laptop"/>
    <s v="Technology"/>
    <n v="1100"/>
    <n v="720"/>
    <s v="Corporate"/>
    <n v="3135"/>
    <n v="2160"/>
    <n v="975"/>
    <n v="0.31100478468899523"/>
  </r>
  <r>
    <s v="ORD-10967"/>
    <x v="482"/>
    <s v="CUST-0162"/>
    <s v="PROD-003"/>
    <x v="2"/>
    <s v="Online"/>
    <n v="2"/>
    <n v="0.2"/>
    <s v="No"/>
    <n v="4"/>
    <n v="1"/>
    <s v="Keyboard"/>
    <s v="Technology"/>
    <n v="75"/>
    <n v="38"/>
    <s v="Corporate"/>
    <n v="120"/>
    <n v="76"/>
    <n v="44"/>
    <n v="0.36666666666666664"/>
  </r>
  <r>
    <s v="ORD-10968"/>
    <x v="2"/>
    <s v="CUST-0136"/>
    <s v="PROD-003"/>
    <x v="2"/>
    <s v="Retail Store"/>
    <n v="1"/>
    <n v="0"/>
    <s v="No"/>
    <n v="1"/>
    <n v="6"/>
    <s v="Keyboard"/>
    <s v="Technology"/>
    <n v="75"/>
    <n v="38"/>
    <s v="Consumer"/>
    <n v="75"/>
    <n v="38"/>
    <n v="37"/>
    <n v="0.49333333333333335"/>
  </r>
  <r>
    <s v="ORD-10969"/>
    <x v="472"/>
    <s v="CUST-0024"/>
    <s v="PROD-001"/>
    <x v="4"/>
    <s v="B2B Sales"/>
    <n v="5"/>
    <n v="0.05"/>
    <s v="No"/>
    <n v="3"/>
    <n v="1"/>
    <s v="Laptop"/>
    <s v="Technology"/>
    <n v="1100"/>
    <n v="720"/>
    <s v="Consumer"/>
    <n v="5225"/>
    <n v="3600"/>
    <n v="1625"/>
    <n v="0.31100478468899523"/>
  </r>
  <r>
    <s v="ORD-10970"/>
    <x v="294"/>
    <s v="CUST-0156"/>
    <s v="PROD-011"/>
    <x v="4"/>
    <s v="Retail Store"/>
    <n v="8"/>
    <n v="0"/>
    <s v="No"/>
    <n v="4"/>
    <n v="1"/>
    <s v="Backpack"/>
    <s v="Accessories"/>
    <n v="85"/>
    <n v="39"/>
    <s v="Consumer"/>
    <n v="680"/>
    <n v="312"/>
    <n v="368"/>
    <n v="0.54117647058823526"/>
  </r>
  <r>
    <s v="ORD-10971"/>
    <x v="490"/>
    <s v="CUST-0155"/>
    <s v="PROD-011"/>
    <x v="0"/>
    <s v="Retail Store"/>
    <n v="5"/>
    <n v="0.15"/>
    <s v="No"/>
    <n v="3"/>
    <n v="5"/>
    <s v="Backpack"/>
    <s v="Accessories"/>
    <n v="85"/>
    <n v="39"/>
    <s v="Consumer"/>
    <n v="361.25"/>
    <n v="195"/>
    <n v="166.25"/>
    <n v="0.46020761245674741"/>
  </r>
  <r>
    <s v="ORD-10972"/>
    <x v="68"/>
    <s v="CUST-0076"/>
    <s v="PROD-014"/>
    <x v="0"/>
    <s v="Retail Store"/>
    <n v="1"/>
    <n v="0.05"/>
    <s v="No"/>
    <n v="5"/>
    <n v="4"/>
    <s v="Printer Paper"/>
    <s v="Office Supplies"/>
    <n v="17"/>
    <n v="8"/>
    <s v="Consumer"/>
    <n v="16.149999999999999"/>
    <n v="8"/>
    <n v="8.1499999999999986"/>
    <n v="0.50464396284829716"/>
  </r>
  <r>
    <s v="ORD-10973"/>
    <x v="249"/>
    <s v="CUST-0106"/>
    <s v="PROD-003"/>
    <x v="2"/>
    <s v="B2B Sales"/>
    <n v="3"/>
    <n v="0.2"/>
    <s v="No"/>
    <n v="5"/>
    <n v="4"/>
    <s v="Keyboard"/>
    <s v="Technology"/>
    <n v="75"/>
    <n v="38"/>
    <s v="Corporate"/>
    <n v="180"/>
    <n v="114"/>
    <n v="66"/>
    <n v="0.36666666666666664"/>
  </r>
  <r>
    <s v="ORD-10974"/>
    <x v="407"/>
    <s v="CUST-0090"/>
    <s v="PROD-009"/>
    <x v="0"/>
    <s v="Online"/>
    <n v="2"/>
    <n v="0.05"/>
    <s v="Yes"/>
    <n v="4"/>
    <n v="3"/>
    <s v="Bookshelf"/>
    <s v="Furniture"/>
    <n v="185"/>
    <n v="105"/>
    <s v="Consumer"/>
    <n v="351.5"/>
    <n v="210"/>
    <n v="141.5"/>
    <n v="0.40256045519203415"/>
  </r>
  <r>
    <s v="ORD-10975"/>
    <x v="387"/>
    <s v="CUST-0267"/>
    <s v="PROD-011"/>
    <x v="0"/>
    <s v="Online"/>
    <n v="4"/>
    <n v="0.05"/>
    <s v="No"/>
    <n v="4"/>
    <n v="1"/>
    <s v="Backpack"/>
    <s v="Accessories"/>
    <n v="85"/>
    <n v="39"/>
    <s v="Corporate"/>
    <n v="323"/>
    <n v="156"/>
    <n v="167"/>
    <n v="0.51702786377708976"/>
  </r>
  <r>
    <s v="ORD-10976"/>
    <x v="57"/>
    <s v="CUST-0256"/>
    <s v="PROD-005"/>
    <x v="4"/>
    <s v="Online"/>
    <n v="7"/>
    <n v="0.05"/>
    <s v="No"/>
    <n v="4"/>
    <n v="3"/>
    <s v="Webcam"/>
    <s v="Technology"/>
    <n v="115"/>
    <n v="58"/>
    <s v="Small Business"/>
    <n v="764.75"/>
    <n v="406"/>
    <n v="358.75"/>
    <n v="0.46910755148741418"/>
  </r>
  <r>
    <s v="ORD-10977"/>
    <x v="117"/>
    <s v="CUST-0151"/>
    <s v="PROD-001"/>
    <x v="4"/>
    <s v="Online"/>
    <n v="5"/>
    <n v="0"/>
    <s v="No"/>
    <n v="1"/>
    <n v="4"/>
    <s v="Laptop"/>
    <s v="Technology"/>
    <n v="1100"/>
    <n v="720"/>
    <s v="Small Business"/>
    <n v="5500"/>
    <n v="3600"/>
    <n v="1900"/>
    <n v="0.34545454545454546"/>
  </r>
  <r>
    <s v="ORD-10978"/>
    <x v="21"/>
    <s v="CUST-0129"/>
    <s v="PROD-005"/>
    <x v="3"/>
    <s v="Online"/>
    <n v="5"/>
    <n v="0.1"/>
    <s v="No"/>
    <n v="3"/>
    <n v="1"/>
    <s v="Webcam"/>
    <s v="Technology"/>
    <n v="115"/>
    <n v="58"/>
    <s v="Small Business"/>
    <n v="517.5"/>
    <n v="290"/>
    <n v="227.5"/>
    <n v="0.43961352657004832"/>
  </r>
  <r>
    <s v="ORD-10979"/>
    <x v="139"/>
    <s v="CUST-0074"/>
    <s v="PROD-007"/>
    <x v="4"/>
    <s v="B2B Sales"/>
    <n v="1"/>
    <n v="0"/>
    <s v="Yes"/>
    <n v="3"/>
    <n v="8"/>
    <s v="Standing Desk"/>
    <s v="Furniture"/>
    <n v="540"/>
    <n v="320"/>
    <s v="Consumer"/>
    <n v="540"/>
    <n v="320"/>
    <n v="220"/>
    <n v="0.40740740740740738"/>
  </r>
  <r>
    <s v="ORD-10980"/>
    <x v="405"/>
    <s v="CUST-0051"/>
    <s v="PROD-009"/>
    <x v="0"/>
    <s v="Retail Store"/>
    <n v="1"/>
    <n v="0"/>
    <s v="No"/>
    <n v="5"/>
    <n v="2"/>
    <s v="Bookshelf"/>
    <s v="Furniture"/>
    <n v="185"/>
    <n v="105"/>
    <s v="Consumer"/>
    <n v="185"/>
    <n v="105"/>
    <n v="80"/>
    <n v="0.43243243243243246"/>
  </r>
  <r>
    <s v="ORD-10981"/>
    <x v="302"/>
    <s v="CUST-0129"/>
    <s v="PROD-005"/>
    <x v="3"/>
    <s v="Online"/>
    <n v="1"/>
    <n v="0"/>
    <s v="Yes"/>
    <n v="4"/>
    <n v="6"/>
    <s v="Webcam"/>
    <s v="Technology"/>
    <n v="115"/>
    <n v="58"/>
    <s v="Small Business"/>
    <n v="115"/>
    <n v="58"/>
    <n v="57"/>
    <n v="0.4956521739130435"/>
  </r>
  <r>
    <s v="ORD-10982"/>
    <x v="220"/>
    <s v="CUST-0050"/>
    <s v="PROD-005"/>
    <x v="4"/>
    <s v="Retail Store"/>
    <n v="2"/>
    <n v="0.1"/>
    <s v="No"/>
    <n v="4"/>
    <n v="4"/>
    <s v="Webcam"/>
    <s v="Technology"/>
    <n v="115"/>
    <n v="58"/>
    <s v="Consumer"/>
    <n v="207"/>
    <n v="116"/>
    <n v="91"/>
    <n v="0.43961352657004832"/>
  </r>
  <r>
    <s v="ORD-10983"/>
    <x v="491"/>
    <s v="CUST-0211"/>
    <s v="PROD-015"/>
    <x v="2"/>
    <s v="Retail Store"/>
    <n v="7"/>
    <n v="0"/>
    <s v="No"/>
    <n v="5"/>
    <n v="3"/>
    <s v="File Folder Pack"/>
    <s v="Office Supplies"/>
    <n v="23"/>
    <n v="10"/>
    <s v="Consumer"/>
    <n v="161"/>
    <n v="70"/>
    <n v="91"/>
    <n v="0.56521739130434778"/>
  </r>
  <r>
    <s v="ORD-10984"/>
    <x v="133"/>
    <s v="CUST-0298"/>
    <s v="PROD-012"/>
    <x v="2"/>
    <s v="Retail Store"/>
    <n v="3"/>
    <n v="0"/>
    <s v="No"/>
    <n v="4"/>
    <n v="4"/>
    <s v="USB-C Hub"/>
    <s v="Accessories"/>
    <n v="68"/>
    <n v="31"/>
    <s v="Consumer"/>
    <n v="204"/>
    <n v="93"/>
    <n v="111"/>
    <n v="0.54411764705882348"/>
  </r>
  <r>
    <s v="ORD-10985"/>
    <x v="492"/>
    <s v="CUST-0237"/>
    <s v="PROD-015"/>
    <x v="0"/>
    <s v="Online"/>
    <n v="1"/>
    <n v="0.2"/>
    <s v="No"/>
    <n v="4"/>
    <n v="3"/>
    <s v="File Folder Pack"/>
    <s v="Office Supplies"/>
    <n v="23"/>
    <n v="10"/>
    <s v="Small Business"/>
    <n v="18.400000000000002"/>
    <n v="10"/>
    <n v="8.4000000000000021"/>
    <n v="0.45652173913043487"/>
  </r>
  <r>
    <s v="ORD-10986"/>
    <x v="26"/>
    <s v="CUST-0247"/>
    <s v="PROD-011"/>
    <x v="0"/>
    <s v="Online"/>
    <n v="3"/>
    <n v="0.05"/>
    <s v="No"/>
    <n v="5"/>
    <n v="5"/>
    <s v="Backpack"/>
    <s v="Accessories"/>
    <n v="85"/>
    <n v="39"/>
    <s v="Consumer"/>
    <n v="242.25"/>
    <n v="117"/>
    <n v="125.25"/>
    <n v="0.51702786377708976"/>
  </r>
  <r>
    <s v="ORD-10987"/>
    <x v="493"/>
    <s v="CUST-0288"/>
    <s v="PROD-016"/>
    <x v="2"/>
    <s v="B2B Sales"/>
    <n v="3"/>
    <n v="0"/>
    <s v="No"/>
    <n v="5"/>
    <n v="1"/>
    <s v="Desk Organiser"/>
    <s v="Office Supplies"/>
    <n v="28"/>
    <n v="12"/>
    <s v="Consumer"/>
    <n v="84"/>
    <n v="36"/>
    <n v="48"/>
    <n v="0.5714285714285714"/>
  </r>
  <r>
    <s v="ORD-10988"/>
    <x v="494"/>
    <s v="CUST-0103"/>
    <s v="PROD-004"/>
    <x v="2"/>
    <s v="Online"/>
    <n v="5"/>
    <n v="0.05"/>
    <s v="No"/>
    <n v="2"/>
    <n v="5"/>
    <s v="Mouse"/>
    <s v="Technology"/>
    <n v="42"/>
    <n v="19"/>
    <s v="Corporate"/>
    <n v="199.5"/>
    <n v="95"/>
    <n v="104.5"/>
    <n v="0.52380952380952384"/>
  </r>
  <r>
    <s v="ORD-10989"/>
    <x v="182"/>
    <s v="CUST-0029"/>
    <s v="PROD-004"/>
    <x v="3"/>
    <s v="Retail Store"/>
    <n v="1"/>
    <n v="0"/>
    <s v="No"/>
    <n v="4"/>
    <n v="5"/>
    <s v="Mouse"/>
    <s v="Technology"/>
    <n v="42"/>
    <n v="19"/>
    <s v="Small Business"/>
    <n v="42"/>
    <n v="19"/>
    <n v="23"/>
    <n v="0.54761904761904767"/>
  </r>
  <r>
    <s v="ORD-10990"/>
    <x v="157"/>
    <s v="CUST-0064"/>
    <s v="PROD-014"/>
    <x v="2"/>
    <s v="Online"/>
    <n v="1"/>
    <n v="0.1"/>
    <s v="No"/>
    <n v="4"/>
    <n v="5"/>
    <s v="Printer Paper"/>
    <s v="Office Supplies"/>
    <n v="17"/>
    <n v="8"/>
    <s v="Corporate"/>
    <n v="15.3"/>
    <n v="8"/>
    <n v="7.3000000000000007"/>
    <n v="0.47712418300653597"/>
  </r>
  <r>
    <s v="ORD-10991"/>
    <x v="495"/>
    <s v="CUST-0244"/>
    <s v="PROD-016"/>
    <x v="3"/>
    <s v="Retail Store"/>
    <n v="7"/>
    <n v="0.05"/>
    <s v="No"/>
    <n v="4"/>
    <n v="1"/>
    <s v="Desk Organiser"/>
    <s v="Office Supplies"/>
    <n v="28"/>
    <n v="12"/>
    <s v="Small Business"/>
    <n v="186.2"/>
    <n v="84"/>
    <n v="102.19999999999999"/>
    <n v="0.54887218045112784"/>
  </r>
  <r>
    <s v="ORD-10992"/>
    <x v="29"/>
    <s v="CUST-0214"/>
    <s v="PROD-014"/>
    <x v="2"/>
    <s v="Online"/>
    <n v="1"/>
    <n v="0"/>
    <s v="No"/>
    <n v="1"/>
    <n v="9"/>
    <s v="Printer Paper"/>
    <s v="Office Supplies"/>
    <n v="17"/>
    <n v="8"/>
    <s v="Consumer"/>
    <n v="17"/>
    <n v="8"/>
    <n v="9"/>
    <n v="0.52941176470588236"/>
  </r>
  <r>
    <s v="ORD-10993"/>
    <x v="385"/>
    <s v="CUST-0182"/>
    <s v="PROD-005"/>
    <x v="4"/>
    <s v="Retail Store"/>
    <n v="1"/>
    <n v="0.2"/>
    <s v="No"/>
    <n v="5"/>
    <n v="5"/>
    <s v="Webcam"/>
    <s v="Technology"/>
    <n v="115"/>
    <n v="58"/>
    <s v="Corporate"/>
    <n v="92"/>
    <n v="58"/>
    <n v="34"/>
    <n v="0.36956521739130432"/>
  </r>
  <r>
    <s v="ORD-10994"/>
    <x v="496"/>
    <s v="CUST-0179"/>
    <s v="PROD-013"/>
    <x v="4"/>
    <s v="Online"/>
    <n v="1"/>
    <n v="0.05"/>
    <s v="No"/>
    <n v="4"/>
    <n v="2"/>
    <s v="Phone Charger"/>
    <s v="Accessories"/>
    <n v="32"/>
    <n v="13"/>
    <s v="Consumer"/>
    <n v="30.4"/>
    <n v="13"/>
    <n v="17.399999999999999"/>
    <n v="0.57236842105263153"/>
  </r>
  <r>
    <s v="ORD-10995"/>
    <x v="136"/>
    <s v="CUST-0156"/>
    <s v="PROD-013"/>
    <x v="2"/>
    <s v="B2B Sales"/>
    <n v="2"/>
    <n v="0.2"/>
    <s v="No"/>
    <n v="3"/>
    <n v="5"/>
    <s v="Phone Charger"/>
    <s v="Accessories"/>
    <n v="32"/>
    <n v="13"/>
    <s v="Consumer"/>
    <n v="51.2"/>
    <n v="26"/>
    <n v="25.200000000000003"/>
    <n v="0.49218750000000006"/>
  </r>
  <r>
    <s v="ORD-10996"/>
    <x v="70"/>
    <s v="CUST-0133"/>
    <s v="PROD-005"/>
    <x v="1"/>
    <s v="Retail Store"/>
    <n v="3"/>
    <n v="0.05"/>
    <s v="No"/>
    <n v="2"/>
    <n v="3"/>
    <s v="Webcam"/>
    <s v="Technology"/>
    <n v="115"/>
    <n v="58"/>
    <s v="Small Business"/>
    <n v="327.75"/>
    <n v="174"/>
    <n v="153.75"/>
    <n v="0.46910755148741418"/>
  </r>
  <r>
    <s v="ORD-10997"/>
    <x v="497"/>
    <s v="CUST-0050"/>
    <s v="PROD-004"/>
    <x v="4"/>
    <s v="Retail Store"/>
    <n v="2"/>
    <n v="0"/>
    <s v="No"/>
    <n v="5"/>
    <n v="2"/>
    <s v="Mouse"/>
    <s v="Technology"/>
    <n v="42"/>
    <n v="19"/>
    <s v="Consumer"/>
    <n v="84"/>
    <n v="38"/>
    <n v="46"/>
    <n v="0.54761904761904767"/>
  </r>
  <r>
    <s v="ORD-10998"/>
    <x v="413"/>
    <s v="CUST-0090"/>
    <s v="PROD-013"/>
    <x v="1"/>
    <s v="Online"/>
    <n v="1"/>
    <n v="0.05"/>
    <s v="No"/>
    <n v="5"/>
    <n v="1"/>
    <s v="Phone Charger"/>
    <s v="Accessories"/>
    <n v="32"/>
    <n v="13"/>
    <s v="Consumer"/>
    <n v="30.4"/>
    <n v="13"/>
    <n v="17.399999999999999"/>
    <n v="0.57236842105263153"/>
  </r>
  <r>
    <s v="ORD-10999"/>
    <x v="10"/>
    <s v="CUST-0192"/>
    <s v="PROD-001"/>
    <x v="0"/>
    <s v="Online"/>
    <n v="3"/>
    <n v="0"/>
    <s v="Yes"/>
    <n v="4"/>
    <n v="4"/>
    <s v="Laptop"/>
    <s v="Technology"/>
    <n v="1100"/>
    <n v="720"/>
    <s v="Consumer"/>
    <n v="3300"/>
    <n v="2160"/>
    <n v="1140"/>
    <n v="0.34545454545454546"/>
  </r>
  <r>
    <s v="ORD-11000"/>
    <x v="22"/>
    <s v="CUST-0252"/>
    <s v="PROD-015"/>
    <x v="1"/>
    <s v="Online"/>
    <n v="4"/>
    <n v="0"/>
    <s v="No"/>
    <n v="5"/>
    <n v="1"/>
    <s v="File Folder Pack"/>
    <s v="Office Supplies"/>
    <n v="23"/>
    <n v="10"/>
    <s v="Corporate"/>
    <n v="92"/>
    <n v="40"/>
    <n v="52"/>
    <n v="0.56521739130434778"/>
  </r>
  <r>
    <s v="ORD-11001"/>
    <x v="231"/>
    <s v="CUST-0013"/>
    <s v="PROD-004"/>
    <x v="2"/>
    <s v="Retail Store"/>
    <n v="6"/>
    <n v="0"/>
    <s v="No"/>
    <n v="4"/>
    <n v="1"/>
    <s v="Mouse"/>
    <s v="Technology"/>
    <n v="42"/>
    <n v="19"/>
    <s v="Consumer"/>
    <n v="252"/>
    <n v="114"/>
    <n v="138"/>
    <n v="0.54761904761904767"/>
  </r>
  <r>
    <s v="ORD-11002"/>
    <x v="345"/>
    <s v="CUST-0095"/>
    <s v="PROD-016"/>
    <x v="2"/>
    <s v="Online"/>
    <n v="5"/>
    <n v="0.05"/>
    <s v="No"/>
    <n v="5"/>
    <n v="2"/>
    <s v="Desk Organiser"/>
    <s v="Office Supplies"/>
    <n v="28"/>
    <n v="12"/>
    <s v="Consumer"/>
    <n v="133"/>
    <n v="60"/>
    <n v="73"/>
    <n v="0.54887218045112784"/>
  </r>
  <r>
    <s v="ORD-11003"/>
    <x v="498"/>
    <s v="CUST-0225"/>
    <s v="PROD-014"/>
    <x v="1"/>
    <s v="B2B Sales"/>
    <n v="3"/>
    <n v="0"/>
    <s v="No"/>
    <n v="2"/>
    <n v="6"/>
    <s v="Printer Paper"/>
    <s v="Office Supplies"/>
    <n v="17"/>
    <n v="8"/>
    <s v="Consumer"/>
    <n v="51"/>
    <n v="24"/>
    <n v="27"/>
    <n v="0.52941176470588236"/>
  </r>
  <r>
    <s v="ORD-11004"/>
    <x v="499"/>
    <s v="CUST-0277"/>
    <s v="PROD-011"/>
    <x v="2"/>
    <s v="Retail Store"/>
    <n v="1"/>
    <n v="0.1"/>
    <s v="No"/>
    <n v="4"/>
    <n v="2"/>
    <s v="Backpack"/>
    <s v="Accessories"/>
    <n v="85"/>
    <n v="39"/>
    <s v="Consumer"/>
    <n v="76.5"/>
    <n v="39"/>
    <n v="37.5"/>
    <n v="0.49019607843137253"/>
  </r>
  <r>
    <s v="ORD-11005"/>
    <x v="45"/>
    <s v="CUST-0039"/>
    <s v="PROD-008"/>
    <x v="0"/>
    <s v="B2B Sales"/>
    <n v="2"/>
    <n v="0"/>
    <s v="No"/>
    <n v="5"/>
    <n v="1"/>
    <s v="Office Chair"/>
    <s v="Furniture"/>
    <n v="255"/>
    <n v="145"/>
    <s v="Small Business"/>
    <n v="510"/>
    <n v="290"/>
    <n v="220"/>
    <n v="0.43137254901960786"/>
  </r>
  <r>
    <s v="ORD-11006"/>
    <x v="231"/>
    <s v="CUST-0242"/>
    <s v="PROD-009"/>
    <x v="1"/>
    <s v="Online"/>
    <n v="2"/>
    <n v="0"/>
    <s v="No"/>
    <n v="2"/>
    <n v="5"/>
    <s v="Bookshelf"/>
    <s v="Furniture"/>
    <n v="185"/>
    <n v="105"/>
    <s v="Corporate"/>
    <n v="370"/>
    <n v="210"/>
    <n v="160"/>
    <n v="0.43243243243243246"/>
  </r>
  <r>
    <s v="ORD-11007"/>
    <x v="500"/>
    <s v="CUST-0121"/>
    <s v="PROD-016"/>
    <x v="2"/>
    <s v="B2B Sales"/>
    <n v="6"/>
    <n v="0.1"/>
    <s v="No"/>
    <n v="1"/>
    <n v="5"/>
    <s v="Desk Organiser"/>
    <s v="Office Supplies"/>
    <n v="28"/>
    <n v="12"/>
    <s v="Corporate"/>
    <n v="151.20000000000002"/>
    <n v="72"/>
    <n v="79.200000000000017"/>
    <n v="0.52380952380952384"/>
  </r>
  <r>
    <s v="ORD-11008"/>
    <x v="72"/>
    <s v="CUST-0283"/>
    <s v="PROD-016"/>
    <x v="0"/>
    <s v="Online"/>
    <n v="1"/>
    <n v="0"/>
    <s v="No"/>
    <n v="5"/>
    <n v="4"/>
    <s v="Desk Organiser"/>
    <s v="Office Supplies"/>
    <n v="28"/>
    <n v="12"/>
    <s v="Corporate"/>
    <n v="28"/>
    <n v="12"/>
    <n v="16"/>
    <n v="0.5714285714285714"/>
  </r>
  <r>
    <s v="ORD-11009"/>
    <x v="367"/>
    <s v="CUST-0156"/>
    <s v="PROD-008"/>
    <x v="2"/>
    <s v="Online"/>
    <n v="4"/>
    <n v="0.1"/>
    <s v="No"/>
    <n v="5"/>
    <n v="1"/>
    <s v="Office Chair"/>
    <s v="Furniture"/>
    <n v="255"/>
    <n v="145"/>
    <s v="Consumer"/>
    <n v="918"/>
    <n v="580"/>
    <n v="338"/>
    <n v="0.36819172113289761"/>
  </r>
  <r>
    <s v="ORD-11010"/>
    <x v="185"/>
    <s v="CUST-0247"/>
    <s v="PROD-002"/>
    <x v="3"/>
    <s v="Online"/>
    <n v="1"/>
    <n v="0.1"/>
    <s v="No"/>
    <n v="3"/>
    <n v="1"/>
    <s v="Monitor"/>
    <s v="Technology"/>
    <n v="310"/>
    <n v="190"/>
    <s v="Consumer"/>
    <n v="279"/>
    <n v="190"/>
    <n v="89"/>
    <n v="0.31899641577060933"/>
  </r>
  <r>
    <s v="ORD-11011"/>
    <x v="77"/>
    <s v="CUST-0181"/>
    <s v="PROD-007"/>
    <x v="3"/>
    <s v="B2B Sales"/>
    <n v="1"/>
    <n v="0"/>
    <s v="No"/>
    <n v="4"/>
    <n v="5"/>
    <s v="Standing Desk"/>
    <s v="Furniture"/>
    <n v="540"/>
    <n v="320"/>
    <s v="Corporate"/>
    <n v="540"/>
    <n v="320"/>
    <n v="220"/>
    <n v="0.40740740740740738"/>
  </r>
  <r>
    <s v="ORD-11012"/>
    <x v="501"/>
    <s v="CUST-0024"/>
    <s v="PROD-001"/>
    <x v="0"/>
    <s v="Online"/>
    <n v="1"/>
    <n v="0"/>
    <s v="No"/>
    <n v="4"/>
    <n v="3"/>
    <s v="Laptop"/>
    <s v="Technology"/>
    <n v="1100"/>
    <n v="720"/>
    <s v="Consumer"/>
    <n v="1100"/>
    <n v="720"/>
    <n v="380"/>
    <n v="0.34545454545454546"/>
  </r>
  <r>
    <s v="ORD-11013"/>
    <x v="292"/>
    <s v="CUST-0126"/>
    <s v="PROD-010"/>
    <x v="2"/>
    <s v="Online"/>
    <n v="3"/>
    <n v="0.05"/>
    <s v="No"/>
    <n v="5"/>
    <n v="2"/>
    <s v="Laptop Stand"/>
    <s v="Accessories"/>
    <n v="48"/>
    <n v="22"/>
    <s v="Consumer"/>
    <n v="136.79999999999998"/>
    <n v="66"/>
    <n v="70.799999999999983"/>
    <n v="0.51754385964912275"/>
  </r>
  <r>
    <s v="ORD-11014"/>
    <x v="450"/>
    <s v="CUST-0183"/>
    <s v="PROD-008"/>
    <x v="4"/>
    <s v="Online"/>
    <n v="2"/>
    <n v="0.05"/>
    <s v="No"/>
    <n v="3"/>
    <n v="3"/>
    <s v="Office Chair"/>
    <s v="Furniture"/>
    <n v="255"/>
    <n v="145"/>
    <s v="Small Business"/>
    <n v="484.5"/>
    <n v="290"/>
    <n v="194.5"/>
    <n v="0.40144478844169246"/>
  </r>
  <r>
    <s v="ORD-11015"/>
    <x v="158"/>
    <s v="CUST-0278"/>
    <s v="PROD-004"/>
    <x v="2"/>
    <s v="B2B Sales"/>
    <n v="3"/>
    <n v="0.05"/>
    <s v="No"/>
    <n v="3"/>
    <n v="2"/>
    <s v="Mouse"/>
    <s v="Technology"/>
    <n v="42"/>
    <n v="19"/>
    <s v="Corporate"/>
    <n v="119.69999999999999"/>
    <n v="57"/>
    <n v="62.699999999999989"/>
    <n v="0.52380952380952372"/>
  </r>
  <r>
    <s v="ORD-11016"/>
    <x v="71"/>
    <s v="CUST-0119"/>
    <s v="PROD-010"/>
    <x v="1"/>
    <s v="Online"/>
    <n v="2"/>
    <n v="0.1"/>
    <s v="No"/>
    <n v="5"/>
    <n v="4"/>
    <s v="Laptop Stand"/>
    <s v="Accessories"/>
    <n v="48"/>
    <n v="22"/>
    <s v="Corporate"/>
    <n v="86.4"/>
    <n v="44"/>
    <n v="42.400000000000006"/>
    <n v="0.49074074074074076"/>
  </r>
  <r>
    <s v="ORD-11017"/>
    <x v="65"/>
    <s v="CUST-0059"/>
    <s v="PROD-001"/>
    <x v="4"/>
    <s v="Online"/>
    <n v="1"/>
    <n v="0"/>
    <s v="No"/>
    <n v="2"/>
    <n v="7"/>
    <s v="Laptop"/>
    <s v="Technology"/>
    <n v="1100"/>
    <n v="720"/>
    <s v="Consumer"/>
    <n v="1100"/>
    <n v="720"/>
    <n v="380"/>
    <n v="0.34545454545454546"/>
  </r>
  <r>
    <s v="ORD-11018"/>
    <x v="254"/>
    <s v="CUST-0010"/>
    <s v="PROD-013"/>
    <x v="3"/>
    <s v="Online"/>
    <n v="1"/>
    <n v="0"/>
    <s v="No"/>
    <n v="2"/>
    <n v="4"/>
    <s v="Phone Charger"/>
    <s v="Accessories"/>
    <n v="32"/>
    <n v="13"/>
    <s v="Consumer"/>
    <n v="32"/>
    <n v="13"/>
    <n v="19"/>
    <n v="0.59375"/>
  </r>
  <r>
    <s v="ORD-11019"/>
    <x v="502"/>
    <s v="CUST-0179"/>
    <s v="PROD-001"/>
    <x v="0"/>
    <s v="Retail Store"/>
    <n v="2"/>
    <n v="0.1"/>
    <s v="No"/>
    <n v="5"/>
    <n v="2"/>
    <s v="Laptop"/>
    <s v="Technology"/>
    <n v="1100"/>
    <n v="720"/>
    <s v="Consumer"/>
    <n v="1980"/>
    <n v="1440"/>
    <n v="540"/>
    <n v="0.27272727272727271"/>
  </r>
  <r>
    <s v="ORD-11020"/>
    <x v="474"/>
    <s v="CUST-0175"/>
    <s v="PROD-014"/>
    <x v="0"/>
    <s v="Retail Store"/>
    <n v="6"/>
    <n v="0.1"/>
    <s v="No"/>
    <n v="4"/>
    <n v="3"/>
    <s v="Printer Paper"/>
    <s v="Office Supplies"/>
    <n v="17"/>
    <n v="8"/>
    <s v="Small Business"/>
    <n v="91.8"/>
    <n v="48"/>
    <n v="43.8"/>
    <n v="0.47712418300653592"/>
  </r>
  <r>
    <s v="ORD-11021"/>
    <x v="141"/>
    <s v="CUST-0238"/>
    <s v="PROD-014"/>
    <x v="4"/>
    <s v="Retail Store"/>
    <n v="2"/>
    <n v="0"/>
    <s v="No"/>
    <n v="5"/>
    <n v="2"/>
    <s v="Printer Paper"/>
    <s v="Office Supplies"/>
    <n v="17"/>
    <n v="8"/>
    <s v="Consumer"/>
    <n v="34"/>
    <n v="16"/>
    <n v="18"/>
    <n v="0.52941176470588236"/>
  </r>
  <r>
    <s v="ORD-11022"/>
    <x v="150"/>
    <s v="CUST-0008"/>
    <s v="PROD-009"/>
    <x v="0"/>
    <s v="B2B Sales"/>
    <n v="1"/>
    <n v="0"/>
    <s v="No"/>
    <n v="4"/>
    <n v="4"/>
    <s v="Bookshelf"/>
    <s v="Furniture"/>
    <n v="185"/>
    <n v="105"/>
    <s v="Consumer"/>
    <n v="185"/>
    <n v="105"/>
    <n v="80"/>
    <n v="0.43243243243243246"/>
  </r>
  <r>
    <s v="ORD-11023"/>
    <x v="503"/>
    <s v="CUST-0141"/>
    <s v="PROD-012"/>
    <x v="3"/>
    <s v="Online"/>
    <n v="3"/>
    <n v="0.1"/>
    <s v="No"/>
    <n v="4"/>
    <n v="3"/>
    <s v="USB-C Hub"/>
    <s v="Accessories"/>
    <n v="68"/>
    <n v="31"/>
    <s v="Consumer"/>
    <n v="183.6"/>
    <n v="93"/>
    <n v="90.6"/>
    <n v="0.49346405228758167"/>
  </r>
  <r>
    <s v="ORD-11024"/>
    <x v="504"/>
    <s v="CUST-0092"/>
    <s v="PROD-015"/>
    <x v="4"/>
    <s v="Online"/>
    <n v="2"/>
    <n v="0.2"/>
    <s v="No"/>
    <n v="5"/>
    <n v="2"/>
    <s v="File Folder Pack"/>
    <s v="Office Supplies"/>
    <n v="23"/>
    <n v="10"/>
    <s v="Corporate"/>
    <n v="36.800000000000004"/>
    <n v="20"/>
    <n v="16.800000000000004"/>
    <n v="0.45652173913043487"/>
  </r>
  <r>
    <s v="ORD-11025"/>
    <x v="64"/>
    <s v="CUST-0030"/>
    <s v="PROD-003"/>
    <x v="3"/>
    <s v="Retail Store"/>
    <n v="1"/>
    <n v="0"/>
    <s v="No"/>
    <n v="5"/>
    <n v="3"/>
    <s v="Keyboard"/>
    <s v="Technology"/>
    <n v="75"/>
    <n v="38"/>
    <s v="Corporate"/>
    <n v="75"/>
    <n v="38"/>
    <n v="37"/>
    <n v="0.49333333333333335"/>
  </r>
  <r>
    <s v="ORD-11026"/>
    <x v="340"/>
    <s v="CUST-0254"/>
    <s v="PROD-005"/>
    <x v="3"/>
    <s v="Online"/>
    <n v="5"/>
    <n v="0.05"/>
    <s v="No"/>
    <n v="5"/>
    <n v="2"/>
    <s v="Webcam"/>
    <s v="Technology"/>
    <n v="115"/>
    <n v="58"/>
    <s v="Consumer"/>
    <n v="546.25"/>
    <n v="290"/>
    <n v="256.25"/>
    <n v="0.46910755148741418"/>
  </r>
  <r>
    <s v="ORD-11027"/>
    <x v="235"/>
    <s v="CUST-0226"/>
    <s v="PROD-011"/>
    <x v="2"/>
    <s v="Retail Store"/>
    <n v="1"/>
    <n v="0.1"/>
    <s v="No"/>
    <n v="4"/>
    <n v="3"/>
    <s v="Backpack"/>
    <s v="Accessories"/>
    <n v="85"/>
    <n v="39"/>
    <s v="Corporate"/>
    <n v="76.5"/>
    <n v="39"/>
    <n v="37.5"/>
    <n v="0.49019607843137253"/>
  </r>
  <r>
    <s v="ORD-11028"/>
    <x v="505"/>
    <s v="CUST-0023"/>
    <s v="PROD-008"/>
    <x v="3"/>
    <s v="Online"/>
    <n v="2"/>
    <n v="0.05"/>
    <s v="No"/>
    <n v="4"/>
    <n v="3"/>
    <s v="Office Chair"/>
    <s v="Furniture"/>
    <n v="255"/>
    <n v="145"/>
    <s v="Consumer"/>
    <n v="484.5"/>
    <n v="290"/>
    <n v="194.5"/>
    <n v="0.40144478844169246"/>
  </r>
  <r>
    <s v="ORD-11029"/>
    <x v="148"/>
    <s v="CUST-0037"/>
    <s v="PROD-014"/>
    <x v="0"/>
    <s v="Online"/>
    <n v="2"/>
    <n v="0.1"/>
    <s v="No"/>
    <n v="4"/>
    <n v="3"/>
    <s v="Printer Paper"/>
    <s v="Office Supplies"/>
    <n v="17"/>
    <n v="8"/>
    <s v="Small Business"/>
    <n v="30.6"/>
    <n v="16"/>
    <n v="14.600000000000001"/>
    <n v="0.47712418300653597"/>
  </r>
  <r>
    <s v="ORD-11030"/>
    <x v="39"/>
    <s v="CUST-0151"/>
    <s v="PROD-001"/>
    <x v="2"/>
    <s v="Online"/>
    <n v="6"/>
    <n v="0.15"/>
    <s v="No"/>
    <n v="4"/>
    <n v="3"/>
    <s v="Laptop"/>
    <s v="Technology"/>
    <n v="1100"/>
    <n v="720"/>
    <s v="Small Business"/>
    <n v="5610"/>
    <n v="4320"/>
    <n v="1290"/>
    <n v="0.22994652406417113"/>
  </r>
  <r>
    <s v="ORD-11031"/>
    <x v="336"/>
    <s v="CUST-0261"/>
    <s v="PROD-012"/>
    <x v="0"/>
    <s v="Online"/>
    <n v="3"/>
    <n v="0.05"/>
    <s v="No"/>
    <n v="5"/>
    <n v="1"/>
    <s v="USB-C Hub"/>
    <s v="Accessories"/>
    <n v="68"/>
    <n v="31"/>
    <s v="Small Business"/>
    <n v="193.79999999999998"/>
    <n v="93"/>
    <n v="100.79999999999998"/>
    <n v="0.52012383900928794"/>
  </r>
  <r>
    <s v="ORD-11032"/>
    <x v="506"/>
    <s v="CUST-0115"/>
    <s v="PROD-014"/>
    <x v="4"/>
    <s v="Online"/>
    <n v="5"/>
    <n v="0.1"/>
    <s v="No"/>
    <n v="5"/>
    <n v="5"/>
    <s v="Printer Paper"/>
    <s v="Office Supplies"/>
    <n v="17"/>
    <n v="8"/>
    <s v="Small Business"/>
    <n v="76.5"/>
    <n v="40"/>
    <n v="36.5"/>
    <n v="0.47712418300653597"/>
  </r>
  <r>
    <s v="ORD-11033"/>
    <x v="97"/>
    <s v="CUST-0163"/>
    <s v="PROD-009"/>
    <x v="2"/>
    <s v="Retail Store"/>
    <n v="6"/>
    <n v="0"/>
    <s v="No"/>
    <n v="5"/>
    <n v="2"/>
    <s v="Bookshelf"/>
    <s v="Furniture"/>
    <n v="185"/>
    <n v="105"/>
    <s v="Consumer"/>
    <n v="1110"/>
    <n v="630"/>
    <n v="480"/>
    <n v="0.43243243243243246"/>
  </r>
  <r>
    <s v="ORD-11034"/>
    <x v="12"/>
    <s v="CUST-0162"/>
    <s v="PROD-004"/>
    <x v="1"/>
    <s v="Online"/>
    <n v="7"/>
    <n v="0"/>
    <s v="No"/>
    <n v="4"/>
    <n v="1"/>
    <s v="Mouse"/>
    <s v="Technology"/>
    <n v="42"/>
    <n v="19"/>
    <s v="Corporate"/>
    <n v="294"/>
    <n v="133"/>
    <n v="161"/>
    <n v="0.54761904761904767"/>
  </r>
  <r>
    <s v="ORD-11035"/>
    <x v="380"/>
    <s v="CUST-0248"/>
    <s v="PROD-008"/>
    <x v="4"/>
    <s v="Online"/>
    <n v="3"/>
    <n v="0.1"/>
    <s v="No"/>
    <n v="4"/>
    <n v="4"/>
    <s v="Office Chair"/>
    <s v="Furniture"/>
    <n v="255"/>
    <n v="145"/>
    <s v="Consumer"/>
    <n v="688.5"/>
    <n v="435"/>
    <n v="253.5"/>
    <n v="0.36819172113289761"/>
  </r>
  <r>
    <s v="ORD-11036"/>
    <x v="414"/>
    <s v="CUST-0071"/>
    <s v="PROD-009"/>
    <x v="0"/>
    <s v="Online"/>
    <n v="1"/>
    <n v="0"/>
    <s v="No"/>
    <n v="3"/>
    <n v="4"/>
    <s v="Bookshelf"/>
    <s v="Furniture"/>
    <n v="185"/>
    <n v="105"/>
    <s v="Consumer"/>
    <n v="185"/>
    <n v="105"/>
    <n v="80"/>
    <n v="0.43243243243243246"/>
  </r>
  <r>
    <s v="ORD-11037"/>
    <x v="40"/>
    <s v="CUST-0093"/>
    <s v="PROD-015"/>
    <x v="2"/>
    <s v="Online"/>
    <n v="1"/>
    <n v="0.05"/>
    <s v="Yes"/>
    <n v="5"/>
    <n v="3"/>
    <s v="File Folder Pack"/>
    <s v="Office Supplies"/>
    <n v="23"/>
    <n v="10"/>
    <s v="Corporate"/>
    <n v="21.849999999999998"/>
    <n v="10"/>
    <n v="11.849999999999998"/>
    <n v="0.54233409610983974"/>
  </r>
  <r>
    <s v="ORD-11038"/>
    <x v="507"/>
    <s v="CUST-0013"/>
    <s v="PROD-006"/>
    <x v="0"/>
    <s v="Online"/>
    <n v="5"/>
    <n v="0.15"/>
    <s v="No"/>
    <n v="4"/>
    <n v="4"/>
    <s v="Headset"/>
    <s v="Technology"/>
    <n v="98"/>
    <n v="46"/>
    <s v="Consumer"/>
    <n v="416.5"/>
    <n v="230"/>
    <n v="186.5"/>
    <n v="0.44777911164465789"/>
  </r>
  <r>
    <s v="ORD-11039"/>
    <x v="174"/>
    <s v="CUST-0124"/>
    <s v="PROD-010"/>
    <x v="2"/>
    <s v="B2B Sales"/>
    <n v="6"/>
    <n v="0.05"/>
    <s v="No"/>
    <n v="5"/>
    <n v="1"/>
    <s v="Laptop Stand"/>
    <s v="Accessories"/>
    <n v="48"/>
    <n v="22"/>
    <s v="Corporate"/>
    <n v="273.59999999999997"/>
    <n v="132"/>
    <n v="141.59999999999997"/>
    <n v="0.51754385964912275"/>
  </r>
  <r>
    <s v="ORD-11040"/>
    <x v="508"/>
    <s v="CUST-0182"/>
    <s v="PROD-015"/>
    <x v="0"/>
    <s v="Retail Store"/>
    <n v="4"/>
    <n v="0"/>
    <s v="No"/>
    <n v="5"/>
    <n v="2"/>
    <s v="File Folder Pack"/>
    <s v="Office Supplies"/>
    <n v="23"/>
    <n v="10"/>
    <s v="Corporate"/>
    <n v="92"/>
    <n v="40"/>
    <n v="52"/>
    <n v="0.56521739130434778"/>
  </r>
  <r>
    <s v="ORD-11041"/>
    <x v="227"/>
    <s v="CUST-0261"/>
    <s v="PROD-003"/>
    <x v="2"/>
    <s v="Online"/>
    <n v="3"/>
    <n v="0.1"/>
    <s v="No"/>
    <n v="4"/>
    <n v="2"/>
    <s v="Keyboard"/>
    <s v="Technology"/>
    <n v="75"/>
    <n v="38"/>
    <s v="Small Business"/>
    <n v="202.5"/>
    <n v="114"/>
    <n v="88.5"/>
    <n v="0.43703703703703706"/>
  </r>
  <r>
    <s v="ORD-11042"/>
    <x v="257"/>
    <s v="CUST-0144"/>
    <s v="PROD-004"/>
    <x v="3"/>
    <s v="Retail Store"/>
    <n v="1"/>
    <n v="0.05"/>
    <s v="No"/>
    <n v="4"/>
    <n v="4"/>
    <s v="Mouse"/>
    <s v="Technology"/>
    <n v="42"/>
    <n v="19"/>
    <s v="Small Business"/>
    <n v="39.9"/>
    <n v="19"/>
    <n v="20.9"/>
    <n v="0.52380952380952384"/>
  </r>
  <r>
    <s v="ORD-11043"/>
    <x v="116"/>
    <s v="CUST-0166"/>
    <s v="PROD-013"/>
    <x v="3"/>
    <s v="Online"/>
    <n v="1"/>
    <n v="0.1"/>
    <s v="No"/>
    <n v="5"/>
    <n v="2"/>
    <s v="Phone Charger"/>
    <s v="Accessories"/>
    <n v="32"/>
    <n v="13"/>
    <s v="Consumer"/>
    <n v="28.8"/>
    <n v="13"/>
    <n v="15.8"/>
    <n v="0.54861111111111116"/>
  </r>
  <r>
    <s v="ORD-11044"/>
    <x v="74"/>
    <s v="CUST-0266"/>
    <s v="PROD-009"/>
    <x v="4"/>
    <s v="Retail Store"/>
    <n v="1"/>
    <n v="0"/>
    <s v="No"/>
    <n v="4"/>
    <n v="4"/>
    <s v="Bookshelf"/>
    <s v="Furniture"/>
    <n v="185"/>
    <n v="105"/>
    <s v="Corporate"/>
    <n v="185"/>
    <n v="105"/>
    <n v="80"/>
    <n v="0.43243243243243246"/>
  </r>
  <r>
    <s v="ORD-11045"/>
    <x v="118"/>
    <s v="CUST-0087"/>
    <s v="PROD-010"/>
    <x v="0"/>
    <s v="Online"/>
    <n v="3"/>
    <n v="0"/>
    <s v="No"/>
    <n v="4"/>
    <n v="1"/>
    <s v="Laptop Stand"/>
    <s v="Accessories"/>
    <n v="48"/>
    <n v="22"/>
    <s v="Small Business"/>
    <n v="144"/>
    <n v="66"/>
    <n v="78"/>
    <n v="0.54166666666666663"/>
  </r>
  <r>
    <s v="ORD-11046"/>
    <x v="509"/>
    <s v="CUST-0283"/>
    <s v="PROD-006"/>
    <x v="2"/>
    <s v="B2B Sales"/>
    <n v="7"/>
    <n v="0.05"/>
    <s v="No"/>
    <n v="1"/>
    <n v="4"/>
    <s v="Headset"/>
    <s v="Technology"/>
    <n v="98"/>
    <n v="46"/>
    <s v="Corporate"/>
    <n v="651.69999999999993"/>
    <n v="322"/>
    <n v="329.69999999999993"/>
    <n v="0.50590762620837804"/>
  </r>
  <r>
    <s v="ORD-11047"/>
    <x v="328"/>
    <s v="CUST-0145"/>
    <s v="PROD-014"/>
    <x v="1"/>
    <s v="Retail Store"/>
    <n v="5"/>
    <n v="0"/>
    <s v="No"/>
    <n v="5"/>
    <n v="1"/>
    <s v="Printer Paper"/>
    <s v="Office Supplies"/>
    <n v="17"/>
    <n v="8"/>
    <s v="Consumer"/>
    <n v="85"/>
    <n v="40"/>
    <n v="45"/>
    <n v="0.52941176470588236"/>
  </r>
  <r>
    <s v="ORD-11048"/>
    <x v="510"/>
    <s v="CUST-0222"/>
    <s v="PROD-016"/>
    <x v="3"/>
    <s v="B2B Sales"/>
    <n v="8"/>
    <n v="0.1"/>
    <s v="No"/>
    <n v="4"/>
    <n v="1"/>
    <s v="Desk Organiser"/>
    <s v="Office Supplies"/>
    <n v="28"/>
    <n v="12"/>
    <s v="Corporate"/>
    <n v="201.6"/>
    <n v="96"/>
    <n v="105.6"/>
    <n v="0.52380952380952384"/>
  </r>
  <r>
    <s v="ORD-11049"/>
    <x v="326"/>
    <s v="CUST-0039"/>
    <s v="PROD-011"/>
    <x v="2"/>
    <s v="Online"/>
    <n v="2"/>
    <n v="0.1"/>
    <s v="No"/>
    <n v="2"/>
    <n v="4"/>
    <s v="Backpack"/>
    <s v="Accessories"/>
    <n v="85"/>
    <n v="39"/>
    <s v="Small Business"/>
    <n v="153"/>
    <n v="78"/>
    <n v="75"/>
    <n v="0.49019607843137253"/>
  </r>
  <r>
    <s v="ORD-11050"/>
    <x v="262"/>
    <s v="CUST-0052"/>
    <s v="PROD-011"/>
    <x v="2"/>
    <s v="Retail Store"/>
    <n v="5"/>
    <n v="0.05"/>
    <s v="Yes"/>
    <n v="5"/>
    <n v="4"/>
    <s v="Backpack"/>
    <s v="Accessories"/>
    <n v="85"/>
    <n v="39"/>
    <s v="Consumer"/>
    <n v="403.75"/>
    <n v="195"/>
    <n v="208.75"/>
    <n v="0.51702786377708976"/>
  </r>
  <r>
    <s v="ORD-11051"/>
    <x v="444"/>
    <s v="CUST-0193"/>
    <s v="PROD-008"/>
    <x v="1"/>
    <s v="Online"/>
    <n v="1"/>
    <n v="0.1"/>
    <s v="No"/>
    <n v="4"/>
    <n v="2"/>
    <s v="Office Chair"/>
    <s v="Furniture"/>
    <n v="255"/>
    <n v="145"/>
    <s v="Consumer"/>
    <n v="229.5"/>
    <n v="145"/>
    <n v="84.5"/>
    <n v="0.36819172113289761"/>
  </r>
  <r>
    <s v="ORD-11052"/>
    <x v="84"/>
    <s v="CUST-0265"/>
    <s v="PROD-007"/>
    <x v="2"/>
    <s v="Online"/>
    <n v="3"/>
    <n v="0"/>
    <s v="No"/>
    <n v="4"/>
    <n v="3"/>
    <s v="Standing Desk"/>
    <s v="Furniture"/>
    <n v="540"/>
    <n v="320"/>
    <s v="Small Business"/>
    <n v="1620"/>
    <n v="960"/>
    <n v="660"/>
    <n v="0.40740740740740738"/>
  </r>
  <r>
    <s v="ORD-11053"/>
    <x v="52"/>
    <s v="CUST-0299"/>
    <s v="PROD-008"/>
    <x v="1"/>
    <s v="Retail Store"/>
    <n v="3"/>
    <n v="0"/>
    <s v="No"/>
    <n v="3"/>
    <n v="3"/>
    <s v="Office Chair"/>
    <s v="Furniture"/>
    <n v="255"/>
    <n v="145"/>
    <s v="Consumer"/>
    <n v="765"/>
    <n v="435"/>
    <n v="330"/>
    <n v="0.43137254901960786"/>
  </r>
  <r>
    <s v="ORD-11054"/>
    <x v="494"/>
    <s v="CUST-0251"/>
    <s v="PROD-013"/>
    <x v="4"/>
    <s v="Retail Store"/>
    <n v="1"/>
    <n v="0"/>
    <s v="Yes"/>
    <n v="5"/>
    <n v="7"/>
    <s v="Phone Charger"/>
    <s v="Accessories"/>
    <n v="32"/>
    <n v="13"/>
    <s v="Consumer"/>
    <n v="32"/>
    <n v="13"/>
    <n v="19"/>
    <n v="0.59375"/>
  </r>
  <r>
    <s v="ORD-11055"/>
    <x v="362"/>
    <s v="CUST-0167"/>
    <s v="PROD-008"/>
    <x v="1"/>
    <s v="Online"/>
    <n v="2"/>
    <n v="0"/>
    <s v="No"/>
    <n v="5"/>
    <n v="2"/>
    <s v="Office Chair"/>
    <s v="Furniture"/>
    <n v="255"/>
    <n v="145"/>
    <s v="Consumer"/>
    <n v="510"/>
    <n v="290"/>
    <n v="220"/>
    <n v="0.43137254901960786"/>
  </r>
  <r>
    <s v="ORD-11056"/>
    <x v="483"/>
    <s v="CUST-0251"/>
    <s v="PROD-014"/>
    <x v="1"/>
    <s v="Online"/>
    <n v="1"/>
    <n v="0"/>
    <s v="No"/>
    <n v="4"/>
    <n v="5"/>
    <s v="Printer Paper"/>
    <s v="Office Supplies"/>
    <n v="17"/>
    <n v="8"/>
    <s v="Consumer"/>
    <n v="17"/>
    <n v="8"/>
    <n v="9"/>
    <n v="0.52941176470588236"/>
  </r>
  <r>
    <s v="ORD-11057"/>
    <x v="511"/>
    <s v="CUST-0134"/>
    <s v="PROD-011"/>
    <x v="3"/>
    <s v="Retail Store"/>
    <n v="2"/>
    <n v="0"/>
    <s v="No"/>
    <n v="4"/>
    <n v="2"/>
    <s v="Backpack"/>
    <s v="Accessories"/>
    <n v="85"/>
    <n v="39"/>
    <s v="Small Business"/>
    <n v="170"/>
    <n v="78"/>
    <n v="92"/>
    <n v="0.54117647058823526"/>
  </r>
  <r>
    <s v="ORD-11058"/>
    <x v="416"/>
    <s v="CUST-0024"/>
    <s v="PROD-010"/>
    <x v="4"/>
    <s v="Online"/>
    <n v="5"/>
    <n v="0.05"/>
    <s v="No"/>
    <n v="3"/>
    <n v="5"/>
    <s v="Laptop Stand"/>
    <s v="Accessories"/>
    <n v="48"/>
    <n v="22"/>
    <s v="Consumer"/>
    <n v="228"/>
    <n v="110"/>
    <n v="118"/>
    <n v="0.51754385964912286"/>
  </r>
  <r>
    <s v="ORD-11059"/>
    <x v="165"/>
    <s v="CUST-0067"/>
    <s v="PROD-001"/>
    <x v="0"/>
    <s v="Online"/>
    <n v="2"/>
    <n v="0.1"/>
    <s v="No"/>
    <n v="4"/>
    <n v="5"/>
    <s v="Laptop"/>
    <s v="Technology"/>
    <n v="1100"/>
    <n v="720"/>
    <s v="Consumer"/>
    <n v="1980"/>
    <n v="1440"/>
    <n v="540"/>
    <n v="0.27272727272727271"/>
  </r>
  <r>
    <s v="ORD-11060"/>
    <x v="198"/>
    <s v="CUST-0026"/>
    <s v="PROD-007"/>
    <x v="3"/>
    <s v="Online"/>
    <n v="1"/>
    <n v="0.05"/>
    <s v="No"/>
    <n v="3"/>
    <n v="2"/>
    <s v="Standing Desk"/>
    <s v="Furniture"/>
    <n v="540"/>
    <n v="320"/>
    <s v="Consumer"/>
    <n v="513"/>
    <n v="320"/>
    <n v="193"/>
    <n v="0.37621832358674462"/>
  </r>
  <r>
    <s v="ORD-11061"/>
    <x v="169"/>
    <s v="CUST-0170"/>
    <s v="PROD-014"/>
    <x v="2"/>
    <s v="Retail Store"/>
    <n v="7"/>
    <n v="0"/>
    <s v="No"/>
    <n v="5"/>
    <n v="1"/>
    <s v="Printer Paper"/>
    <s v="Office Supplies"/>
    <n v="17"/>
    <n v="8"/>
    <s v="Consumer"/>
    <n v="119"/>
    <n v="56"/>
    <n v="63"/>
    <n v="0.52941176470588236"/>
  </r>
  <r>
    <s v="ORD-11062"/>
    <x v="359"/>
    <s v="CUST-0204"/>
    <s v="PROD-016"/>
    <x v="2"/>
    <s v="Online"/>
    <n v="1"/>
    <n v="0.05"/>
    <s v="No"/>
    <n v="1"/>
    <n v="5"/>
    <s v="Desk Organiser"/>
    <s v="Office Supplies"/>
    <n v="28"/>
    <n v="12"/>
    <s v="Consumer"/>
    <n v="26.599999999999998"/>
    <n v="12"/>
    <n v="14.599999999999998"/>
    <n v="0.54887218045112773"/>
  </r>
  <r>
    <s v="ORD-11063"/>
    <x v="43"/>
    <s v="CUST-0068"/>
    <s v="PROD-009"/>
    <x v="0"/>
    <s v="Online"/>
    <n v="2"/>
    <n v="0.1"/>
    <s v="No"/>
    <n v="1"/>
    <n v="7"/>
    <s v="Bookshelf"/>
    <s v="Furniture"/>
    <n v="185"/>
    <n v="105"/>
    <s v="Consumer"/>
    <n v="333"/>
    <n v="210"/>
    <n v="123"/>
    <n v="0.36936936936936937"/>
  </r>
  <r>
    <s v="ORD-11064"/>
    <x v="324"/>
    <s v="CUST-0201"/>
    <s v="PROD-007"/>
    <x v="0"/>
    <s v="B2B Sales"/>
    <n v="4"/>
    <n v="0"/>
    <s v="No"/>
    <n v="4"/>
    <n v="4"/>
    <s v="Standing Desk"/>
    <s v="Furniture"/>
    <n v="540"/>
    <n v="320"/>
    <s v="Small Business"/>
    <n v="2160"/>
    <n v="1280"/>
    <n v="880"/>
    <n v="0.40740740740740738"/>
  </r>
  <r>
    <s v="ORD-11065"/>
    <x v="332"/>
    <s v="CUST-0052"/>
    <s v="PROD-009"/>
    <x v="0"/>
    <s v="Retail Store"/>
    <n v="2"/>
    <n v="0"/>
    <s v="No"/>
    <n v="4"/>
    <n v="3"/>
    <s v="Bookshelf"/>
    <s v="Furniture"/>
    <n v="185"/>
    <n v="105"/>
    <s v="Consumer"/>
    <n v="370"/>
    <n v="210"/>
    <n v="160"/>
    <n v="0.43243243243243246"/>
  </r>
  <r>
    <s v="ORD-11066"/>
    <x v="512"/>
    <s v="CUST-0146"/>
    <s v="PROD-008"/>
    <x v="3"/>
    <s v="B2B Sales"/>
    <n v="4"/>
    <n v="0.2"/>
    <s v="No"/>
    <n v="5"/>
    <n v="4"/>
    <s v="Office Chair"/>
    <s v="Furniture"/>
    <n v="255"/>
    <n v="145"/>
    <s v="Consumer"/>
    <n v="816"/>
    <n v="580"/>
    <n v="236"/>
    <n v="0.28921568627450983"/>
  </r>
  <r>
    <s v="ORD-11067"/>
    <x v="118"/>
    <s v="CUST-0296"/>
    <s v="PROD-001"/>
    <x v="3"/>
    <s v="Online"/>
    <n v="2"/>
    <n v="0.05"/>
    <s v="No"/>
    <n v="4"/>
    <n v="1"/>
    <s v="Laptop"/>
    <s v="Technology"/>
    <n v="1100"/>
    <n v="720"/>
    <s v="Corporate"/>
    <n v="2090"/>
    <n v="1440"/>
    <n v="650"/>
    <n v="0.31100478468899523"/>
  </r>
  <r>
    <s v="ORD-11068"/>
    <x v="324"/>
    <s v="CUST-0288"/>
    <s v="PROD-006"/>
    <x v="2"/>
    <s v="B2B Sales"/>
    <n v="3"/>
    <n v="0"/>
    <s v="No"/>
    <n v="5"/>
    <n v="5"/>
    <s v="Headset"/>
    <s v="Technology"/>
    <n v="98"/>
    <n v="46"/>
    <s v="Consumer"/>
    <n v="294"/>
    <n v="138"/>
    <n v="156"/>
    <n v="0.53061224489795922"/>
  </r>
  <r>
    <s v="ORD-11069"/>
    <x v="513"/>
    <s v="CUST-0120"/>
    <s v="PROD-002"/>
    <x v="1"/>
    <s v="Online"/>
    <n v="1"/>
    <n v="0"/>
    <s v="No"/>
    <n v="4"/>
    <n v="5"/>
    <s v="Monitor"/>
    <s v="Technology"/>
    <n v="310"/>
    <n v="190"/>
    <s v="Consumer"/>
    <n v="310"/>
    <n v="190"/>
    <n v="120"/>
    <n v="0.38709677419354838"/>
  </r>
  <r>
    <s v="ORD-11070"/>
    <x v="514"/>
    <s v="CUST-0003"/>
    <s v="PROD-009"/>
    <x v="1"/>
    <s v="Retail Store"/>
    <n v="4"/>
    <n v="0.05"/>
    <s v="No"/>
    <n v="5"/>
    <n v="3"/>
    <s v="Bookshelf"/>
    <s v="Furniture"/>
    <n v="185"/>
    <n v="105"/>
    <s v="Consumer"/>
    <n v="703"/>
    <n v="420"/>
    <n v="283"/>
    <n v="0.40256045519203415"/>
  </r>
  <r>
    <s v="ORD-11071"/>
    <x v="515"/>
    <s v="CUST-0248"/>
    <s v="PROD-003"/>
    <x v="0"/>
    <s v="Online"/>
    <n v="1"/>
    <n v="0"/>
    <s v="No"/>
    <n v="4"/>
    <n v="1"/>
    <s v="Keyboard"/>
    <s v="Technology"/>
    <n v="75"/>
    <n v="38"/>
    <s v="Consumer"/>
    <n v="75"/>
    <n v="38"/>
    <n v="37"/>
    <n v="0.49333333333333335"/>
  </r>
  <r>
    <s v="ORD-11072"/>
    <x v="222"/>
    <s v="CUST-0102"/>
    <s v="PROD-015"/>
    <x v="0"/>
    <s v="Online"/>
    <n v="5"/>
    <n v="0.05"/>
    <s v="No"/>
    <n v="4"/>
    <n v="2"/>
    <s v="File Folder Pack"/>
    <s v="Office Supplies"/>
    <n v="23"/>
    <n v="10"/>
    <s v="Corporate"/>
    <n v="109.25"/>
    <n v="50"/>
    <n v="59.25"/>
    <n v="0.54233409610983985"/>
  </r>
  <r>
    <s v="ORD-11073"/>
    <x v="259"/>
    <s v="CUST-0215"/>
    <s v="PROD-013"/>
    <x v="2"/>
    <s v="Online"/>
    <n v="8"/>
    <n v="0.1"/>
    <s v="No"/>
    <n v="4"/>
    <n v="3"/>
    <s v="Phone Charger"/>
    <s v="Accessories"/>
    <n v="32"/>
    <n v="13"/>
    <s v="Small Business"/>
    <n v="230.4"/>
    <n v="104"/>
    <n v="126.4"/>
    <n v="0.54861111111111116"/>
  </r>
  <r>
    <s v="ORD-11074"/>
    <x v="209"/>
    <s v="CUST-0289"/>
    <s v="PROD-006"/>
    <x v="2"/>
    <s v="Retail Store"/>
    <n v="1"/>
    <n v="0.05"/>
    <s v="No"/>
    <n v="4"/>
    <n v="3"/>
    <s v="Headset"/>
    <s v="Technology"/>
    <n v="98"/>
    <n v="46"/>
    <s v="Consumer"/>
    <n v="93.1"/>
    <n v="46"/>
    <n v="47.099999999999994"/>
    <n v="0.50590762620837804"/>
  </r>
  <r>
    <s v="ORD-11075"/>
    <x v="516"/>
    <s v="CUST-0237"/>
    <s v="PROD-007"/>
    <x v="0"/>
    <s v="B2B Sales"/>
    <n v="4"/>
    <n v="0.15"/>
    <s v="No"/>
    <n v="4"/>
    <n v="4"/>
    <s v="Standing Desk"/>
    <s v="Furniture"/>
    <n v="540"/>
    <n v="320"/>
    <s v="Small Business"/>
    <n v="1836"/>
    <n v="1280"/>
    <n v="556"/>
    <n v="0.30283224400871461"/>
  </r>
  <r>
    <s v="ORD-11076"/>
    <x v="469"/>
    <s v="CUST-0163"/>
    <s v="PROD-014"/>
    <x v="2"/>
    <s v="Online"/>
    <n v="8"/>
    <n v="0"/>
    <s v="No"/>
    <n v="3"/>
    <n v="1"/>
    <s v="Printer Paper"/>
    <s v="Office Supplies"/>
    <n v="17"/>
    <n v="8"/>
    <s v="Consumer"/>
    <n v="136"/>
    <n v="64"/>
    <n v="72"/>
    <n v="0.52941176470588236"/>
  </r>
  <r>
    <s v="ORD-11077"/>
    <x v="517"/>
    <s v="CUST-0235"/>
    <s v="PROD-011"/>
    <x v="2"/>
    <s v="Retail Store"/>
    <n v="3"/>
    <n v="0"/>
    <s v="No"/>
    <n v="5"/>
    <n v="3"/>
    <s v="Backpack"/>
    <s v="Accessories"/>
    <n v="85"/>
    <n v="39"/>
    <s v="Consumer"/>
    <n v="255"/>
    <n v="117"/>
    <n v="138"/>
    <n v="0.54117647058823526"/>
  </r>
  <r>
    <s v="ORD-11078"/>
    <x v="480"/>
    <s v="CUST-0099"/>
    <s v="PROD-009"/>
    <x v="3"/>
    <s v="B2B Sales"/>
    <n v="2"/>
    <n v="0.1"/>
    <s v="No"/>
    <n v="5"/>
    <n v="3"/>
    <s v="Bookshelf"/>
    <s v="Furniture"/>
    <n v="185"/>
    <n v="105"/>
    <s v="Small Business"/>
    <n v="333"/>
    <n v="210"/>
    <n v="123"/>
    <n v="0.36936936936936937"/>
  </r>
  <r>
    <s v="ORD-11079"/>
    <x v="267"/>
    <s v="CUST-0278"/>
    <s v="PROD-007"/>
    <x v="2"/>
    <s v="Online"/>
    <n v="4"/>
    <n v="0"/>
    <s v="No"/>
    <n v="2"/>
    <n v="9"/>
    <s v="Standing Desk"/>
    <s v="Furniture"/>
    <n v="540"/>
    <n v="320"/>
    <s v="Corporate"/>
    <n v="2160"/>
    <n v="1280"/>
    <n v="880"/>
    <n v="0.40740740740740738"/>
  </r>
  <r>
    <s v="ORD-11080"/>
    <x v="518"/>
    <s v="CUST-0295"/>
    <s v="PROD-009"/>
    <x v="0"/>
    <s v="Retail Store"/>
    <n v="3"/>
    <n v="0.15"/>
    <s v="No"/>
    <n v="1"/>
    <n v="4"/>
    <s v="Bookshelf"/>
    <s v="Furniture"/>
    <n v="185"/>
    <n v="105"/>
    <s v="Corporate"/>
    <n v="471.75"/>
    <n v="315"/>
    <n v="156.75"/>
    <n v="0.33227344992050872"/>
  </r>
  <r>
    <s v="ORD-11081"/>
    <x v="295"/>
    <s v="CUST-0076"/>
    <s v="PROD-005"/>
    <x v="2"/>
    <s v="B2B Sales"/>
    <n v="2"/>
    <n v="0.15"/>
    <s v="No"/>
    <n v="4"/>
    <n v="4"/>
    <s v="Webcam"/>
    <s v="Technology"/>
    <n v="115"/>
    <n v="58"/>
    <s v="Consumer"/>
    <n v="195.5"/>
    <n v="116"/>
    <n v="79.5"/>
    <n v="0.40664961636828645"/>
  </r>
  <r>
    <s v="ORD-11082"/>
    <x v="13"/>
    <s v="CUST-0242"/>
    <s v="PROD-011"/>
    <x v="3"/>
    <s v="Retail Store"/>
    <n v="1"/>
    <n v="0"/>
    <s v="No"/>
    <n v="5"/>
    <n v="3"/>
    <s v="Backpack"/>
    <s v="Accessories"/>
    <n v="85"/>
    <n v="39"/>
    <s v="Corporate"/>
    <n v="85"/>
    <n v="39"/>
    <n v="46"/>
    <n v="0.54117647058823526"/>
  </r>
  <r>
    <s v="ORD-11083"/>
    <x v="183"/>
    <s v="CUST-0268"/>
    <s v="PROD-011"/>
    <x v="4"/>
    <s v="B2B Sales"/>
    <n v="5"/>
    <n v="0.2"/>
    <s v="Yes"/>
    <n v="5"/>
    <n v="6"/>
    <s v="Backpack"/>
    <s v="Accessories"/>
    <n v="85"/>
    <n v="39"/>
    <s v="Small Business"/>
    <n v="340"/>
    <n v="195"/>
    <n v="145"/>
    <n v="0.4264705882352941"/>
  </r>
  <r>
    <s v="ORD-11084"/>
    <x v="258"/>
    <s v="CUST-0227"/>
    <s v="PROD-016"/>
    <x v="1"/>
    <s v="Online"/>
    <n v="1"/>
    <n v="0.15"/>
    <s v="No"/>
    <n v="3"/>
    <n v="3"/>
    <s v="Desk Organiser"/>
    <s v="Office Supplies"/>
    <n v="28"/>
    <n v="12"/>
    <s v="Corporate"/>
    <n v="23.8"/>
    <n v="12"/>
    <n v="11.8"/>
    <n v="0.49579831932773111"/>
  </r>
  <r>
    <s v="ORD-11085"/>
    <x v="237"/>
    <s v="CUST-0178"/>
    <s v="PROD-014"/>
    <x v="2"/>
    <s v="Retail Store"/>
    <n v="8"/>
    <n v="0.15"/>
    <s v="No"/>
    <n v="3"/>
    <n v="1"/>
    <s v="Printer Paper"/>
    <s v="Office Supplies"/>
    <n v="17"/>
    <n v="8"/>
    <s v="Consumer"/>
    <n v="115.6"/>
    <n v="64"/>
    <n v="51.599999999999994"/>
    <n v="0.44636678200692037"/>
  </r>
  <r>
    <s v="ORD-11086"/>
    <x v="305"/>
    <s v="CUST-0227"/>
    <s v="PROD-012"/>
    <x v="4"/>
    <s v="Online"/>
    <n v="1"/>
    <n v="0"/>
    <s v="No"/>
    <n v="4"/>
    <n v="1"/>
    <s v="USB-C Hub"/>
    <s v="Accessories"/>
    <n v="68"/>
    <n v="31"/>
    <s v="Corporate"/>
    <n v="68"/>
    <n v="31"/>
    <n v="37"/>
    <n v="0.54411764705882348"/>
  </r>
  <r>
    <s v="ORD-11087"/>
    <x v="519"/>
    <s v="CUST-0018"/>
    <s v="PROD-009"/>
    <x v="1"/>
    <s v="Online"/>
    <n v="8"/>
    <n v="0.1"/>
    <s v="No"/>
    <n v="2"/>
    <n v="6"/>
    <s v="Bookshelf"/>
    <s v="Furniture"/>
    <n v="185"/>
    <n v="105"/>
    <s v="Corporate"/>
    <n v="1332"/>
    <n v="840"/>
    <n v="492"/>
    <n v="0.36936936936936937"/>
  </r>
  <r>
    <s v="ORD-11088"/>
    <x v="134"/>
    <s v="CUST-0233"/>
    <s v="PROD-016"/>
    <x v="2"/>
    <s v="Retail Store"/>
    <n v="3"/>
    <n v="0.05"/>
    <s v="No"/>
    <n v="4"/>
    <n v="5"/>
    <s v="Desk Organiser"/>
    <s v="Office Supplies"/>
    <n v="28"/>
    <n v="12"/>
    <s v="Corporate"/>
    <n v="79.8"/>
    <n v="36"/>
    <n v="43.8"/>
    <n v="0.54887218045112784"/>
  </r>
  <r>
    <s v="ORD-11089"/>
    <x v="17"/>
    <s v="CUST-0091"/>
    <s v="PROD-005"/>
    <x v="2"/>
    <s v="B2B Sales"/>
    <n v="1"/>
    <n v="0"/>
    <s v="No"/>
    <n v="4"/>
    <n v="5"/>
    <s v="Webcam"/>
    <s v="Technology"/>
    <n v="115"/>
    <n v="58"/>
    <s v="Consumer"/>
    <n v="115"/>
    <n v="58"/>
    <n v="57"/>
    <n v="0.4956521739130435"/>
  </r>
  <r>
    <s v="ORD-11090"/>
    <x v="361"/>
    <s v="CUST-0100"/>
    <s v="PROD-001"/>
    <x v="3"/>
    <s v="Retail Store"/>
    <n v="6"/>
    <n v="0.15"/>
    <s v="No"/>
    <n v="5"/>
    <n v="3"/>
    <s v="Laptop"/>
    <s v="Technology"/>
    <n v="1100"/>
    <n v="720"/>
    <s v="Small Business"/>
    <n v="5610"/>
    <n v="4320"/>
    <n v="1290"/>
    <n v="0.22994652406417113"/>
  </r>
  <r>
    <s v="ORD-11091"/>
    <x v="285"/>
    <s v="CUST-0008"/>
    <s v="PROD-013"/>
    <x v="3"/>
    <s v="Retail Store"/>
    <n v="1"/>
    <n v="0"/>
    <s v="No"/>
    <n v="3"/>
    <n v="3"/>
    <s v="Phone Charger"/>
    <s v="Accessories"/>
    <n v="32"/>
    <n v="13"/>
    <s v="Consumer"/>
    <n v="32"/>
    <n v="13"/>
    <n v="19"/>
    <n v="0.59375"/>
  </r>
  <r>
    <s v="ORD-11092"/>
    <x v="520"/>
    <s v="CUST-0089"/>
    <s v="PROD-015"/>
    <x v="2"/>
    <s v="Retail Store"/>
    <n v="3"/>
    <n v="0"/>
    <s v="No"/>
    <n v="5"/>
    <n v="1"/>
    <s v="File Folder Pack"/>
    <s v="Office Supplies"/>
    <n v="23"/>
    <n v="10"/>
    <s v="Consumer"/>
    <n v="69"/>
    <n v="30"/>
    <n v="39"/>
    <n v="0.56521739130434778"/>
  </r>
  <r>
    <s v="ORD-11093"/>
    <x v="147"/>
    <s v="CUST-0141"/>
    <s v="PROD-012"/>
    <x v="2"/>
    <s v="Online"/>
    <n v="5"/>
    <n v="0"/>
    <s v="Yes"/>
    <n v="2"/>
    <n v="3"/>
    <s v="USB-C Hub"/>
    <s v="Accessories"/>
    <n v="68"/>
    <n v="31"/>
    <s v="Consumer"/>
    <n v="340"/>
    <n v="155"/>
    <n v="185"/>
    <n v="0.54411764705882348"/>
  </r>
  <r>
    <s v="ORD-11094"/>
    <x v="373"/>
    <s v="CUST-0096"/>
    <s v="PROD-011"/>
    <x v="4"/>
    <s v="B2B Sales"/>
    <n v="4"/>
    <n v="0.1"/>
    <s v="No"/>
    <n v="4"/>
    <n v="1"/>
    <s v="Backpack"/>
    <s v="Accessories"/>
    <n v="85"/>
    <n v="39"/>
    <s v="Consumer"/>
    <n v="306"/>
    <n v="156"/>
    <n v="150"/>
    <n v="0.49019607843137253"/>
  </r>
  <r>
    <s v="ORD-11095"/>
    <x v="464"/>
    <s v="CUST-0158"/>
    <s v="PROD-007"/>
    <x v="1"/>
    <s v="Retail Store"/>
    <n v="1"/>
    <n v="0"/>
    <s v="No"/>
    <n v="4"/>
    <n v="5"/>
    <s v="Standing Desk"/>
    <s v="Furniture"/>
    <n v="540"/>
    <n v="320"/>
    <s v="Corporate"/>
    <n v="540"/>
    <n v="320"/>
    <n v="220"/>
    <n v="0.40740740740740738"/>
  </r>
  <r>
    <s v="ORD-11096"/>
    <x v="293"/>
    <s v="CUST-0212"/>
    <s v="PROD-008"/>
    <x v="0"/>
    <s v="Online"/>
    <n v="1"/>
    <n v="0.2"/>
    <s v="No"/>
    <n v="4"/>
    <n v="1"/>
    <s v="Office Chair"/>
    <s v="Furniture"/>
    <n v="255"/>
    <n v="145"/>
    <s v="Corporate"/>
    <n v="204"/>
    <n v="145"/>
    <n v="59"/>
    <n v="0.28921568627450983"/>
  </r>
  <r>
    <s v="ORD-11097"/>
    <x v="196"/>
    <s v="CUST-0182"/>
    <s v="PROD-012"/>
    <x v="3"/>
    <s v="Retail Store"/>
    <n v="2"/>
    <n v="0.05"/>
    <s v="No"/>
    <n v="1"/>
    <n v="9"/>
    <s v="USB-C Hub"/>
    <s v="Accessories"/>
    <n v="68"/>
    <n v="31"/>
    <s v="Corporate"/>
    <n v="129.19999999999999"/>
    <n v="62"/>
    <n v="67.199999999999989"/>
    <n v="0.52012383900928794"/>
  </r>
  <r>
    <s v="ORD-11098"/>
    <x v="521"/>
    <s v="CUST-0276"/>
    <s v="PROD-007"/>
    <x v="0"/>
    <s v="Online"/>
    <n v="3"/>
    <n v="0.1"/>
    <s v="No"/>
    <n v="4"/>
    <n v="5"/>
    <s v="Standing Desk"/>
    <s v="Furniture"/>
    <n v="540"/>
    <n v="320"/>
    <s v="Consumer"/>
    <n v="1458"/>
    <n v="960"/>
    <n v="498"/>
    <n v="0.34156378600823045"/>
  </r>
  <r>
    <s v="ORD-11099"/>
    <x v="383"/>
    <s v="CUST-0138"/>
    <s v="PROD-003"/>
    <x v="4"/>
    <s v="Online"/>
    <n v="1"/>
    <n v="0"/>
    <s v="Yes"/>
    <n v="4"/>
    <n v="6"/>
    <s v="Keyboard"/>
    <s v="Technology"/>
    <n v="75"/>
    <n v="38"/>
    <s v="Corporate"/>
    <n v="75"/>
    <n v="38"/>
    <n v="37"/>
    <n v="0.49333333333333335"/>
  </r>
  <r>
    <s v="ORD-11100"/>
    <x v="145"/>
    <s v="CUST-0240"/>
    <s v="PROD-011"/>
    <x v="3"/>
    <s v="Online"/>
    <n v="3"/>
    <n v="0"/>
    <s v="No"/>
    <n v="5"/>
    <n v="1"/>
    <s v="Backpack"/>
    <s v="Accessories"/>
    <n v="85"/>
    <n v="39"/>
    <s v="Corporate"/>
    <n v="255"/>
    <n v="117"/>
    <n v="138"/>
    <n v="0.54117647058823526"/>
  </r>
  <r>
    <s v="ORD-11101"/>
    <x v="200"/>
    <s v="CUST-0216"/>
    <s v="PROD-016"/>
    <x v="3"/>
    <s v="Retail Store"/>
    <n v="1"/>
    <n v="0.15"/>
    <s v="No"/>
    <n v="4"/>
    <n v="2"/>
    <s v="Desk Organiser"/>
    <s v="Office Supplies"/>
    <n v="28"/>
    <n v="12"/>
    <s v="Small Business"/>
    <n v="23.8"/>
    <n v="12"/>
    <n v="11.8"/>
    <n v="0.49579831932773111"/>
  </r>
  <r>
    <s v="ORD-11102"/>
    <x v="467"/>
    <s v="CUST-0225"/>
    <s v="PROD-015"/>
    <x v="4"/>
    <s v="Retail Store"/>
    <n v="4"/>
    <n v="0.05"/>
    <s v="No"/>
    <n v="5"/>
    <n v="5"/>
    <s v="File Folder Pack"/>
    <s v="Office Supplies"/>
    <n v="23"/>
    <n v="10"/>
    <s v="Consumer"/>
    <n v="87.399999999999991"/>
    <n v="40"/>
    <n v="47.399999999999991"/>
    <n v="0.54233409610983974"/>
  </r>
  <r>
    <s v="ORD-11103"/>
    <x v="144"/>
    <s v="CUST-0248"/>
    <s v="PROD-013"/>
    <x v="3"/>
    <s v="B2B Sales"/>
    <n v="5"/>
    <n v="0.1"/>
    <s v="No"/>
    <n v="4"/>
    <n v="4"/>
    <s v="Phone Charger"/>
    <s v="Accessories"/>
    <n v="32"/>
    <n v="13"/>
    <s v="Consumer"/>
    <n v="144"/>
    <n v="65"/>
    <n v="79"/>
    <n v="0.54861111111111116"/>
  </r>
  <r>
    <s v="ORD-11104"/>
    <x v="463"/>
    <s v="CUST-0138"/>
    <s v="PROD-013"/>
    <x v="4"/>
    <s v="Online"/>
    <n v="1"/>
    <n v="0"/>
    <s v="No"/>
    <n v="5"/>
    <n v="5"/>
    <s v="Phone Charger"/>
    <s v="Accessories"/>
    <n v="32"/>
    <n v="13"/>
    <s v="Corporate"/>
    <n v="32"/>
    <n v="13"/>
    <n v="19"/>
    <n v="0.59375"/>
  </r>
  <r>
    <s v="ORD-11105"/>
    <x v="56"/>
    <s v="CUST-0291"/>
    <s v="PROD-005"/>
    <x v="2"/>
    <s v="Online"/>
    <n v="7"/>
    <n v="0.2"/>
    <s v="No"/>
    <n v="5"/>
    <n v="3"/>
    <s v="Webcam"/>
    <s v="Technology"/>
    <n v="115"/>
    <n v="58"/>
    <s v="Consumer"/>
    <n v="644"/>
    <n v="406"/>
    <n v="238"/>
    <n v="0.36956521739130432"/>
  </r>
  <r>
    <s v="ORD-11106"/>
    <x v="377"/>
    <s v="CUST-0203"/>
    <s v="PROD-006"/>
    <x v="4"/>
    <s v="Retail Store"/>
    <n v="1"/>
    <n v="0"/>
    <s v="No"/>
    <n v="3"/>
    <n v="2"/>
    <s v="Headset"/>
    <s v="Technology"/>
    <n v="98"/>
    <n v="46"/>
    <s v="Small Business"/>
    <n v="98"/>
    <n v="46"/>
    <n v="52"/>
    <n v="0.53061224489795922"/>
  </r>
  <r>
    <s v="ORD-11107"/>
    <x v="220"/>
    <s v="CUST-0047"/>
    <s v="PROD-008"/>
    <x v="2"/>
    <s v="Retail Store"/>
    <n v="4"/>
    <n v="0"/>
    <s v="No"/>
    <n v="2"/>
    <n v="9"/>
    <s v="Office Chair"/>
    <s v="Furniture"/>
    <n v="255"/>
    <n v="145"/>
    <s v="Consumer"/>
    <n v="1020"/>
    <n v="580"/>
    <n v="440"/>
    <n v="0.43137254901960786"/>
  </r>
  <r>
    <s v="ORD-11108"/>
    <x v="488"/>
    <s v="CUST-0242"/>
    <s v="PROD-013"/>
    <x v="0"/>
    <s v="Retail Store"/>
    <n v="4"/>
    <n v="0"/>
    <s v="No"/>
    <n v="5"/>
    <n v="2"/>
    <s v="Phone Charger"/>
    <s v="Accessories"/>
    <n v="32"/>
    <n v="13"/>
    <s v="Corporate"/>
    <n v="128"/>
    <n v="52"/>
    <n v="76"/>
    <n v="0.59375"/>
  </r>
  <r>
    <s v="ORD-11109"/>
    <x v="456"/>
    <s v="CUST-0168"/>
    <s v="PROD-010"/>
    <x v="0"/>
    <s v="Retail Store"/>
    <n v="2"/>
    <n v="0"/>
    <s v="No"/>
    <n v="4"/>
    <n v="5"/>
    <s v="Laptop Stand"/>
    <s v="Accessories"/>
    <n v="48"/>
    <n v="22"/>
    <s v="Corporate"/>
    <n v="96"/>
    <n v="44"/>
    <n v="52"/>
    <n v="0.54166666666666663"/>
  </r>
  <r>
    <s v="ORD-11110"/>
    <x v="179"/>
    <s v="CUST-0114"/>
    <s v="PROD-006"/>
    <x v="1"/>
    <s v="Online"/>
    <n v="2"/>
    <n v="0.1"/>
    <s v="No"/>
    <n v="5"/>
    <n v="1"/>
    <s v="Headset"/>
    <s v="Technology"/>
    <n v="98"/>
    <n v="46"/>
    <s v="Consumer"/>
    <n v="176.4"/>
    <n v="92"/>
    <n v="84.4"/>
    <n v="0.47845804988662133"/>
  </r>
  <r>
    <s v="ORD-11111"/>
    <x v="371"/>
    <s v="CUST-0071"/>
    <s v="PROD-016"/>
    <x v="2"/>
    <s v="Online"/>
    <n v="2"/>
    <n v="0"/>
    <s v="No"/>
    <n v="4"/>
    <n v="3"/>
    <s v="Desk Organiser"/>
    <s v="Office Supplies"/>
    <n v="28"/>
    <n v="12"/>
    <s v="Consumer"/>
    <n v="56"/>
    <n v="24"/>
    <n v="32"/>
    <n v="0.5714285714285714"/>
  </r>
  <r>
    <s v="ORD-11112"/>
    <x v="147"/>
    <s v="CUST-0199"/>
    <s v="PROD-016"/>
    <x v="2"/>
    <s v="B2B Sales"/>
    <n v="2"/>
    <n v="0"/>
    <s v="No"/>
    <n v="5"/>
    <n v="4"/>
    <s v="Desk Organiser"/>
    <s v="Office Supplies"/>
    <n v="28"/>
    <n v="12"/>
    <s v="Small Business"/>
    <n v="56"/>
    <n v="24"/>
    <n v="32"/>
    <n v="0.5714285714285714"/>
  </r>
  <r>
    <s v="ORD-11113"/>
    <x v="388"/>
    <s v="CUST-0178"/>
    <s v="PROD-004"/>
    <x v="1"/>
    <s v="Online"/>
    <n v="4"/>
    <n v="0"/>
    <s v="No"/>
    <n v="4"/>
    <n v="4"/>
    <s v="Mouse"/>
    <s v="Technology"/>
    <n v="42"/>
    <n v="19"/>
    <s v="Consumer"/>
    <n v="168"/>
    <n v="76"/>
    <n v="92"/>
    <n v="0.54761904761904767"/>
  </r>
  <r>
    <s v="ORD-11114"/>
    <x v="522"/>
    <s v="CUST-0249"/>
    <s v="PROD-013"/>
    <x v="4"/>
    <s v="Online"/>
    <n v="2"/>
    <n v="0.1"/>
    <s v="No"/>
    <n v="5"/>
    <n v="4"/>
    <s v="Phone Charger"/>
    <s v="Accessories"/>
    <n v="32"/>
    <n v="13"/>
    <s v="Corporate"/>
    <n v="57.6"/>
    <n v="26"/>
    <n v="31.6"/>
    <n v="0.54861111111111116"/>
  </r>
  <r>
    <s v="ORD-11115"/>
    <x v="212"/>
    <s v="CUST-0191"/>
    <s v="PROD-016"/>
    <x v="1"/>
    <s v="B2B Sales"/>
    <n v="8"/>
    <n v="0"/>
    <s v="No"/>
    <n v="4"/>
    <n v="4"/>
    <s v="Desk Organiser"/>
    <s v="Office Supplies"/>
    <n v="28"/>
    <n v="12"/>
    <s v="Consumer"/>
    <n v="224"/>
    <n v="96"/>
    <n v="128"/>
    <n v="0.5714285714285714"/>
  </r>
  <r>
    <s v="ORD-11116"/>
    <x v="523"/>
    <s v="CUST-0077"/>
    <s v="PROD-001"/>
    <x v="3"/>
    <s v="B2B Sales"/>
    <n v="3"/>
    <n v="0"/>
    <s v="No"/>
    <n v="5"/>
    <n v="4"/>
    <s v="Laptop"/>
    <s v="Technology"/>
    <n v="1100"/>
    <n v="720"/>
    <s v="Small Business"/>
    <n v="3300"/>
    <n v="2160"/>
    <n v="1140"/>
    <n v="0.34545454545454546"/>
  </r>
  <r>
    <s v="ORD-11117"/>
    <x v="113"/>
    <s v="CUST-0025"/>
    <s v="PROD-015"/>
    <x v="3"/>
    <s v="Online"/>
    <n v="2"/>
    <n v="0"/>
    <s v="No"/>
    <n v="5"/>
    <n v="3"/>
    <s v="File Folder Pack"/>
    <s v="Office Supplies"/>
    <n v="23"/>
    <n v="10"/>
    <s v="Small Business"/>
    <n v="46"/>
    <n v="20"/>
    <n v="26"/>
    <n v="0.56521739130434778"/>
  </r>
  <r>
    <s v="ORD-11118"/>
    <x v="13"/>
    <s v="CUST-0173"/>
    <s v="PROD-010"/>
    <x v="1"/>
    <s v="Online"/>
    <n v="1"/>
    <n v="0"/>
    <s v="No"/>
    <n v="4"/>
    <n v="3"/>
    <s v="Laptop Stand"/>
    <s v="Accessories"/>
    <n v="48"/>
    <n v="22"/>
    <s v="Consumer"/>
    <n v="48"/>
    <n v="22"/>
    <n v="26"/>
    <n v="0.54166666666666663"/>
  </r>
  <r>
    <s v="ORD-11119"/>
    <x v="524"/>
    <s v="CUST-0058"/>
    <s v="PROD-012"/>
    <x v="1"/>
    <s v="Retail Store"/>
    <n v="2"/>
    <n v="0"/>
    <s v="No"/>
    <n v="3"/>
    <n v="2"/>
    <s v="USB-C Hub"/>
    <s v="Accessories"/>
    <n v="68"/>
    <n v="31"/>
    <s v="Corporate"/>
    <n v="136"/>
    <n v="62"/>
    <n v="74"/>
    <n v="0.54411764705882348"/>
  </r>
  <r>
    <s v="ORD-11120"/>
    <x v="143"/>
    <s v="CUST-0221"/>
    <s v="PROD-009"/>
    <x v="3"/>
    <s v="Online"/>
    <n v="3"/>
    <n v="0.15"/>
    <s v="No"/>
    <n v="5"/>
    <n v="5"/>
    <s v="Bookshelf"/>
    <s v="Furniture"/>
    <n v="185"/>
    <n v="105"/>
    <s v="Small Business"/>
    <n v="471.75"/>
    <n v="315"/>
    <n v="156.75"/>
    <n v="0.33227344992050872"/>
  </r>
  <r>
    <s v="ORD-11121"/>
    <x v="9"/>
    <s v="CUST-0235"/>
    <s v="PROD-002"/>
    <x v="2"/>
    <s v="Online"/>
    <n v="1"/>
    <n v="0.2"/>
    <s v="No"/>
    <n v="5"/>
    <n v="4"/>
    <s v="Monitor"/>
    <s v="Technology"/>
    <n v="310"/>
    <n v="190"/>
    <s v="Consumer"/>
    <n v="248"/>
    <n v="190"/>
    <n v="58"/>
    <n v="0.23387096774193547"/>
  </r>
  <r>
    <s v="ORD-11122"/>
    <x v="432"/>
    <s v="CUST-0041"/>
    <s v="PROD-011"/>
    <x v="0"/>
    <s v="Retail Store"/>
    <n v="2"/>
    <n v="0"/>
    <s v="Yes"/>
    <n v="4"/>
    <n v="5"/>
    <s v="Backpack"/>
    <s v="Accessories"/>
    <n v="85"/>
    <n v="39"/>
    <s v="Corporate"/>
    <n v="170"/>
    <n v="78"/>
    <n v="92"/>
    <n v="0.54117647058823526"/>
  </r>
  <r>
    <s v="ORD-11123"/>
    <x v="525"/>
    <s v="CUST-0099"/>
    <s v="PROD-009"/>
    <x v="0"/>
    <s v="Retail Store"/>
    <n v="2"/>
    <n v="0.1"/>
    <s v="No"/>
    <n v="2"/>
    <n v="9"/>
    <s v="Bookshelf"/>
    <s v="Furniture"/>
    <n v="185"/>
    <n v="105"/>
    <s v="Small Business"/>
    <n v="333"/>
    <n v="210"/>
    <n v="123"/>
    <n v="0.36936936936936937"/>
  </r>
  <r>
    <s v="ORD-11124"/>
    <x v="526"/>
    <s v="CUST-0224"/>
    <s v="PROD-009"/>
    <x v="1"/>
    <s v="Retail Store"/>
    <n v="1"/>
    <n v="0.1"/>
    <s v="No"/>
    <n v="5"/>
    <n v="3"/>
    <s v="Bookshelf"/>
    <s v="Furniture"/>
    <n v="185"/>
    <n v="105"/>
    <s v="Corporate"/>
    <n v="166.5"/>
    <n v="105"/>
    <n v="61.5"/>
    <n v="0.36936936936936937"/>
  </r>
  <r>
    <s v="ORD-11125"/>
    <x v="519"/>
    <s v="CUST-0003"/>
    <s v="PROD-014"/>
    <x v="2"/>
    <s v="Retail Store"/>
    <n v="3"/>
    <n v="0"/>
    <s v="No"/>
    <n v="5"/>
    <n v="3"/>
    <s v="Printer Paper"/>
    <s v="Office Supplies"/>
    <n v="17"/>
    <n v="8"/>
    <s v="Consumer"/>
    <n v="51"/>
    <n v="24"/>
    <n v="27"/>
    <n v="0.52941176470588236"/>
  </r>
  <r>
    <s v="ORD-11126"/>
    <x v="364"/>
    <s v="CUST-0114"/>
    <s v="PROD-008"/>
    <x v="2"/>
    <s v="Online"/>
    <n v="1"/>
    <n v="0"/>
    <s v="No"/>
    <n v="5"/>
    <n v="5"/>
    <s v="Office Chair"/>
    <s v="Furniture"/>
    <n v="255"/>
    <n v="145"/>
    <s v="Consumer"/>
    <n v="255"/>
    <n v="145"/>
    <n v="110"/>
    <n v="0.43137254901960786"/>
  </r>
  <r>
    <s v="ORD-11127"/>
    <x v="491"/>
    <s v="CUST-0169"/>
    <s v="PROD-013"/>
    <x v="4"/>
    <s v="Retail Store"/>
    <n v="2"/>
    <n v="0"/>
    <s v="No"/>
    <n v="3"/>
    <n v="4"/>
    <s v="Phone Charger"/>
    <s v="Accessories"/>
    <n v="32"/>
    <n v="13"/>
    <s v="Consumer"/>
    <n v="64"/>
    <n v="26"/>
    <n v="38"/>
    <n v="0.59375"/>
  </r>
  <r>
    <s v="ORD-11128"/>
    <x v="496"/>
    <s v="CUST-0273"/>
    <s v="PROD-006"/>
    <x v="1"/>
    <s v="Online"/>
    <n v="1"/>
    <n v="0.15"/>
    <s v="Yes"/>
    <n v="5"/>
    <n v="8"/>
    <s v="Headset"/>
    <s v="Technology"/>
    <n v="98"/>
    <n v="46"/>
    <s v="Corporate"/>
    <n v="83.3"/>
    <n v="46"/>
    <n v="37.299999999999997"/>
    <n v="0.44777911164465783"/>
  </r>
  <r>
    <s v="ORD-11129"/>
    <x v="520"/>
    <s v="CUST-0107"/>
    <s v="PROD-012"/>
    <x v="3"/>
    <s v="Retail Store"/>
    <n v="2"/>
    <n v="0.05"/>
    <s v="No"/>
    <n v="4"/>
    <n v="5"/>
    <s v="USB-C Hub"/>
    <s v="Accessories"/>
    <n v="68"/>
    <n v="31"/>
    <s v="Consumer"/>
    <n v="129.19999999999999"/>
    <n v="62"/>
    <n v="67.199999999999989"/>
    <n v="0.52012383900928794"/>
  </r>
  <r>
    <s v="ORD-11130"/>
    <x v="527"/>
    <s v="CUST-0290"/>
    <s v="PROD-014"/>
    <x v="3"/>
    <s v="Retail Store"/>
    <n v="4"/>
    <n v="0"/>
    <s v="No"/>
    <n v="5"/>
    <n v="4"/>
    <s v="Printer Paper"/>
    <s v="Office Supplies"/>
    <n v="17"/>
    <n v="8"/>
    <s v="Consumer"/>
    <n v="68"/>
    <n v="32"/>
    <n v="36"/>
    <n v="0.52941176470588236"/>
  </r>
  <r>
    <s v="ORD-11131"/>
    <x v="517"/>
    <s v="CUST-0068"/>
    <s v="PROD-013"/>
    <x v="1"/>
    <s v="B2B Sales"/>
    <n v="1"/>
    <n v="0"/>
    <s v="Yes"/>
    <n v="4"/>
    <n v="4"/>
    <s v="Phone Charger"/>
    <s v="Accessories"/>
    <n v="32"/>
    <n v="13"/>
    <s v="Consumer"/>
    <n v="32"/>
    <n v="13"/>
    <n v="19"/>
    <n v="0.59375"/>
  </r>
  <r>
    <s v="ORD-11132"/>
    <x v="43"/>
    <s v="CUST-0282"/>
    <s v="PROD-014"/>
    <x v="3"/>
    <s v="Online"/>
    <n v="6"/>
    <n v="0"/>
    <s v="No"/>
    <n v="5"/>
    <n v="3"/>
    <s v="Printer Paper"/>
    <s v="Office Supplies"/>
    <n v="17"/>
    <n v="8"/>
    <s v="Consumer"/>
    <n v="102"/>
    <n v="48"/>
    <n v="54"/>
    <n v="0.52941176470588236"/>
  </r>
  <r>
    <s v="ORD-11133"/>
    <x v="212"/>
    <s v="CUST-0275"/>
    <s v="PROD-013"/>
    <x v="3"/>
    <s v="Online"/>
    <n v="4"/>
    <n v="0"/>
    <s v="Yes"/>
    <n v="3"/>
    <n v="6"/>
    <s v="Phone Charger"/>
    <s v="Accessories"/>
    <n v="32"/>
    <n v="13"/>
    <s v="Consumer"/>
    <n v="128"/>
    <n v="52"/>
    <n v="76"/>
    <n v="0.59375"/>
  </r>
  <r>
    <s v="ORD-11134"/>
    <x v="191"/>
    <s v="CUST-0002"/>
    <s v="PROD-011"/>
    <x v="1"/>
    <s v="Retail Store"/>
    <n v="3"/>
    <n v="0"/>
    <s v="No"/>
    <n v="4"/>
    <n v="4"/>
    <s v="Backpack"/>
    <s v="Accessories"/>
    <n v="85"/>
    <n v="39"/>
    <s v="Consumer"/>
    <n v="255"/>
    <n v="117"/>
    <n v="138"/>
    <n v="0.54117647058823526"/>
  </r>
  <r>
    <s v="ORD-11135"/>
    <x v="399"/>
    <s v="CUST-0097"/>
    <s v="PROD-001"/>
    <x v="1"/>
    <s v="Online"/>
    <n v="3"/>
    <n v="0.2"/>
    <s v="No"/>
    <n v="5"/>
    <n v="1"/>
    <s v="Laptop"/>
    <s v="Technology"/>
    <n v="1100"/>
    <n v="720"/>
    <s v="Small Business"/>
    <n v="2640"/>
    <n v="2160"/>
    <n v="480"/>
    <n v="0.18181818181818182"/>
  </r>
  <r>
    <s v="ORD-11136"/>
    <x v="370"/>
    <s v="CUST-0128"/>
    <s v="PROD-006"/>
    <x v="4"/>
    <s v="Online"/>
    <n v="1"/>
    <n v="0"/>
    <s v="No"/>
    <n v="5"/>
    <n v="4"/>
    <s v="Headset"/>
    <s v="Technology"/>
    <n v="98"/>
    <n v="46"/>
    <s v="Small Business"/>
    <n v="98"/>
    <n v="46"/>
    <n v="52"/>
    <n v="0.53061224489795922"/>
  </r>
  <r>
    <s v="ORD-11137"/>
    <x v="185"/>
    <s v="CUST-0262"/>
    <s v="PROD-007"/>
    <x v="0"/>
    <s v="Online"/>
    <n v="2"/>
    <n v="0.15"/>
    <s v="No"/>
    <n v="5"/>
    <n v="2"/>
    <s v="Standing Desk"/>
    <s v="Furniture"/>
    <n v="540"/>
    <n v="320"/>
    <s v="Small Business"/>
    <n v="918"/>
    <n v="640"/>
    <n v="278"/>
    <n v="0.30283224400871461"/>
  </r>
  <r>
    <s v="ORD-11138"/>
    <x v="511"/>
    <s v="CUST-0068"/>
    <s v="PROD-010"/>
    <x v="2"/>
    <s v="Online"/>
    <n v="3"/>
    <n v="0"/>
    <s v="No"/>
    <n v="4"/>
    <n v="2"/>
    <s v="Laptop Stand"/>
    <s v="Accessories"/>
    <n v="48"/>
    <n v="22"/>
    <s v="Consumer"/>
    <n v="144"/>
    <n v="66"/>
    <n v="78"/>
    <n v="0.54166666666666663"/>
  </r>
  <r>
    <s v="ORD-11139"/>
    <x v="2"/>
    <s v="CUST-0237"/>
    <s v="PROD-004"/>
    <x v="0"/>
    <s v="B2B Sales"/>
    <n v="5"/>
    <n v="0.15"/>
    <s v="No"/>
    <n v="5"/>
    <n v="1"/>
    <s v="Mouse"/>
    <s v="Technology"/>
    <n v="42"/>
    <n v="19"/>
    <s v="Small Business"/>
    <n v="178.5"/>
    <n v="95"/>
    <n v="83.5"/>
    <n v="0.46778711484593838"/>
  </r>
  <r>
    <s v="ORD-11140"/>
    <x v="436"/>
    <s v="CUST-0017"/>
    <s v="PROD-014"/>
    <x v="0"/>
    <s v="B2B Sales"/>
    <n v="5"/>
    <n v="0"/>
    <s v="No"/>
    <n v="4"/>
    <n v="5"/>
    <s v="Printer Paper"/>
    <s v="Office Supplies"/>
    <n v="17"/>
    <n v="8"/>
    <s v="Consumer"/>
    <n v="85"/>
    <n v="40"/>
    <n v="45"/>
    <n v="0.52941176470588236"/>
  </r>
  <r>
    <s v="ORD-11141"/>
    <x v="528"/>
    <s v="CUST-0274"/>
    <s v="PROD-001"/>
    <x v="4"/>
    <s v="Retail Store"/>
    <n v="1"/>
    <n v="0.1"/>
    <s v="No"/>
    <n v="5"/>
    <n v="1"/>
    <s v="Laptop"/>
    <s v="Technology"/>
    <n v="1100"/>
    <n v="720"/>
    <s v="Small Business"/>
    <n v="990"/>
    <n v="720"/>
    <n v="270"/>
    <n v="0.27272727272727271"/>
  </r>
  <r>
    <s v="ORD-11142"/>
    <x v="529"/>
    <s v="CUST-0205"/>
    <s v="PROD-015"/>
    <x v="4"/>
    <s v="Online"/>
    <n v="1"/>
    <n v="0"/>
    <s v="No"/>
    <n v="5"/>
    <n v="1"/>
    <s v="File Folder Pack"/>
    <s v="Office Supplies"/>
    <n v="23"/>
    <n v="10"/>
    <s v="Consumer"/>
    <n v="23"/>
    <n v="10"/>
    <n v="13"/>
    <n v="0.56521739130434778"/>
  </r>
  <r>
    <s v="ORD-11143"/>
    <x v="176"/>
    <s v="CUST-0188"/>
    <s v="PROD-014"/>
    <x v="1"/>
    <s v="Online"/>
    <n v="1"/>
    <n v="0.05"/>
    <s v="No"/>
    <n v="4"/>
    <n v="1"/>
    <s v="Printer Paper"/>
    <s v="Office Supplies"/>
    <n v="17"/>
    <n v="8"/>
    <s v="Consumer"/>
    <n v="16.149999999999999"/>
    <n v="8"/>
    <n v="8.1499999999999986"/>
    <n v="0.50464396284829716"/>
  </r>
  <r>
    <s v="ORD-11144"/>
    <x v="377"/>
    <s v="CUST-0252"/>
    <s v="PROD-008"/>
    <x v="1"/>
    <s v="Online"/>
    <n v="3"/>
    <n v="0"/>
    <s v="No"/>
    <n v="4"/>
    <n v="3"/>
    <s v="Office Chair"/>
    <s v="Furniture"/>
    <n v="255"/>
    <n v="145"/>
    <s v="Corporate"/>
    <n v="765"/>
    <n v="435"/>
    <n v="330"/>
    <n v="0.43137254901960786"/>
  </r>
  <r>
    <s v="ORD-11145"/>
    <x v="524"/>
    <s v="CUST-0072"/>
    <s v="PROD-005"/>
    <x v="4"/>
    <s v="Online"/>
    <n v="5"/>
    <n v="0.05"/>
    <s v="No"/>
    <n v="4"/>
    <n v="2"/>
    <s v="Webcam"/>
    <s v="Technology"/>
    <n v="115"/>
    <n v="58"/>
    <s v="Small Business"/>
    <n v="546.25"/>
    <n v="290"/>
    <n v="256.25"/>
    <n v="0.46910755148741418"/>
  </r>
  <r>
    <s v="ORD-11146"/>
    <x v="501"/>
    <s v="CUST-0157"/>
    <s v="PROD-016"/>
    <x v="1"/>
    <s v="Retail Store"/>
    <n v="1"/>
    <n v="0.1"/>
    <s v="No"/>
    <n v="4"/>
    <n v="4"/>
    <s v="Desk Organiser"/>
    <s v="Office Supplies"/>
    <n v="28"/>
    <n v="12"/>
    <s v="Consumer"/>
    <n v="25.2"/>
    <n v="12"/>
    <n v="13.2"/>
    <n v="0.52380952380952384"/>
  </r>
  <r>
    <s v="ORD-11147"/>
    <x v="298"/>
    <s v="CUST-0117"/>
    <s v="PROD-001"/>
    <x v="0"/>
    <s v="Retail Store"/>
    <n v="1"/>
    <n v="0"/>
    <s v="No"/>
    <n v="4"/>
    <n v="5"/>
    <s v="Laptop"/>
    <s v="Technology"/>
    <n v="1100"/>
    <n v="720"/>
    <s v="Consumer"/>
    <n v="1100"/>
    <n v="720"/>
    <n v="380"/>
    <n v="0.34545454545454546"/>
  </r>
  <r>
    <s v="ORD-11148"/>
    <x v="530"/>
    <s v="CUST-0245"/>
    <s v="PROD-006"/>
    <x v="0"/>
    <s v="Retail Store"/>
    <n v="3"/>
    <n v="0.05"/>
    <s v="No"/>
    <n v="4"/>
    <n v="4"/>
    <s v="Headset"/>
    <s v="Technology"/>
    <n v="98"/>
    <n v="46"/>
    <s v="Consumer"/>
    <n v="279.3"/>
    <n v="138"/>
    <n v="141.30000000000001"/>
    <n v="0.50590762620837815"/>
  </r>
  <r>
    <s v="ORD-11149"/>
    <x v="176"/>
    <s v="CUST-0269"/>
    <s v="PROD-016"/>
    <x v="2"/>
    <s v="B2B Sales"/>
    <n v="1"/>
    <n v="0.2"/>
    <s v="No"/>
    <n v="4"/>
    <n v="2"/>
    <s v="Desk Organiser"/>
    <s v="Office Supplies"/>
    <n v="28"/>
    <n v="12"/>
    <s v="Corporate"/>
    <n v="22.400000000000002"/>
    <n v="12"/>
    <n v="10.400000000000002"/>
    <n v="0.46428571428571436"/>
  </r>
  <r>
    <s v="ORD-11150"/>
    <x v="531"/>
    <s v="CUST-0143"/>
    <s v="PROD-004"/>
    <x v="1"/>
    <s v="Online"/>
    <n v="2"/>
    <n v="0.15"/>
    <s v="No"/>
    <n v="5"/>
    <n v="5"/>
    <s v="Mouse"/>
    <s v="Technology"/>
    <n v="42"/>
    <n v="19"/>
    <s v="Consumer"/>
    <n v="71.399999999999991"/>
    <n v="38"/>
    <n v="33.399999999999991"/>
    <n v="0.46778711484593832"/>
  </r>
  <r>
    <s v="ORD-11151"/>
    <x v="234"/>
    <s v="CUST-0104"/>
    <s v="PROD-012"/>
    <x v="1"/>
    <s v="Online"/>
    <n v="1"/>
    <n v="0"/>
    <s v="No"/>
    <n v="4"/>
    <n v="5"/>
    <s v="USB-C Hub"/>
    <s v="Accessories"/>
    <n v="68"/>
    <n v="31"/>
    <s v="Corporate"/>
    <n v="68"/>
    <n v="31"/>
    <n v="37"/>
    <n v="0.54411764705882348"/>
  </r>
  <r>
    <s v="ORD-11152"/>
    <x v="517"/>
    <s v="CUST-0041"/>
    <s v="PROD-002"/>
    <x v="4"/>
    <s v="Retail Store"/>
    <n v="1"/>
    <n v="0.1"/>
    <s v="No"/>
    <n v="5"/>
    <n v="2"/>
    <s v="Monitor"/>
    <s v="Technology"/>
    <n v="310"/>
    <n v="190"/>
    <s v="Corporate"/>
    <n v="279"/>
    <n v="190"/>
    <n v="89"/>
    <n v="0.31899641577060933"/>
  </r>
  <r>
    <s v="ORD-11153"/>
    <x v="234"/>
    <s v="CUST-0234"/>
    <s v="PROD-006"/>
    <x v="2"/>
    <s v="Retail Store"/>
    <n v="3"/>
    <n v="0"/>
    <s v="No"/>
    <n v="5"/>
    <n v="1"/>
    <s v="Headset"/>
    <s v="Technology"/>
    <n v="98"/>
    <n v="46"/>
    <s v="Corporate"/>
    <n v="294"/>
    <n v="138"/>
    <n v="156"/>
    <n v="0.53061224489795922"/>
  </r>
  <r>
    <s v="ORD-11154"/>
    <x v="150"/>
    <s v="CUST-0268"/>
    <s v="PROD-010"/>
    <x v="2"/>
    <s v="Online"/>
    <n v="3"/>
    <n v="0.05"/>
    <s v="No"/>
    <n v="4"/>
    <n v="1"/>
    <s v="Laptop Stand"/>
    <s v="Accessories"/>
    <n v="48"/>
    <n v="22"/>
    <s v="Small Business"/>
    <n v="136.79999999999998"/>
    <n v="66"/>
    <n v="70.799999999999983"/>
    <n v="0.51754385964912275"/>
  </r>
  <r>
    <s v="ORD-11155"/>
    <x v="158"/>
    <s v="CUST-0038"/>
    <s v="PROD-007"/>
    <x v="4"/>
    <s v="Online"/>
    <n v="2"/>
    <n v="0"/>
    <s v="No"/>
    <n v="4"/>
    <n v="3"/>
    <s v="Standing Desk"/>
    <s v="Furniture"/>
    <n v="540"/>
    <n v="320"/>
    <s v="Corporate"/>
    <n v="1080"/>
    <n v="640"/>
    <n v="440"/>
    <n v="0.40740740740740738"/>
  </r>
  <r>
    <s v="ORD-11156"/>
    <x v="9"/>
    <s v="CUST-0005"/>
    <s v="PROD-014"/>
    <x v="0"/>
    <s v="Online"/>
    <n v="5"/>
    <n v="0.1"/>
    <s v="No"/>
    <n v="5"/>
    <n v="5"/>
    <s v="Printer Paper"/>
    <s v="Office Supplies"/>
    <n v="17"/>
    <n v="8"/>
    <s v="Corporate"/>
    <n v="76.5"/>
    <n v="40"/>
    <n v="36.5"/>
    <n v="0.47712418300653597"/>
  </r>
  <r>
    <s v="ORD-11157"/>
    <x v="251"/>
    <s v="CUST-0001"/>
    <s v="PROD-009"/>
    <x v="1"/>
    <s v="Retail Store"/>
    <n v="2"/>
    <n v="0"/>
    <s v="No"/>
    <n v="4"/>
    <n v="3"/>
    <s v="Bookshelf"/>
    <s v="Furniture"/>
    <n v="185"/>
    <n v="105"/>
    <s v="Corporate"/>
    <n v="370"/>
    <n v="210"/>
    <n v="160"/>
    <n v="0.43243243243243246"/>
  </r>
  <r>
    <s v="ORD-11158"/>
    <x v="504"/>
    <s v="CUST-0273"/>
    <s v="PROD-008"/>
    <x v="3"/>
    <s v="Retail Store"/>
    <n v="2"/>
    <n v="0.05"/>
    <s v="No"/>
    <n v="5"/>
    <n v="2"/>
    <s v="Office Chair"/>
    <s v="Furniture"/>
    <n v="255"/>
    <n v="145"/>
    <s v="Corporate"/>
    <n v="484.5"/>
    <n v="290"/>
    <n v="194.5"/>
    <n v="0.40144478844169246"/>
  </r>
  <r>
    <s v="ORD-11159"/>
    <x v="306"/>
    <s v="CUST-0004"/>
    <s v="PROD-011"/>
    <x v="0"/>
    <s v="Retail Store"/>
    <n v="2"/>
    <n v="0"/>
    <s v="No"/>
    <n v="5"/>
    <n v="1"/>
    <s v="Backpack"/>
    <s v="Accessories"/>
    <n v="85"/>
    <n v="39"/>
    <s v="Consumer"/>
    <n v="170"/>
    <n v="78"/>
    <n v="92"/>
    <n v="0.54117647058823526"/>
  </r>
  <r>
    <s v="ORD-11160"/>
    <x v="203"/>
    <s v="CUST-0176"/>
    <s v="PROD-006"/>
    <x v="2"/>
    <s v="Online"/>
    <n v="1"/>
    <n v="0"/>
    <s v="No"/>
    <n v="5"/>
    <n v="4"/>
    <s v="Headset"/>
    <s v="Technology"/>
    <n v="98"/>
    <n v="46"/>
    <s v="Consumer"/>
    <n v="98"/>
    <n v="46"/>
    <n v="52"/>
    <n v="0.53061224489795922"/>
  </r>
  <r>
    <s v="ORD-11161"/>
    <x v="35"/>
    <s v="CUST-0154"/>
    <s v="PROD-007"/>
    <x v="4"/>
    <s v="Online"/>
    <n v="1"/>
    <n v="0.1"/>
    <s v="No"/>
    <n v="5"/>
    <n v="5"/>
    <s v="Standing Desk"/>
    <s v="Furniture"/>
    <n v="540"/>
    <n v="320"/>
    <s v="Corporate"/>
    <n v="486"/>
    <n v="320"/>
    <n v="166"/>
    <n v="0.34156378600823045"/>
  </r>
  <r>
    <s v="ORD-11162"/>
    <x v="431"/>
    <s v="CUST-0167"/>
    <s v="PROD-016"/>
    <x v="1"/>
    <s v="Retail Store"/>
    <n v="4"/>
    <n v="0"/>
    <s v="Yes"/>
    <n v="4"/>
    <n v="6"/>
    <s v="Desk Organiser"/>
    <s v="Office Supplies"/>
    <n v="28"/>
    <n v="12"/>
    <s v="Consumer"/>
    <n v="112"/>
    <n v="48"/>
    <n v="64"/>
    <n v="0.5714285714285714"/>
  </r>
  <r>
    <s v="ORD-11163"/>
    <x v="337"/>
    <s v="CUST-0157"/>
    <s v="PROD-011"/>
    <x v="1"/>
    <s v="Retail Store"/>
    <n v="1"/>
    <n v="0"/>
    <s v="No"/>
    <n v="5"/>
    <n v="1"/>
    <s v="Backpack"/>
    <s v="Accessories"/>
    <n v="85"/>
    <n v="39"/>
    <s v="Consumer"/>
    <n v="85"/>
    <n v="39"/>
    <n v="46"/>
    <n v="0.54117647058823526"/>
  </r>
  <r>
    <s v="ORD-11164"/>
    <x v="532"/>
    <s v="CUST-0029"/>
    <s v="PROD-014"/>
    <x v="3"/>
    <s v="Retail Store"/>
    <n v="8"/>
    <n v="0.1"/>
    <s v="No"/>
    <n v="5"/>
    <n v="2"/>
    <s v="Printer Paper"/>
    <s v="Office Supplies"/>
    <n v="17"/>
    <n v="8"/>
    <s v="Small Business"/>
    <n v="122.4"/>
    <n v="64"/>
    <n v="58.400000000000006"/>
    <n v="0.47712418300653597"/>
  </r>
  <r>
    <s v="ORD-11165"/>
    <x v="24"/>
    <s v="CUST-0151"/>
    <s v="PROD-012"/>
    <x v="2"/>
    <s v="Online"/>
    <n v="2"/>
    <n v="0.05"/>
    <s v="No"/>
    <n v="5"/>
    <n v="5"/>
    <s v="USB-C Hub"/>
    <s v="Accessories"/>
    <n v="68"/>
    <n v="31"/>
    <s v="Small Business"/>
    <n v="129.19999999999999"/>
    <n v="62"/>
    <n v="67.199999999999989"/>
    <n v="0.52012383900928794"/>
  </r>
  <r>
    <s v="ORD-11166"/>
    <x v="440"/>
    <s v="CUST-0226"/>
    <s v="PROD-009"/>
    <x v="2"/>
    <s v="Online"/>
    <n v="2"/>
    <n v="0.05"/>
    <s v="No"/>
    <n v="4"/>
    <n v="1"/>
    <s v="Bookshelf"/>
    <s v="Furniture"/>
    <n v="185"/>
    <n v="105"/>
    <s v="Corporate"/>
    <n v="351.5"/>
    <n v="210"/>
    <n v="141.5"/>
    <n v="0.40256045519203415"/>
  </r>
  <r>
    <s v="ORD-11167"/>
    <x v="533"/>
    <s v="CUST-0250"/>
    <s v="PROD-008"/>
    <x v="3"/>
    <s v="Retail Store"/>
    <n v="2"/>
    <n v="0"/>
    <s v="No"/>
    <n v="4"/>
    <n v="3"/>
    <s v="Office Chair"/>
    <s v="Furniture"/>
    <n v="255"/>
    <n v="145"/>
    <s v="Consumer"/>
    <n v="510"/>
    <n v="290"/>
    <n v="220"/>
    <n v="0.43137254901960786"/>
  </r>
  <r>
    <s v="ORD-11168"/>
    <x v="114"/>
    <s v="CUST-0146"/>
    <s v="PROD-004"/>
    <x v="4"/>
    <s v="B2B Sales"/>
    <n v="1"/>
    <n v="0.2"/>
    <s v="No"/>
    <n v="5"/>
    <n v="2"/>
    <s v="Mouse"/>
    <s v="Technology"/>
    <n v="42"/>
    <n v="19"/>
    <s v="Consumer"/>
    <n v="33.6"/>
    <n v="19"/>
    <n v="14.600000000000001"/>
    <n v="0.43452380952380953"/>
  </r>
  <r>
    <s v="ORD-11169"/>
    <x v="227"/>
    <s v="CUST-0154"/>
    <s v="PROD-007"/>
    <x v="4"/>
    <s v="Online"/>
    <n v="2"/>
    <n v="0.05"/>
    <s v="No"/>
    <n v="4"/>
    <n v="3"/>
    <s v="Standing Desk"/>
    <s v="Furniture"/>
    <n v="540"/>
    <n v="320"/>
    <s v="Corporate"/>
    <n v="1026"/>
    <n v="640"/>
    <n v="386"/>
    <n v="0.37621832358674462"/>
  </r>
  <r>
    <s v="ORD-11170"/>
    <x v="467"/>
    <s v="CUST-0072"/>
    <s v="PROD-003"/>
    <x v="0"/>
    <s v="Retail Store"/>
    <n v="4"/>
    <n v="0.2"/>
    <s v="No"/>
    <n v="5"/>
    <n v="2"/>
    <s v="Keyboard"/>
    <s v="Technology"/>
    <n v="75"/>
    <n v="38"/>
    <s v="Small Business"/>
    <n v="240"/>
    <n v="152"/>
    <n v="88"/>
    <n v="0.36666666666666664"/>
  </r>
  <r>
    <s v="ORD-11171"/>
    <x v="366"/>
    <s v="CUST-0165"/>
    <s v="PROD-015"/>
    <x v="3"/>
    <s v="Online"/>
    <n v="1"/>
    <n v="0.2"/>
    <s v="No"/>
    <n v="4"/>
    <n v="1"/>
    <s v="File Folder Pack"/>
    <s v="Office Supplies"/>
    <n v="23"/>
    <n v="10"/>
    <s v="Small Business"/>
    <n v="18.400000000000002"/>
    <n v="10"/>
    <n v="8.4000000000000021"/>
    <n v="0.45652173913043487"/>
  </r>
  <r>
    <s v="ORD-11172"/>
    <x v="145"/>
    <s v="CUST-0062"/>
    <s v="PROD-014"/>
    <x v="4"/>
    <s v="Retail Store"/>
    <n v="4"/>
    <n v="0.15"/>
    <s v="No"/>
    <n v="5"/>
    <n v="3"/>
    <s v="Printer Paper"/>
    <s v="Office Supplies"/>
    <n v="17"/>
    <n v="8"/>
    <s v="Corporate"/>
    <n v="57.8"/>
    <n v="32"/>
    <n v="25.799999999999997"/>
    <n v="0.44636678200692037"/>
  </r>
  <r>
    <s v="ORD-11173"/>
    <x v="534"/>
    <s v="CUST-0290"/>
    <s v="PROD-014"/>
    <x v="0"/>
    <s v="B2B Sales"/>
    <n v="5"/>
    <n v="0"/>
    <s v="No"/>
    <n v="4"/>
    <n v="3"/>
    <s v="Printer Paper"/>
    <s v="Office Supplies"/>
    <n v="17"/>
    <n v="8"/>
    <s v="Consumer"/>
    <n v="85"/>
    <n v="40"/>
    <n v="45"/>
    <n v="0.52941176470588236"/>
  </r>
  <r>
    <s v="ORD-11174"/>
    <x v="498"/>
    <s v="CUST-0039"/>
    <s v="PROD-003"/>
    <x v="0"/>
    <s v="Retail Store"/>
    <n v="2"/>
    <n v="0.1"/>
    <s v="No"/>
    <n v="2"/>
    <n v="6"/>
    <s v="Keyboard"/>
    <s v="Technology"/>
    <n v="75"/>
    <n v="38"/>
    <s v="Small Business"/>
    <n v="135"/>
    <n v="76"/>
    <n v="59"/>
    <n v="0.43703703703703706"/>
  </r>
  <r>
    <s v="ORD-11175"/>
    <x v="423"/>
    <s v="CUST-0221"/>
    <s v="PROD-009"/>
    <x v="4"/>
    <s v="B2B Sales"/>
    <n v="8"/>
    <n v="0"/>
    <s v="No"/>
    <n v="3"/>
    <n v="5"/>
    <s v="Bookshelf"/>
    <s v="Furniture"/>
    <n v="185"/>
    <n v="105"/>
    <s v="Small Business"/>
    <n v="1480"/>
    <n v="840"/>
    <n v="640"/>
    <n v="0.43243243243243246"/>
  </r>
  <r>
    <s v="ORD-11176"/>
    <x v="416"/>
    <s v="CUST-0233"/>
    <s v="PROD-014"/>
    <x v="0"/>
    <s v="Online"/>
    <n v="1"/>
    <n v="0.05"/>
    <s v="No"/>
    <n v="1"/>
    <n v="7"/>
    <s v="Printer Paper"/>
    <s v="Office Supplies"/>
    <n v="17"/>
    <n v="8"/>
    <s v="Corporate"/>
    <n v="16.149999999999999"/>
    <n v="8"/>
    <n v="8.1499999999999986"/>
    <n v="0.50464396284829716"/>
  </r>
  <r>
    <s v="ORD-11177"/>
    <x v="86"/>
    <s v="CUST-0133"/>
    <s v="PROD-008"/>
    <x v="4"/>
    <s v="Retail Store"/>
    <n v="2"/>
    <n v="0.05"/>
    <s v="No"/>
    <n v="5"/>
    <n v="3"/>
    <s v="Office Chair"/>
    <s v="Furniture"/>
    <n v="255"/>
    <n v="145"/>
    <s v="Small Business"/>
    <n v="484.5"/>
    <n v="290"/>
    <n v="194.5"/>
    <n v="0.40144478844169246"/>
  </r>
  <r>
    <s v="ORD-11178"/>
    <x v="210"/>
    <s v="CUST-0079"/>
    <s v="PROD-007"/>
    <x v="0"/>
    <s v="Online"/>
    <n v="1"/>
    <n v="0"/>
    <s v="No"/>
    <n v="5"/>
    <n v="2"/>
    <s v="Standing Desk"/>
    <s v="Furniture"/>
    <n v="540"/>
    <n v="320"/>
    <s v="Consumer"/>
    <n v="540"/>
    <n v="320"/>
    <n v="220"/>
    <n v="0.40740740740740738"/>
  </r>
  <r>
    <s v="ORD-11179"/>
    <x v="505"/>
    <s v="CUST-0179"/>
    <s v="PROD-003"/>
    <x v="3"/>
    <s v="Online"/>
    <n v="1"/>
    <n v="0"/>
    <s v="No"/>
    <n v="4"/>
    <n v="3"/>
    <s v="Keyboard"/>
    <s v="Technology"/>
    <n v="75"/>
    <n v="38"/>
    <s v="Consumer"/>
    <n v="75"/>
    <n v="38"/>
    <n v="37"/>
    <n v="0.49333333333333335"/>
  </r>
  <r>
    <s v="ORD-11180"/>
    <x v="69"/>
    <s v="CUST-0112"/>
    <s v="PROD-012"/>
    <x v="2"/>
    <s v="B2B Sales"/>
    <n v="7"/>
    <n v="0"/>
    <s v="Yes"/>
    <n v="1"/>
    <n v="6"/>
    <s v="USB-C Hub"/>
    <s v="Accessories"/>
    <n v="68"/>
    <n v="31"/>
    <s v="Consumer"/>
    <n v="476"/>
    <n v="217"/>
    <n v="259"/>
    <n v="0.54411764705882348"/>
  </r>
  <r>
    <s v="ORD-11181"/>
    <x v="233"/>
    <s v="CUST-0229"/>
    <s v="PROD-015"/>
    <x v="3"/>
    <s v="Online"/>
    <n v="2"/>
    <n v="0.1"/>
    <s v="No"/>
    <n v="3"/>
    <n v="5"/>
    <s v="File Folder Pack"/>
    <s v="Office Supplies"/>
    <n v="23"/>
    <n v="10"/>
    <s v="Consumer"/>
    <n v="41.4"/>
    <n v="20"/>
    <n v="21.4"/>
    <n v="0.51690821256038644"/>
  </r>
  <r>
    <s v="ORD-11182"/>
    <x v="285"/>
    <s v="CUST-0063"/>
    <s v="PROD-006"/>
    <x v="1"/>
    <s v="Online"/>
    <n v="2"/>
    <n v="0.05"/>
    <s v="No"/>
    <n v="4"/>
    <n v="2"/>
    <s v="Headset"/>
    <s v="Technology"/>
    <n v="98"/>
    <n v="46"/>
    <s v="Corporate"/>
    <n v="186.2"/>
    <n v="92"/>
    <n v="94.199999999999989"/>
    <n v="0.50590762620837804"/>
  </r>
  <r>
    <s v="ORD-11183"/>
    <x v="496"/>
    <s v="CUST-0047"/>
    <s v="PROD-012"/>
    <x v="4"/>
    <s v="Retail Store"/>
    <n v="7"/>
    <n v="0"/>
    <s v="No"/>
    <n v="4"/>
    <n v="1"/>
    <s v="USB-C Hub"/>
    <s v="Accessories"/>
    <n v="68"/>
    <n v="31"/>
    <s v="Consumer"/>
    <n v="476"/>
    <n v="217"/>
    <n v="259"/>
    <n v="0.54411764705882348"/>
  </r>
  <r>
    <s v="ORD-11184"/>
    <x v="535"/>
    <s v="CUST-0185"/>
    <s v="PROD-010"/>
    <x v="0"/>
    <s v="Online"/>
    <n v="5"/>
    <n v="0"/>
    <s v="Yes"/>
    <n v="2"/>
    <n v="8"/>
    <s v="Laptop Stand"/>
    <s v="Accessories"/>
    <n v="48"/>
    <n v="22"/>
    <s v="Consumer"/>
    <n v="240"/>
    <n v="110"/>
    <n v="130"/>
    <n v="0.54166666666666663"/>
  </r>
  <r>
    <s v="ORD-11185"/>
    <x v="534"/>
    <s v="CUST-0141"/>
    <s v="PROD-011"/>
    <x v="2"/>
    <s v="B2B Sales"/>
    <n v="1"/>
    <n v="0"/>
    <s v="No"/>
    <n v="3"/>
    <n v="4"/>
    <s v="Backpack"/>
    <s v="Accessories"/>
    <n v="85"/>
    <n v="39"/>
    <s v="Consumer"/>
    <n v="85"/>
    <n v="39"/>
    <n v="46"/>
    <n v="0.54117647058823526"/>
  </r>
  <r>
    <s v="ORD-11186"/>
    <x v="503"/>
    <s v="CUST-0032"/>
    <s v="PROD-007"/>
    <x v="0"/>
    <s v="Retail Store"/>
    <n v="2"/>
    <n v="0"/>
    <s v="No"/>
    <n v="3"/>
    <n v="5"/>
    <s v="Standing Desk"/>
    <s v="Furniture"/>
    <n v="540"/>
    <n v="320"/>
    <s v="Corporate"/>
    <n v="1080"/>
    <n v="640"/>
    <n v="440"/>
    <n v="0.40740740740740738"/>
  </r>
  <r>
    <s v="ORD-11187"/>
    <x v="536"/>
    <s v="CUST-0093"/>
    <s v="PROD-012"/>
    <x v="0"/>
    <s v="Online"/>
    <n v="1"/>
    <n v="0.05"/>
    <s v="No"/>
    <n v="5"/>
    <n v="3"/>
    <s v="USB-C Hub"/>
    <s v="Accessories"/>
    <n v="68"/>
    <n v="31"/>
    <s v="Corporate"/>
    <n v="64.599999999999994"/>
    <n v="31"/>
    <n v="33.599999999999994"/>
    <n v="0.52012383900928794"/>
  </r>
  <r>
    <s v="ORD-11188"/>
    <x v="347"/>
    <s v="CUST-0015"/>
    <s v="PROD-001"/>
    <x v="3"/>
    <s v="B2B Sales"/>
    <n v="1"/>
    <n v="0.15"/>
    <s v="Yes"/>
    <n v="2"/>
    <n v="6"/>
    <s v="Laptop"/>
    <s v="Technology"/>
    <n v="1100"/>
    <n v="720"/>
    <s v="Corporate"/>
    <n v="935"/>
    <n v="720"/>
    <n v="215"/>
    <n v="0.22994652406417113"/>
  </r>
  <r>
    <s v="ORD-11189"/>
    <x v="296"/>
    <s v="CUST-0052"/>
    <s v="PROD-001"/>
    <x v="3"/>
    <s v="Online"/>
    <n v="2"/>
    <n v="0"/>
    <s v="Yes"/>
    <n v="4"/>
    <n v="8"/>
    <s v="Laptop"/>
    <s v="Technology"/>
    <n v="1100"/>
    <n v="720"/>
    <s v="Consumer"/>
    <n v="2200"/>
    <n v="1440"/>
    <n v="760"/>
    <n v="0.34545454545454546"/>
  </r>
  <r>
    <s v="ORD-11190"/>
    <x v="455"/>
    <s v="CUST-0001"/>
    <s v="PROD-010"/>
    <x v="4"/>
    <s v="B2B Sales"/>
    <n v="1"/>
    <n v="0"/>
    <s v="No"/>
    <n v="5"/>
    <n v="1"/>
    <s v="Laptop Stand"/>
    <s v="Accessories"/>
    <n v="48"/>
    <n v="22"/>
    <s v="Corporate"/>
    <n v="48"/>
    <n v="22"/>
    <n v="26"/>
    <n v="0.54166666666666663"/>
  </r>
  <r>
    <s v="ORD-11191"/>
    <x v="367"/>
    <s v="CUST-0253"/>
    <s v="PROD-007"/>
    <x v="2"/>
    <s v="Retail Store"/>
    <n v="4"/>
    <n v="0"/>
    <s v="No"/>
    <n v="5"/>
    <n v="4"/>
    <s v="Standing Desk"/>
    <s v="Furniture"/>
    <n v="540"/>
    <n v="320"/>
    <s v="Consumer"/>
    <n v="2160"/>
    <n v="1280"/>
    <n v="880"/>
    <n v="0.40740740740740738"/>
  </r>
  <r>
    <s v="ORD-11192"/>
    <x v="238"/>
    <s v="CUST-0054"/>
    <s v="PROD-008"/>
    <x v="3"/>
    <s v="Online"/>
    <n v="3"/>
    <n v="0"/>
    <s v="Yes"/>
    <n v="5"/>
    <n v="8"/>
    <s v="Office Chair"/>
    <s v="Furniture"/>
    <n v="255"/>
    <n v="145"/>
    <s v="Small Business"/>
    <n v="765"/>
    <n v="435"/>
    <n v="330"/>
    <n v="0.43137254901960786"/>
  </r>
  <r>
    <s v="ORD-11193"/>
    <x v="333"/>
    <s v="CUST-0168"/>
    <s v="PROD-014"/>
    <x v="3"/>
    <s v="Online"/>
    <n v="4"/>
    <n v="0.15"/>
    <s v="No"/>
    <n v="5"/>
    <n v="1"/>
    <s v="Printer Paper"/>
    <s v="Office Supplies"/>
    <n v="17"/>
    <n v="8"/>
    <s v="Corporate"/>
    <n v="57.8"/>
    <n v="32"/>
    <n v="25.799999999999997"/>
    <n v="0.44636678200692037"/>
  </r>
  <r>
    <s v="ORD-11194"/>
    <x v="40"/>
    <s v="CUST-0094"/>
    <s v="PROD-001"/>
    <x v="2"/>
    <s v="Online"/>
    <n v="4"/>
    <n v="0"/>
    <s v="No"/>
    <n v="4"/>
    <n v="4"/>
    <s v="Laptop"/>
    <s v="Technology"/>
    <n v="1100"/>
    <n v="720"/>
    <s v="Consumer"/>
    <n v="4400"/>
    <n v="2880"/>
    <n v="1520"/>
    <n v="0.34545454545454546"/>
  </r>
  <r>
    <s v="ORD-11195"/>
    <x v="32"/>
    <s v="CUST-0097"/>
    <s v="PROD-013"/>
    <x v="4"/>
    <s v="Online"/>
    <n v="3"/>
    <n v="0.05"/>
    <s v="No"/>
    <n v="4"/>
    <n v="5"/>
    <s v="Phone Charger"/>
    <s v="Accessories"/>
    <n v="32"/>
    <n v="13"/>
    <s v="Small Business"/>
    <n v="91.199999999999989"/>
    <n v="39"/>
    <n v="52.199999999999989"/>
    <n v="0.57236842105263153"/>
  </r>
  <r>
    <s v="ORD-11196"/>
    <x v="144"/>
    <s v="CUST-0173"/>
    <s v="PROD-006"/>
    <x v="3"/>
    <s v="Retail Store"/>
    <n v="2"/>
    <n v="0.05"/>
    <s v="No"/>
    <n v="5"/>
    <n v="3"/>
    <s v="Headset"/>
    <s v="Technology"/>
    <n v="98"/>
    <n v="46"/>
    <s v="Consumer"/>
    <n v="186.2"/>
    <n v="92"/>
    <n v="94.199999999999989"/>
    <n v="0.50590762620837804"/>
  </r>
  <r>
    <s v="ORD-11197"/>
    <x v="111"/>
    <s v="CUST-0135"/>
    <s v="PROD-003"/>
    <x v="0"/>
    <s v="Online"/>
    <n v="1"/>
    <n v="0.05"/>
    <s v="No"/>
    <n v="5"/>
    <n v="1"/>
    <s v="Keyboard"/>
    <s v="Technology"/>
    <n v="75"/>
    <n v="38"/>
    <s v="Consumer"/>
    <n v="71.25"/>
    <n v="38"/>
    <n v="33.25"/>
    <n v="0.46666666666666667"/>
  </r>
  <r>
    <s v="ORD-11198"/>
    <x v="528"/>
    <s v="CUST-0282"/>
    <s v="PROD-010"/>
    <x v="2"/>
    <s v="Online"/>
    <n v="2"/>
    <n v="0.05"/>
    <s v="Yes"/>
    <n v="5"/>
    <n v="7"/>
    <s v="Laptop Stand"/>
    <s v="Accessories"/>
    <n v="48"/>
    <n v="22"/>
    <s v="Consumer"/>
    <n v="91.199999999999989"/>
    <n v="44"/>
    <n v="47.199999999999989"/>
    <n v="0.51754385964912275"/>
  </r>
  <r>
    <s v="ORD-11199"/>
    <x v="443"/>
    <s v="CUST-0262"/>
    <s v="PROD-007"/>
    <x v="2"/>
    <s v="Retail Store"/>
    <n v="4"/>
    <n v="0"/>
    <s v="No"/>
    <n v="4"/>
    <n v="2"/>
    <s v="Standing Desk"/>
    <s v="Furniture"/>
    <n v="540"/>
    <n v="320"/>
    <s v="Small Business"/>
    <n v="2160"/>
    <n v="1280"/>
    <n v="880"/>
    <n v="0.40740740740740738"/>
  </r>
  <r>
    <s v="ORD-11200"/>
    <x v="131"/>
    <s v="CUST-0272"/>
    <s v="PROD-002"/>
    <x v="0"/>
    <s v="Online"/>
    <n v="1"/>
    <n v="0.2"/>
    <s v="No"/>
    <n v="4"/>
    <n v="1"/>
    <s v="Monitor"/>
    <s v="Technology"/>
    <n v="310"/>
    <n v="190"/>
    <s v="Consumer"/>
    <n v="248"/>
    <n v="190"/>
    <n v="58"/>
    <n v="0.23387096774193547"/>
  </r>
  <r>
    <m/>
    <x v="537"/>
    <m/>
    <m/>
    <x v="5"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d v="2025-06-02T00:00:00"/>
    <s v="CUST-0280"/>
    <s v="PROD-002"/>
    <x v="0"/>
    <x v="0"/>
    <n v="1"/>
    <n v="0"/>
    <x v="0"/>
    <n v="5"/>
    <n v="1"/>
    <x v="0"/>
    <x v="0"/>
    <n v="310"/>
    <n v="190"/>
    <x v="0"/>
    <n v="310"/>
    <n v="190"/>
    <n v="120"/>
    <n v="0.38709677419354838"/>
  </r>
  <r>
    <x v="1"/>
    <d v="2026-01-02T00:00:00"/>
    <s v="CUST-0108"/>
    <s v="PROD-008"/>
    <x v="1"/>
    <x v="1"/>
    <n v="3"/>
    <n v="0.15"/>
    <x v="1"/>
    <n v="5"/>
    <n v="4"/>
    <x v="1"/>
    <x v="1"/>
    <n v="255"/>
    <n v="145"/>
    <x v="1"/>
    <n v="650.25"/>
    <n v="435"/>
    <n v="215.25"/>
    <n v="0.33102652825836215"/>
  </r>
  <r>
    <x v="2"/>
    <d v="2025-07-01T00:00:00"/>
    <s v="CUST-0212"/>
    <s v="PROD-001"/>
    <x v="2"/>
    <x v="2"/>
    <n v="4"/>
    <n v="0"/>
    <x v="0"/>
    <n v="5"/>
    <n v="2"/>
    <x v="2"/>
    <x v="0"/>
    <n v="1100"/>
    <n v="720"/>
    <x v="0"/>
    <n v="4400"/>
    <n v="2880"/>
    <n v="1520"/>
    <n v="0.34545454545454546"/>
  </r>
  <r>
    <x v="3"/>
    <d v="2025-10-01T00:00:00"/>
    <s v="CUST-0082"/>
    <s v="PROD-004"/>
    <x v="3"/>
    <x v="1"/>
    <n v="2"/>
    <n v="0"/>
    <x v="1"/>
    <n v="4"/>
    <n v="4"/>
    <x v="3"/>
    <x v="0"/>
    <n v="42"/>
    <n v="19"/>
    <x v="1"/>
    <n v="84"/>
    <n v="38"/>
    <n v="46"/>
    <n v="0.54761904761904767"/>
  </r>
  <r>
    <x v="4"/>
    <d v="2025-01-25T00:00:00"/>
    <s v="CUST-0099"/>
    <s v="PROD-013"/>
    <x v="3"/>
    <x v="2"/>
    <n v="7"/>
    <n v="0"/>
    <x v="0"/>
    <n v="4"/>
    <n v="5"/>
    <x v="4"/>
    <x v="2"/>
    <n v="32"/>
    <n v="13"/>
    <x v="2"/>
    <n v="224"/>
    <n v="91"/>
    <n v="133"/>
    <n v="0.59375"/>
  </r>
  <r>
    <x v="5"/>
    <d v="2025-12-06T00:00:00"/>
    <s v="CUST-0015"/>
    <s v="PROD-004"/>
    <x v="0"/>
    <x v="1"/>
    <n v="3"/>
    <n v="0.2"/>
    <x v="0"/>
    <n v="4"/>
    <n v="3"/>
    <x v="3"/>
    <x v="0"/>
    <n v="42"/>
    <n v="19"/>
    <x v="0"/>
    <n v="100.80000000000001"/>
    <n v="57"/>
    <n v="43.800000000000011"/>
    <n v="0.43452380952380959"/>
  </r>
  <r>
    <x v="6"/>
    <d v="2025-11-18T00:00:00"/>
    <s v="CUST-0224"/>
    <s v="PROD-004"/>
    <x v="3"/>
    <x v="0"/>
    <n v="1"/>
    <n v="0.1"/>
    <x v="0"/>
    <n v="5"/>
    <n v="5"/>
    <x v="3"/>
    <x v="0"/>
    <n v="42"/>
    <n v="19"/>
    <x v="0"/>
    <n v="37.800000000000004"/>
    <n v="19"/>
    <n v="18.800000000000004"/>
    <n v="0.49735449735449744"/>
  </r>
  <r>
    <x v="7"/>
    <d v="2025-07-21T00:00:00"/>
    <s v="CUST-0187"/>
    <s v="PROD-014"/>
    <x v="2"/>
    <x v="0"/>
    <n v="2"/>
    <n v="0"/>
    <x v="0"/>
    <n v="5"/>
    <n v="3"/>
    <x v="5"/>
    <x v="3"/>
    <n v="17"/>
    <n v="8"/>
    <x v="2"/>
    <n v="34"/>
    <n v="16"/>
    <n v="18"/>
    <n v="0.52941176470588236"/>
  </r>
  <r>
    <x v="8"/>
    <d v="2026-06-04T00:00:00"/>
    <s v="CUST-0159"/>
    <s v="PROD-014"/>
    <x v="3"/>
    <x v="0"/>
    <n v="3"/>
    <n v="0"/>
    <x v="0"/>
    <n v="4"/>
    <n v="2"/>
    <x v="5"/>
    <x v="3"/>
    <n v="17"/>
    <n v="8"/>
    <x v="1"/>
    <n v="51"/>
    <n v="24"/>
    <n v="27"/>
    <n v="0.52941176470588236"/>
  </r>
  <r>
    <x v="9"/>
    <d v="2026-08-06T00:00:00"/>
    <s v="CUST-0155"/>
    <s v="PROD-013"/>
    <x v="4"/>
    <x v="1"/>
    <n v="1"/>
    <n v="0"/>
    <x v="0"/>
    <n v="5"/>
    <n v="4"/>
    <x v="4"/>
    <x v="2"/>
    <n v="32"/>
    <n v="13"/>
    <x v="1"/>
    <n v="32"/>
    <n v="13"/>
    <n v="19"/>
    <n v="0.59375"/>
  </r>
  <r>
    <x v="10"/>
    <d v="2026-03-29T00:00:00"/>
    <s v="CUST-0227"/>
    <s v="PROD-007"/>
    <x v="4"/>
    <x v="0"/>
    <n v="7"/>
    <n v="0.1"/>
    <x v="0"/>
    <n v="4"/>
    <n v="5"/>
    <x v="6"/>
    <x v="1"/>
    <n v="540"/>
    <n v="320"/>
    <x v="0"/>
    <n v="3402"/>
    <n v="2240"/>
    <n v="1162"/>
    <n v="0.34156378600823045"/>
  </r>
  <r>
    <x v="11"/>
    <d v="2025-12-10T00:00:00"/>
    <s v="CUST-0048"/>
    <s v="PROD-008"/>
    <x v="1"/>
    <x v="1"/>
    <n v="1"/>
    <n v="0"/>
    <x v="0"/>
    <n v="4"/>
    <n v="1"/>
    <x v="1"/>
    <x v="1"/>
    <n v="255"/>
    <n v="145"/>
    <x v="1"/>
    <n v="255"/>
    <n v="145"/>
    <n v="110"/>
    <n v="0.43137254901960786"/>
  </r>
  <r>
    <x v="12"/>
    <d v="2026-04-12T00:00:00"/>
    <s v="CUST-0213"/>
    <s v="PROD-007"/>
    <x v="1"/>
    <x v="1"/>
    <n v="2"/>
    <n v="0"/>
    <x v="0"/>
    <n v="5"/>
    <n v="1"/>
    <x v="6"/>
    <x v="1"/>
    <n v="540"/>
    <n v="320"/>
    <x v="1"/>
    <n v="1080"/>
    <n v="640"/>
    <n v="440"/>
    <n v="0.40740740740740738"/>
  </r>
  <r>
    <x v="13"/>
    <d v="2026-03-12T00:00:00"/>
    <s v="CUST-0113"/>
    <s v="PROD-006"/>
    <x v="0"/>
    <x v="0"/>
    <n v="2"/>
    <n v="0.05"/>
    <x v="1"/>
    <n v="3"/>
    <n v="6"/>
    <x v="7"/>
    <x v="0"/>
    <n v="98"/>
    <n v="46"/>
    <x v="0"/>
    <n v="186.2"/>
    <n v="92"/>
    <n v="94.199999999999989"/>
    <n v="0.50590762620837804"/>
  </r>
  <r>
    <x v="14"/>
    <d v="2026-06-28T00:00:00"/>
    <s v="CUST-0287"/>
    <s v="PROD-011"/>
    <x v="0"/>
    <x v="2"/>
    <n v="3"/>
    <n v="0.1"/>
    <x v="0"/>
    <n v="5"/>
    <n v="5"/>
    <x v="8"/>
    <x v="2"/>
    <n v="85"/>
    <n v="39"/>
    <x v="2"/>
    <n v="229.5"/>
    <n v="117"/>
    <n v="112.5"/>
    <n v="0.49019607843137253"/>
  </r>
  <r>
    <x v="15"/>
    <d v="2026-04-02T00:00:00"/>
    <s v="CUST-0082"/>
    <s v="PROD-016"/>
    <x v="4"/>
    <x v="0"/>
    <n v="5"/>
    <n v="0"/>
    <x v="0"/>
    <n v="4"/>
    <n v="2"/>
    <x v="9"/>
    <x v="3"/>
    <n v="28"/>
    <n v="12"/>
    <x v="1"/>
    <n v="140"/>
    <n v="60"/>
    <n v="80"/>
    <n v="0.5714285714285714"/>
  </r>
  <r>
    <x v="16"/>
    <d v="2025-10-09T00:00:00"/>
    <s v="CUST-0226"/>
    <s v="PROD-003"/>
    <x v="1"/>
    <x v="1"/>
    <n v="2"/>
    <n v="0.15"/>
    <x v="0"/>
    <n v="3"/>
    <n v="4"/>
    <x v="10"/>
    <x v="0"/>
    <n v="75"/>
    <n v="38"/>
    <x v="0"/>
    <n v="127.5"/>
    <n v="76"/>
    <n v="51.5"/>
    <n v="0.40392156862745099"/>
  </r>
  <r>
    <x v="17"/>
    <d v="2025-06-06T00:00:00"/>
    <s v="CUST-0110"/>
    <s v="PROD-003"/>
    <x v="3"/>
    <x v="1"/>
    <n v="2"/>
    <n v="0"/>
    <x v="0"/>
    <n v="4"/>
    <n v="5"/>
    <x v="10"/>
    <x v="0"/>
    <n v="75"/>
    <n v="38"/>
    <x v="2"/>
    <n v="150"/>
    <n v="76"/>
    <n v="74"/>
    <n v="0.49333333333333335"/>
  </r>
  <r>
    <x v="18"/>
    <d v="2025-01-21T00:00:00"/>
    <s v="CUST-0295"/>
    <s v="PROD-013"/>
    <x v="4"/>
    <x v="2"/>
    <n v="1"/>
    <n v="0"/>
    <x v="0"/>
    <n v="5"/>
    <n v="5"/>
    <x v="4"/>
    <x v="2"/>
    <n v="32"/>
    <n v="13"/>
    <x v="0"/>
    <n v="32"/>
    <n v="13"/>
    <n v="19"/>
    <n v="0.59375"/>
  </r>
  <r>
    <x v="19"/>
    <d v="2026-07-14T00:00:00"/>
    <s v="CUST-0113"/>
    <s v="PROD-016"/>
    <x v="2"/>
    <x v="1"/>
    <n v="1"/>
    <n v="0"/>
    <x v="0"/>
    <n v="4"/>
    <n v="2"/>
    <x v="9"/>
    <x v="3"/>
    <n v="28"/>
    <n v="12"/>
    <x v="0"/>
    <n v="28"/>
    <n v="12"/>
    <n v="16"/>
    <n v="0.5714285714285714"/>
  </r>
  <r>
    <x v="20"/>
    <d v="2026-04-24T00:00:00"/>
    <s v="CUST-0066"/>
    <s v="PROD-001"/>
    <x v="0"/>
    <x v="0"/>
    <n v="3"/>
    <n v="0"/>
    <x v="0"/>
    <n v="5"/>
    <n v="2"/>
    <x v="2"/>
    <x v="0"/>
    <n v="1100"/>
    <n v="720"/>
    <x v="0"/>
    <n v="3300"/>
    <n v="2160"/>
    <n v="1140"/>
    <n v="0.34545454545454546"/>
  </r>
  <r>
    <x v="21"/>
    <d v="2025-02-21T00:00:00"/>
    <s v="CUST-0134"/>
    <s v="PROD-013"/>
    <x v="3"/>
    <x v="1"/>
    <n v="2"/>
    <n v="0.15"/>
    <x v="0"/>
    <n v="5"/>
    <n v="4"/>
    <x v="4"/>
    <x v="2"/>
    <n v="32"/>
    <n v="13"/>
    <x v="2"/>
    <n v="54.4"/>
    <n v="26"/>
    <n v="28.4"/>
    <n v="0.5220588235294118"/>
  </r>
  <r>
    <x v="22"/>
    <d v="2025-09-16T00:00:00"/>
    <s v="CUST-0042"/>
    <s v="PROD-016"/>
    <x v="2"/>
    <x v="0"/>
    <n v="8"/>
    <n v="0"/>
    <x v="0"/>
    <n v="5"/>
    <n v="1"/>
    <x v="9"/>
    <x v="3"/>
    <n v="28"/>
    <n v="12"/>
    <x v="1"/>
    <n v="224"/>
    <n v="96"/>
    <n v="128"/>
    <n v="0.5714285714285714"/>
  </r>
  <r>
    <x v="23"/>
    <d v="2025-02-01T00:00:00"/>
    <s v="CUST-0127"/>
    <s v="PROD-007"/>
    <x v="0"/>
    <x v="0"/>
    <n v="1"/>
    <n v="0.05"/>
    <x v="0"/>
    <n v="5"/>
    <n v="4"/>
    <x v="6"/>
    <x v="1"/>
    <n v="540"/>
    <n v="320"/>
    <x v="1"/>
    <n v="513"/>
    <n v="320"/>
    <n v="193"/>
    <n v="0.37621832358674462"/>
  </r>
  <r>
    <x v="24"/>
    <d v="2025-09-20T00:00:00"/>
    <s v="CUST-0189"/>
    <s v="PROD-006"/>
    <x v="1"/>
    <x v="2"/>
    <n v="4"/>
    <n v="0.1"/>
    <x v="0"/>
    <n v="4"/>
    <n v="5"/>
    <x v="7"/>
    <x v="0"/>
    <n v="98"/>
    <n v="46"/>
    <x v="1"/>
    <n v="352.8"/>
    <n v="184"/>
    <n v="168.8"/>
    <n v="0.47845804988662133"/>
  </r>
  <r>
    <x v="25"/>
    <d v="2025-01-27T00:00:00"/>
    <s v="CUST-0160"/>
    <s v="PROD-013"/>
    <x v="3"/>
    <x v="0"/>
    <n v="1"/>
    <n v="0.1"/>
    <x v="0"/>
    <n v="2"/>
    <n v="4"/>
    <x v="4"/>
    <x v="2"/>
    <n v="32"/>
    <n v="13"/>
    <x v="1"/>
    <n v="28.8"/>
    <n v="13"/>
    <n v="15.8"/>
    <n v="0.54861111111111116"/>
  </r>
  <r>
    <x v="26"/>
    <d v="2026-08-03T00:00:00"/>
    <s v="CUST-0022"/>
    <s v="PROD-012"/>
    <x v="4"/>
    <x v="0"/>
    <n v="1"/>
    <n v="0.05"/>
    <x v="0"/>
    <n v="4"/>
    <n v="4"/>
    <x v="11"/>
    <x v="2"/>
    <n v="68"/>
    <n v="31"/>
    <x v="0"/>
    <n v="64.599999999999994"/>
    <n v="31"/>
    <n v="33.599999999999994"/>
    <n v="0.52012383900928794"/>
  </r>
  <r>
    <x v="27"/>
    <d v="2025-04-19T00:00:00"/>
    <s v="CUST-0222"/>
    <s v="PROD-012"/>
    <x v="1"/>
    <x v="0"/>
    <n v="3"/>
    <n v="0"/>
    <x v="0"/>
    <n v="5"/>
    <n v="3"/>
    <x v="11"/>
    <x v="2"/>
    <n v="68"/>
    <n v="31"/>
    <x v="0"/>
    <n v="204"/>
    <n v="93"/>
    <n v="111"/>
    <n v="0.54411764705882348"/>
  </r>
  <r>
    <x v="28"/>
    <d v="2026-07-06T00:00:00"/>
    <s v="CUST-0248"/>
    <s v="PROD-015"/>
    <x v="4"/>
    <x v="0"/>
    <n v="1"/>
    <n v="0.15"/>
    <x v="0"/>
    <n v="2"/>
    <n v="6"/>
    <x v="12"/>
    <x v="3"/>
    <n v="23"/>
    <n v="10"/>
    <x v="1"/>
    <n v="19.55"/>
    <n v="10"/>
    <n v="9.5500000000000007"/>
    <n v="0.48849104859335041"/>
  </r>
  <r>
    <x v="29"/>
    <d v="2026-04-21T00:00:00"/>
    <s v="CUST-0292"/>
    <s v="PROD-013"/>
    <x v="3"/>
    <x v="0"/>
    <n v="2"/>
    <n v="0.05"/>
    <x v="0"/>
    <n v="4"/>
    <n v="3"/>
    <x v="4"/>
    <x v="2"/>
    <n v="32"/>
    <n v="13"/>
    <x v="0"/>
    <n v="60.8"/>
    <n v="26"/>
    <n v="34.799999999999997"/>
    <n v="0.57236842105263153"/>
  </r>
  <r>
    <x v="30"/>
    <d v="2025-10-10T00:00:00"/>
    <s v="CUST-0285"/>
    <s v="PROD-001"/>
    <x v="4"/>
    <x v="1"/>
    <n v="1"/>
    <n v="0"/>
    <x v="0"/>
    <n v="3"/>
    <n v="4"/>
    <x v="2"/>
    <x v="0"/>
    <n v="1100"/>
    <n v="720"/>
    <x v="1"/>
    <n v="1100"/>
    <n v="720"/>
    <n v="380"/>
    <n v="0.34545454545454546"/>
  </r>
  <r>
    <x v="31"/>
    <d v="2026-05-18T00:00:00"/>
    <s v="CUST-0230"/>
    <s v="PROD-001"/>
    <x v="2"/>
    <x v="1"/>
    <n v="3"/>
    <n v="0"/>
    <x v="0"/>
    <n v="4"/>
    <n v="5"/>
    <x v="2"/>
    <x v="0"/>
    <n v="1100"/>
    <n v="720"/>
    <x v="2"/>
    <n v="3300"/>
    <n v="2160"/>
    <n v="1140"/>
    <n v="0.34545454545454546"/>
  </r>
  <r>
    <x v="32"/>
    <d v="2025-12-19T00:00:00"/>
    <s v="CUST-0218"/>
    <s v="PROD-011"/>
    <x v="3"/>
    <x v="1"/>
    <n v="1"/>
    <n v="0"/>
    <x v="0"/>
    <n v="4"/>
    <n v="5"/>
    <x v="8"/>
    <x v="2"/>
    <n v="85"/>
    <n v="39"/>
    <x v="0"/>
    <n v="85"/>
    <n v="39"/>
    <n v="46"/>
    <n v="0.54117647058823526"/>
  </r>
  <r>
    <x v="33"/>
    <d v="2025-07-09T00:00:00"/>
    <s v="CUST-0099"/>
    <s v="PROD-007"/>
    <x v="1"/>
    <x v="1"/>
    <n v="3"/>
    <n v="0.1"/>
    <x v="0"/>
    <n v="5"/>
    <n v="2"/>
    <x v="6"/>
    <x v="1"/>
    <n v="540"/>
    <n v="320"/>
    <x v="2"/>
    <n v="1458"/>
    <n v="960"/>
    <n v="498"/>
    <n v="0.34156378600823045"/>
  </r>
  <r>
    <x v="34"/>
    <d v="2025-10-31T00:00:00"/>
    <s v="CUST-0117"/>
    <s v="PROD-012"/>
    <x v="2"/>
    <x v="1"/>
    <n v="2"/>
    <n v="0"/>
    <x v="1"/>
    <n v="4"/>
    <n v="6"/>
    <x v="11"/>
    <x v="2"/>
    <n v="68"/>
    <n v="31"/>
    <x v="1"/>
    <n v="136"/>
    <n v="62"/>
    <n v="74"/>
    <n v="0.54411764705882348"/>
  </r>
  <r>
    <x v="35"/>
    <d v="2025-04-16T00:00:00"/>
    <s v="CUST-0007"/>
    <s v="PROD-010"/>
    <x v="4"/>
    <x v="1"/>
    <n v="1"/>
    <n v="0"/>
    <x v="1"/>
    <n v="4"/>
    <n v="5"/>
    <x v="13"/>
    <x v="2"/>
    <n v="48"/>
    <n v="22"/>
    <x v="2"/>
    <n v="48"/>
    <n v="22"/>
    <n v="26"/>
    <n v="0.54166666666666663"/>
  </r>
  <r>
    <x v="36"/>
    <d v="2026-05-19T00:00:00"/>
    <s v="CUST-0038"/>
    <s v="PROD-002"/>
    <x v="2"/>
    <x v="0"/>
    <n v="7"/>
    <n v="0"/>
    <x v="0"/>
    <n v="4"/>
    <n v="4"/>
    <x v="0"/>
    <x v="0"/>
    <n v="310"/>
    <n v="190"/>
    <x v="0"/>
    <n v="2170"/>
    <n v="1330"/>
    <n v="840"/>
    <n v="0.38709677419354838"/>
  </r>
  <r>
    <x v="37"/>
    <d v="2025-08-20T00:00:00"/>
    <s v="CUST-0268"/>
    <s v="PROD-013"/>
    <x v="4"/>
    <x v="1"/>
    <n v="5"/>
    <n v="0.2"/>
    <x v="0"/>
    <n v="5"/>
    <n v="5"/>
    <x v="4"/>
    <x v="2"/>
    <n v="32"/>
    <n v="13"/>
    <x v="2"/>
    <n v="128"/>
    <n v="65"/>
    <n v="63"/>
    <n v="0.4921875"/>
  </r>
  <r>
    <x v="38"/>
    <d v="2025-04-12T00:00:00"/>
    <s v="CUST-0107"/>
    <s v="PROD-007"/>
    <x v="3"/>
    <x v="1"/>
    <n v="1"/>
    <n v="0.05"/>
    <x v="0"/>
    <n v="4"/>
    <n v="5"/>
    <x v="6"/>
    <x v="1"/>
    <n v="540"/>
    <n v="320"/>
    <x v="1"/>
    <n v="513"/>
    <n v="320"/>
    <n v="193"/>
    <n v="0.37621832358674462"/>
  </r>
  <r>
    <x v="39"/>
    <d v="2026-04-27T00:00:00"/>
    <s v="CUST-0150"/>
    <s v="PROD-002"/>
    <x v="3"/>
    <x v="0"/>
    <n v="3"/>
    <n v="0"/>
    <x v="0"/>
    <n v="5"/>
    <n v="5"/>
    <x v="0"/>
    <x v="0"/>
    <n v="310"/>
    <n v="190"/>
    <x v="1"/>
    <n v="930"/>
    <n v="570"/>
    <n v="360"/>
    <n v="0.38709677419354838"/>
  </r>
  <r>
    <x v="40"/>
    <d v="2025-07-22T00:00:00"/>
    <s v="CUST-0218"/>
    <s v="PROD-004"/>
    <x v="4"/>
    <x v="0"/>
    <n v="6"/>
    <n v="0.1"/>
    <x v="0"/>
    <n v="3"/>
    <n v="3"/>
    <x v="3"/>
    <x v="0"/>
    <n v="42"/>
    <n v="19"/>
    <x v="0"/>
    <n v="226.8"/>
    <n v="114"/>
    <n v="112.80000000000001"/>
    <n v="0.49735449735449738"/>
  </r>
  <r>
    <x v="41"/>
    <d v="2026-08-06T00:00:00"/>
    <s v="CUST-0148"/>
    <s v="PROD-015"/>
    <x v="2"/>
    <x v="0"/>
    <n v="3"/>
    <n v="0.2"/>
    <x v="0"/>
    <n v="4"/>
    <n v="1"/>
    <x v="12"/>
    <x v="3"/>
    <n v="23"/>
    <n v="10"/>
    <x v="0"/>
    <n v="55.2"/>
    <n v="30"/>
    <n v="25.200000000000003"/>
    <n v="0.45652173913043481"/>
  </r>
  <r>
    <x v="42"/>
    <d v="2025-02-10T00:00:00"/>
    <s v="CUST-0222"/>
    <s v="PROD-011"/>
    <x v="1"/>
    <x v="1"/>
    <n v="1"/>
    <n v="0.1"/>
    <x v="0"/>
    <n v="4"/>
    <n v="1"/>
    <x v="8"/>
    <x v="2"/>
    <n v="85"/>
    <n v="39"/>
    <x v="0"/>
    <n v="76.5"/>
    <n v="39"/>
    <n v="37.5"/>
    <n v="0.49019607843137253"/>
  </r>
  <r>
    <x v="43"/>
    <d v="2025-10-03T00:00:00"/>
    <s v="CUST-0296"/>
    <s v="PROD-002"/>
    <x v="1"/>
    <x v="1"/>
    <n v="2"/>
    <n v="0"/>
    <x v="0"/>
    <n v="5"/>
    <n v="4"/>
    <x v="0"/>
    <x v="0"/>
    <n v="310"/>
    <n v="190"/>
    <x v="0"/>
    <n v="620"/>
    <n v="380"/>
    <n v="240"/>
    <n v="0.38709677419354838"/>
  </r>
  <r>
    <x v="44"/>
    <d v="2026-05-19T00:00:00"/>
    <s v="CUST-0047"/>
    <s v="PROD-016"/>
    <x v="3"/>
    <x v="1"/>
    <n v="3"/>
    <n v="0.15"/>
    <x v="0"/>
    <n v="5"/>
    <n v="3"/>
    <x v="9"/>
    <x v="3"/>
    <n v="28"/>
    <n v="12"/>
    <x v="1"/>
    <n v="71.399999999999991"/>
    <n v="36"/>
    <n v="35.399999999999991"/>
    <n v="0.49579831932773105"/>
  </r>
  <r>
    <x v="45"/>
    <d v="2026-02-15T00:00:00"/>
    <s v="CUST-0282"/>
    <s v="PROD-002"/>
    <x v="4"/>
    <x v="1"/>
    <n v="2"/>
    <n v="0.2"/>
    <x v="0"/>
    <n v="4"/>
    <n v="1"/>
    <x v="0"/>
    <x v="0"/>
    <n v="310"/>
    <n v="190"/>
    <x v="1"/>
    <n v="496"/>
    <n v="380"/>
    <n v="116"/>
    <n v="0.23387096774193547"/>
  </r>
  <r>
    <x v="46"/>
    <d v="2026-07-10T00:00:00"/>
    <s v="CUST-0237"/>
    <s v="PROD-014"/>
    <x v="2"/>
    <x v="0"/>
    <n v="3"/>
    <n v="0.05"/>
    <x v="0"/>
    <n v="2"/>
    <n v="5"/>
    <x v="5"/>
    <x v="3"/>
    <n v="17"/>
    <n v="8"/>
    <x v="2"/>
    <n v="48.449999999999996"/>
    <n v="24"/>
    <n v="24.449999999999996"/>
    <n v="0.50464396284829716"/>
  </r>
  <r>
    <x v="47"/>
    <d v="2025-10-22T00:00:00"/>
    <s v="CUST-0225"/>
    <s v="PROD-016"/>
    <x v="2"/>
    <x v="2"/>
    <n v="3"/>
    <n v="0"/>
    <x v="0"/>
    <n v="4"/>
    <n v="5"/>
    <x v="9"/>
    <x v="3"/>
    <n v="28"/>
    <n v="12"/>
    <x v="1"/>
    <n v="84"/>
    <n v="36"/>
    <n v="48"/>
    <n v="0.5714285714285714"/>
  </r>
  <r>
    <x v="48"/>
    <d v="2026-02-22T00:00:00"/>
    <s v="CUST-0048"/>
    <s v="PROD-008"/>
    <x v="0"/>
    <x v="2"/>
    <n v="2"/>
    <n v="0"/>
    <x v="0"/>
    <n v="4"/>
    <n v="3"/>
    <x v="1"/>
    <x v="1"/>
    <n v="255"/>
    <n v="145"/>
    <x v="1"/>
    <n v="510"/>
    <n v="290"/>
    <n v="220"/>
    <n v="0.43137254901960786"/>
  </r>
  <r>
    <x v="49"/>
    <d v="2026-06-06T00:00:00"/>
    <s v="CUST-0140"/>
    <s v="PROD-014"/>
    <x v="0"/>
    <x v="2"/>
    <n v="1"/>
    <n v="0.05"/>
    <x v="0"/>
    <n v="5"/>
    <n v="5"/>
    <x v="5"/>
    <x v="3"/>
    <n v="17"/>
    <n v="8"/>
    <x v="1"/>
    <n v="16.149999999999999"/>
    <n v="8"/>
    <n v="8.1499999999999986"/>
    <n v="0.50464396284829716"/>
  </r>
  <r>
    <x v="50"/>
    <d v="2025-05-20T00:00:00"/>
    <s v="CUST-0036"/>
    <s v="PROD-009"/>
    <x v="0"/>
    <x v="2"/>
    <n v="2"/>
    <n v="0.1"/>
    <x v="0"/>
    <n v="1"/>
    <n v="7"/>
    <x v="14"/>
    <x v="1"/>
    <n v="185"/>
    <n v="105"/>
    <x v="0"/>
    <n v="333"/>
    <n v="210"/>
    <n v="123"/>
    <n v="0.36936936936936937"/>
  </r>
  <r>
    <x v="51"/>
    <d v="2025-06-02T00:00:00"/>
    <s v="CUST-0229"/>
    <s v="PROD-016"/>
    <x v="3"/>
    <x v="0"/>
    <n v="2"/>
    <n v="0"/>
    <x v="0"/>
    <n v="3"/>
    <n v="2"/>
    <x v="9"/>
    <x v="3"/>
    <n v="28"/>
    <n v="12"/>
    <x v="1"/>
    <n v="56"/>
    <n v="24"/>
    <n v="32"/>
    <n v="0.5714285714285714"/>
  </r>
  <r>
    <x v="52"/>
    <d v="2026-08-09T00:00:00"/>
    <s v="CUST-0197"/>
    <s v="PROD-008"/>
    <x v="0"/>
    <x v="1"/>
    <n v="1"/>
    <n v="0.05"/>
    <x v="1"/>
    <n v="4"/>
    <n v="6"/>
    <x v="1"/>
    <x v="1"/>
    <n v="255"/>
    <n v="145"/>
    <x v="0"/>
    <n v="242.25"/>
    <n v="145"/>
    <n v="97.25"/>
    <n v="0.40144478844169246"/>
  </r>
  <r>
    <x v="53"/>
    <d v="2025-02-07T00:00:00"/>
    <s v="CUST-0065"/>
    <s v="PROD-011"/>
    <x v="0"/>
    <x v="2"/>
    <n v="2"/>
    <n v="0.05"/>
    <x v="0"/>
    <n v="5"/>
    <n v="4"/>
    <x v="8"/>
    <x v="2"/>
    <n v="85"/>
    <n v="39"/>
    <x v="2"/>
    <n v="161.5"/>
    <n v="78"/>
    <n v="83.5"/>
    <n v="0.51702786377708976"/>
  </r>
  <r>
    <x v="54"/>
    <d v="2025-06-08T00:00:00"/>
    <s v="CUST-0039"/>
    <s v="PROD-016"/>
    <x v="0"/>
    <x v="1"/>
    <n v="3"/>
    <n v="0"/>
    <x v="0"/>
    <n v="4"/>
    <n v="5"/>
    <x v="9"/>
    <x v="3"/>
    <n v="28"/>
    <n v="12"/>
    <x v="2"/>
    <n v="84"/>
    <n v="36"/>
    <n v="48"/>
    <n v="0.5714285714285714"/>
  </r>
  <r>
    <x v="55"/>
    <d v="2026-01-25T00:00:00"/>
    <s v="CUST-0163"/>
    <s v="PROD-016"/>
    <x v="0"/>
    <x v="1"/>
    <n v="1"/>
    <n v="0.05"/>
    <x v="1"/>
    <n v="5"/>
    <n v="5"/>
    <x v="9"/>
    <x v="3"/>
    <n v="28"/>
    <n v="12"/>
    <x v="1"/>
    <n v="26.599999999999998"/>
    <n v="12"/>
    <n v="14.599999999999998"/>
    <n v="0.54887218045112773"/>
  </r>
  <r>
    <x v="56"/>
    <d v="2025-04-11T00:00:00"/>
    <s v="CUST-0052"/>
    <s v="PROD-015"/>
    <x v="2"/>
    <x v="1"/>
    <n v="1"/>
    <n v="0"/>
    <x v="0"/>
    <n v="4"/>
    <n v="4"/>
    <x v="12"/>
    <x v="3"/>
    <n v="23"/>
    <n v="10"/>
    <x v="1"/>
    <n v="23"/>
    <n v="10"/>
    <n v="13"/>
    <n v="0.56521739130434778"/>
  </r>
  <r>
    <x v="57"/>
    <d v="2025-05-30T00:00:00"/>
    <s v="CUST-0126"/>
    <s v="PROD-014"/>
    <x v="4"/>
    <x v="0"/>
    <n v="1"/>
    <n v="0"/>
    <x v="0"/>
    <n v="5"/>
    <n v="2"/>
    <x v="5"/>
    <x v="3"/>
    <n v="17"/>
    <n v="8"/>
    <x v="1"/>
    <n v="17"/>
    <n v="8"/>
    <n v="9"/>
    <n v="0.52941176470588236"/>
  </r>
  <r>
    <x v="58"/>
    <d v="2026-05-25T00:00:00"/>
    <s v="CUST-0299"/>
    <s v="PROD-005"/>
    <x v="3"/>
    <x v="0"/>
    <n v="2"/>
    <n v="0.1"/>
    <x v="0"/>
    <n v="4"/>
    <n v="3"/>
    <x v="15"/>
    <x v="0"/>
    <n v="115"/>
    <n v="58"/>
    <x v="1"/>
    <n v="207"/>
    <n v="116"/>
    <n v="91"/>
    <n v="0.43961352657004832"/>
  </r>
  <r>
    <x v="59"/>
    <d v="2026-07-14T00:00:00"/>
    <s v="CUST-0081"/>
    <s v="PROD-003"/>
    <x v="4"/>
    <x v="1"/>
    <n v="3"/>
    <n v="0.05"/>
    <x v="0"/>
    <n v="4"/>
    <n v="3"/>
    <x v="10"/>
    <x v="0"/>
    <n v="75"/>
    <n v="38"/>
    <x v="0"/>
    <n v="213.75"/>
    <n v="114"/>
    <n v="99.75"/>
    <n v="0.46666666666666667"/>
  </r>
  <r>
    <x v="60"/>
    <d v="2025-07-23T00:00:00"/>
    <s v="CUST-0197"/>
    <s v="PROD-016"/>
    <x v="2"/>
    <x v="1"/>
    <n v="2"/>
    <n v="0"/>
    <x v="0"/>
    <n v="1"/>
    <n v="7"/>
    <x v="9"/>
    <x v="3"/>
    <n v="28"/>
    <n v="12"/>
    <x v="0"/>
    <n v="56"/>
    <n v="24"/>
    <n v="32"/>
    <n v="0.5714285714285714"/>
  </r>
  <r>
    <x v="61"/>
    <d v="2025-01-09T00:00:00"/>
    <s v="CUST-0290"/>
    <s v="PROD-002"/>
    <x v="0"/>
    <x v="0"/>
    <n v="5"/>
    <n v="0.15"/>
    <x v="0"/>
    <n v="3"/>
    <n v="3"/>
    <x v="0"/>
    <x v="0"/>
    <n v="310"/>
    <n v="190"/>
    <x v="1"/>
    <n v="1317.5"/>
    <n v="950"/>
    <n v="367.5"/>
    <n v="0.27893738140417457"/>
  </r>
  <r>
    <x v="62"/>
    <d v="2025-08-13T00:00:00"/>
    <s v="CUST-0098"/>
    <s v="PROD-009"/>
    <x v="1"/>
    <x v="0"/>
    <n v="3"/>
    <n v="0.15"/>
    <x v="0"/>
    <n v="5"/>
    <n v="1"/>
    <x v="14"/>
    <x v="1"/>
    <n v="185"/>
    <n v="105"/>
    <x v="0"/>
    <n v="471.75"/>
    <n v="315"/>
    <n v="156.75"/>
    <n v="0.33227344992050872"/>
  </r>
  <r>
    <x v="63"/>
    <d v="2025-11-13T00:00:00"/>
    <s v="CUST-0226"/>
    <s v="PROD-002"/>
    <x v="4"/>
    <x v="0"/>
    <n v="1"/>
    <n v="0"/>
    <x v="0"/>
    <n v="3"/>
    <n v="2"/>
    <x v="0"/>
    <x v="0"/>
    <n v="310"/>
    <n v="190"/>
    <x v="0"/>
    <n v="310"/>
    <n v="190"/>
    <n v="120"/>
    <n v="0.38709677419354838"/>
  </r>
  <r>
    <x v="64"/>
    <d v="2026-07-07T00:00:00"/>
    <s v="CUST-0188"/>
    <s v="PROD-009"/>
    <x v="0"/>
    <x v="1"/>
    <n v="5"/>
    <n v="0.05"/>
    <x v="0"/>
    <n v="5"/>
    <n v="3"/>
    <x v="14"/>
    <x v="1"/>
    <n v="185"/>
    <n v="105"/>
    <x v="1"/>
    <n v="878.75"/>
    <n v="525"/>
    <n v="353.75"/>
    <n v="0.40256045519203415"/>
  </r>
  <r>
    <x v="65"/>
    <d v="2025-04-28T00:00:00"/>
    <s v="CUST-0240"/>
    <s v="PROD-003"/>
    <x v="2"/>
    <x v="2"/>
    <n v="5"/>
    <n v="0.1"/>
    <x v="1"/>
    <n v="5"/>
    <n v="8"/>
    <x v="10"/>
    <x v="0"/>
    <n v="75"/>
    <n v="38"/>
    <x v="0"/>
    <n v="337.5"/>
    <n v="190"/>
    <n v="147.5"/>
    <n v="0.43703703703703706"/>
  </r>
  <r>
    <x v="66"/>
    <d v="2025-04-03T00:00:00"/>
    <s v="CUST-0203"/>
    <s v="PROD-001"/>
    <x v="3"/>
    <x v="1"/>
    <n v="2"/>
    <n v="0.1"/>
    <x v="0"/>
    <n v="4"/>
    <n v="3"/>
    <x v="2"/>
    <x v="0"/>
    <n v="1100"/>
    <n v="720"/>
    <x v="2"/>
    <n v="1980"/>
    <n v="1440"/>
    <n v="540"/>
    <n v="0.27272727272727271"/>
  </r>
  <r>
    <x v="67"/>
    <d v="2025-04-21T00:00:00"/>
    <s v="CUST-0120"/>
    <s v="PROD-016"/>
    <x v="2"/>
    <x v="2"/>
    <n v="3"/>
    <n v="0.15"/>
    <x v="0"/>
    <n v="2"/>
    <n v="7"/>
    <x v="9"/>
    <x v="3"/>
    <n v="28"/>
    <n v="12"/>
    <x v="1"/>
    <n v="71.399999999999991"/>
    <n v="36"/>
    <n v="35.399999999999991"/>
    <n v="0.49579831932773105"/>
  </r>
  <r>
    <x v="68"/>
    <d v="2026-02-23T00:00:00"/>
    <s v="CUST-0060"/>
    <s v="PROD-005"/>
    <x v="2"/>
    <x v="1"/>
    <n v="8"/>
    <n v="0"/>
    <x v="0"/>
    <n v="4"/>
    <n v="4"/>
    <x v="15"/>
    <x v="0"/>
    <n v="115"/>
    <n v="58"/>
    <x v="1"/>
    <n v="920"/>
    <n v="464"/>
    <n v="456"/>
    <n v="0.4956521739130435"/>
  </r>
  <r>
    <x v="69"/>
    <d v="2026-04-10T00:00:00"/>
    <s v="CUST-0190"/>
    <s v="PROD-014"/>
    <x v="4"/>
    <x v="0"/>
    <n v="5"/>
    <n v="0.05"/>
    <x v="0"/>
    <n v="5"/>
    <n v="3"/>
    <x v="5"/>
    <x v="3"/>
    <n v="17"/>
    <n v="8"/>
    <x v="1"/>
    <n v="80.75"/>
    <n v="40"/>
    <n v="40.75"/>
    <n v="0.50464396284829727"/>
  </r>
  <r>
    <x v="70"/>
    <d v="2025-02-03T00:00:00"/>
    <s v="CUST-0190"/>
    <s v="PROD-007"/>
    <x v="4"/>
    <x v="2"/>
    <n v="5"/>
    <n v="0"/>
    <x v="0"/>
    <n v="4"/>
    <n v="3"/>
    <x v="6"/>
    <x v="1"/>
    <n v="540"/>
    <n v="320"/>
    <x v="1"/>
    <n v="2700"/>
    <n v="1600"/>
    <n v="1100"/>
    <n v="0.40740740740740738"/>
  </r>
  <r>
    <x v="71"/>
    <d v="2025-03-04T00:00:00"/>
    <s v="CUST-0204"/>
    <s v="PROD-009"/>
    <x v="2"/>
    <x v="1"/>
    <n v="5"/>
    <n v="0"/>
    <x v="0"/>
    <n v="5"/>
    <n v="5"/>
    <x v="14"/>
    <x v="1"/>
    <n v="185"/>
    <n v="105"/>
    <x v="1"/>
    <n v="925"/>
    <n v="525"/>
    <n v="400"/>
    <n v="0.43243243243243246"/>
  </r>
  <r>
    <x v="72"/>
    <d v="2025-01-22T00:00:00"/>
    <s v="CUST-0026"/>
    <s v="PROD-011"/>
    <x v="3"/>
    <x v="1"/>
    <n v="3"/>
    <n v="0"/>
    <x v="0"/>
    <n v="3"/>
    <n v="2"/>
    <x v="8"/>
    <x v="2"/>
    <n v="85"/>
    <n v="39"/>
    <x v="1"/>
    <n v="255"/>
    <n v="117"/>
    <n v="138"/>
    <n v="0.54117647058823526"/>
  </r>
  <r>
    <x v="73"/>
    <d v="2025-08-27T00:00:00"/>
    <s v="CUST-0169"/>
    <s v="PROD-005"/>
    <x v="0"/>
    <x v="0"/>
    <n v="1"/>
    <n v="0.2"/>
    <x v="1"/>
    <n v="4"/>
    <n v="3"/>
    <x v="15"/>
    <x v="0"/>
    <n v="115"/>
    <n v="58"/>
    <x v="1"/>
    <n v="92"/>
    <n v="58"/>
    <n v="34"/>
    <n v="0.36956521739130432"/>
  </r>
  <r>
    <x v="74"/>
    <d v="2025-01-27T00:00:00"/>
    <s v="CUST-0068"/>
    <s v="PROD-001"/>
    <x v="3"/>
    <x v="0"/>
    <n v="3"/>
    <n v="0"/>
    <x v="0"/>
    <n v="3"/>
    <n v="4"/>
    <x v="2"/>
    <x v="0"/>
    <n v="1100"/>
    <n v="720"/>
    <x v="1"/>
    <n v="3300"/>
    <n v="2160"/>
    <n v="1140"/>
    <n v="0.34545454545454546"/>
  </r>
  <r>
    <x v="75"/>
    <d v="2026-06-23T00:00:00"/>
    <s v="CUST-0059"/>
    <s v="PROD-003"/>
    <x v="4"/>
    <x v="0"/>
    <n v="2"/>
    <n v="0"/>
    <x v="0"/>
    <n v="5"/>
    <n v="1"/>
    <x v="10"/>
    <x v="0"/>
    <n v="75"/>
    <n v="38"/>
    <x v="1"/>
    <n v="150"/>
    <n v="76"/>
    <n v="74"/>
    <n v="0.49333333333333335"/>
  </r>
  <r>
    <x v="76"/>
    <d v="2026-06-18T00:00:00"/>
    <s v="CUST-0155"/>
    <s v="PROD-015"/>
    <x v="1"/>
    <x v="1"/>
    <n v="8"/>
    <n v="0.15"/>
    <x v="0"/>
    <n v="2"/>
    <n v="5"/>
    <x v="12"/>
    <x v="3"/>
    <n v="23"/>
    <n v="10"/>
    <x v="1"/>
    <n v="156.4"/>
    <n v="80"/>
    <n v="76.400000000000006"/>
    <n v="0.48849104859335041"/>
  </r>
  <r>
    <x v="77"/>
    <d v="2025-03-24T00:00:00"/>
    <s v="CUST-0165"/>
    <s v="PROD-005"/>
    <x v="2"/>
    <x v="1"/>
    <n v="3"/>
    <n v="0.05"/>
    <x v="0"/>
    <n v="5"/>
    <n v="5"/>
    <x v="15"/>
    <x v="0"/>
    <n v="115"/>
    <n v="58"/>
    <x v="2"/>
    <n v="327.75"/>
    <n v="174"/>
    <n v="153.75"/>
    <n v="0.46910755148741418"/>
  </r>
  <r>
    <x v="78"/>
    <d v="2025-10-29T00:00:00"/>
    <s v="CUST-0233"/>
    <s v="PROD-014"/>
    <x v="2"/>
    <x v="0"/>
    <n v="5"/>
    <n v="0.05"/>
    <x v="0"/>
    <n v="5"/>
    <n v="2"/>
    <x v="5"/>
    <x v="3"/>
    <n v="17"/>
    <n v="8"/>
    <x v="0"/>
    <n v="80.75"/>
    <n v="40"/>
    <n v="40.75"/>
    <n v="0.50464396284829727"/>
  </r>
  <r>
    <x v="79"/>
    <d v="2026-03-17T00:00:00"/>
    <s v="CUST-0232"/>
    <s v="PROD-008"/>
    <x v="3"/>
    <x v="0"/>
    <n v="2"/>
    <n v="0.1"/>
    <x v="0"/>
    <n v="4"/>
    <n v="3"/>
    <x v="1"/>
    <x v="1"/>
    <n v="255"/>
    <n v="145"/>
    <x v="1"/>
    <n v="459"/>
    <n v="290"/>
    <n v="169"/>
    <n v="0.36819172113289761"/>
  </r>
  <r>
    <x v="80"/>
    <d v="2026-01-19T00:00:00"/>
    <s v="CUST-0079"/>
    <s v="PROD-016"/>
    <x v="2"/>
    <x v="2"/>
    <n v="1"/>
    <n v="0"/>
    <x v="0"/>
    <n v="5"/>
    <n v="5"/>
    <x v="9"/>
    <x v="3"/>
    <n v="28"/>
    <n v="12"/>
    <x v="1"/>
    <n v="28"/>
    <n v="12"/>
    <n v="16"/>
    <n v="0.5714285714285714"/>
  </r>
  <r>
    <x v="81"/>
    <d v="2025-03-03T00:00:00"/>
    <s v="CUST-0288"/>
    <s v="PROD-011"/>
    <x v="1"/>
    <x v="1"/>
    <n v="5"/>
    <n v="0.2"/>
    <x v="0"/>
    <n v="5"/>
    <n v="1"/>
    <x v="8"/>
    <x v="2"/>
    <n v="85"/>
    <n v="39"/>
    <x v="1"/>
    <n v="340"/>
    <n v="195"/>
    <n v="145"/>
    <n v="0.4264705882352941"/>
  </r>
  <r>
    <x v="82"/>
    <d v="2025-10-22T00:00:00"/>
    <s v="CUST-0160"/>
    <s v="PROD-012"/>
    <x v="2"/>
    <x v="0"/>
    <n v="1"/>
    <n v="0.05"/>
    <x v="0"/>
    <n v="4"/>
    <n v="5"/>
    <x v="11"/>
    <x v="2"/>
    <n v="68"/>
    <n v="31"/>
    <x v="1"/>
    <n v="64.599999999999994"/>
    <n v="31"/>
    <n v="33.599999999999994"/>
    <n v="0.52012383900928794"/>
  </r>
  <r>
    <x v="83"/>
    <d v="2026-01-12T00:00:00"/>
    <s v="CUST-0059"/>
    <s v="PROD-009"/>
    <x v="4"/>
    <x v="0"/>
    <n v="5"/>
    <n v="0.2"/>
    <x v="0"/>
    <n v="5"/>
    <n v="5"/>
    <x v="14"/>
    <x v="1"/>
    <n v="185"/>
    <n v="105"/>
    <x v="1"/>
    <n v="740"/>
    <n v="525"/>
    <n v="215"/>
    <n v="0.29054054054054052"/>
  </r>
  <r>
    <x v="84"/>
    <d v="2025-01-27T00:00:00"/>
    <s v="CUST-0137"/>
    <s v="PROD-001"/>
    <x v="2"/>
    <x v="0"/>
    <n v="1"/>
    <n v="0"/>
    <x v="0"/>
    <n v="5"/>
    <n v="5"/>
    <x v="2"/>
    <x v="0"/>
    <n v="1100"/>
    <n v="720"/>
    <x v="1"/>
    <n v="1100"/>
    <n v="720"/>
    <n v="380"/>
    <n v="0.34545454545454546"/>
  </r>
  <r>
    <x v="85"/>
    <d v="2026-02-15T00:00:00"/>
    <s v="CUST-0036"/>
    <s v="PROD-005"/>
    <x v="1"/>
    <x v="2"/>
    <n v="1"/>
    <n v="0.05"/>
    <x v="0"/>
    <n v="4"/>
    <n v="2"/>
    <x v="15"/>
    <x v="0"/>
    <n v="115"/>
    <n v="58"/>
    <x v="0"/>
    <n v="109.25"/>
    <n v="58"/>
    <n v="51.25"/>
    <n v="0.46910755148741418"/>
  </r>
  <r>
    <x v="86"/>
    <d v="2026-01-14T00:00:00"/>
    <s v="CUST-0160"/>
    <s v="PROD-011"/>
    <x v="0"/>
    <x v="0"/>
    <n v="1"/>
    <n v="0"/>
    <x v="0"/>
    <n v="5"/>
    <n v="1"/>
    <x v="8"/>
    <x v="2"/>
    <n v="85"/>
    <n v="39"/>
    <x v="1"/>
    <n v="85"/>
    <n v="39"/>
    <n v="46"/>
    <n v="0.54117647058823526"/>
  </r>
  <r>
    <x v="87"/>
    <d v="2025-10-06T00:00:00"/>
    <s v="CUST-0227"/>
    <s v="PROD-014"/>
    <x v="4"/>
    <x v="1"/>
    <n v="1"/>
    <n v="0.1"/>
    <x v="0"/>
    <n v="4"/>
    <n v="3"/>
    <x v="5"/>
    <x v="3"/>
    <n v="17"/>
    <n v="8"/>
    <x v="0"/>
    <n v="15.3"/>
    <n v="8"/>
    <n v="7.3000000000000007"/>
    <n v="0.47712418300653597"/>
  </r>
  <r>
    <x v="88"/>
    <d v="2026-08-31T00:00:00"/>
    <s v="CUST-0250"/>
    <s v="PROD-010"/>
    <x v="2"/>
    <x v="1"/>
    <n v="3"/>
    <n v="0"/>
    <x v="0"/>
    <n v="3"/>
    <n v="2"/>
    <x v="13"/>
    <x v="2"/>
    <n v="48"/>
    <n v="22"/>
    <x v="1"/>
    <n v="144"/>
    <n v="66"/>
    <n v="78"/>
    <n v="0.54166666666666663"/>
  </r>
  <r>
    <x v="89"/>
    <d v="2025-09-19T00:00:00"/>
    <s v="CUST-0149"/>
    <s v="PROD-011"/>
    <x v="2"/>
    <x v="0"/>
    <n v="2"/>
    <n v="0"/>
    <x v="0"/>
    <n v="3"/>
    <n v="5"/>
    <x v="8"/>
    <x v="2"/>
    <n v="85"/>
    <n v="39"/>
    <x v="1"/>
    <n v="170"/>
    <n v="78"/>
    <n v="92"/>
    <n v="0.54117647058823526"/>
  </r>
  <r>
    <x v="90"/>
    <d v="2025-12-29T00:00:00"/>
    <s v="CUST-0037"/>
    <s v="PROD-013"/>
    <x v="0"/>
    <x v="1"/>
    <n v="1"/>
    <n v="0.15"/>
    <x v="0"/>
    <n v="4"/>
    <n v="5"/>
    <x v="4"/>
    <x v="2"/>
    <n v="32"/>
    <n v="13"/>
    <x v="2"/>
    <n v="27.2"/>
    <n v="13"/>
    <n v="14.2"/>
    <n v="0.5220588235294118"/>
  </r>
  <r>
    <x v="91"/>
    <d v="2026-02-19T00:00:00"/>
    <s v="CUST-0214"/>
    <s v="PROD-010"/>
    <x v="2"/>
    <x v="1"/>
    <n v="2"/>
    <n v="0.1"/>
    <x v="0"/>
    <n v="5"/>
    <n v="3"/>
    <x v="13"/>
    <x v="2"/>
    <n v="48"/>
    <n v="22"/>
    <x v="1"/>
    <n v="86.4"/>
    <n v="44"/>
    <n v="42.400000000000006"/>
    <n v="0.49074074074074076"/>
  </r>
  <r>
    <x v="92"/>
    <d v="2025-04-01T00:00:00"/>
    <s v="CUST-0224"/>
    <s v="PROD-004"/>
    <x v="3"/>
    <x v="0"/>
    <n v="2"/>
    <n v="0"/>
    <x v="0"/>
    <n v="4"/>
    <n v="3"/>
    <x v="3"/>
    <x v="0"/>
    <n v="42"/>
    <n v="19"/>
    <x v="0"/>
    <n v="84"/>
    <n v="38"/>
    <n v="46"/>
    <n v="0.54761904761904767"/>
  </r>
  <r>
    <x v="93"/>
    <d v="2025-06-22T00:00:00"/>
    <s v="CUST-0040"/>
    <s v="PROD-004"/>
    <x v="4"/>
    <x v="1"/>
    <n v="4"/>
    <n v="0"/>
    <x v="1"/>
    <n v="5"/>
    <n v="4"/>
    <x v="3"/>
    <x v="0"/>
    <n v="42"/>
    <n v="19"/>
    <x v="0"/>
    <n v="168"/>
    <n v="76"/>
    <n v="92"/>
    <n v="0.54761904761904767"/>
  </r>
  <r>
    <x v="94"/>
    <d v="2025-04-16T00:00:00"/>
    <s v="CUST-0075"/>
    <s v="PROD-009"/>
    <x v="2"/>
    <x v="0"/>
    <n v="4"/>
    <n v="0.05"/>
    <x v="0"/>
    <n v="5"/>
    <n v="4"/>
    <x v="14"/>
    <x v="1"/>
    <n v="185"/>
    <n v="105"/>
    <x v="0"/>
    <n v="703"/>
    <n v="420"/>
    <n v="283"/>
    <n v="0.40256045519203415"/>
  </r>
  <r>
    <x v="95"/>
    <d v="2026-04-21T00:00:00"/>
    <s v="CUST-0289"/>
    <s v="PROD-015"/>
    <x v="1"/>
    <x v="2"/>
    <n v="3"/>
    <n v="0.2"/>
    <x v="0"/>
    <n v="5"/>
    <n v="3"/>
    <x v="12"/>
    <x v="3"/>
    <n v="23"/>
    <n v="10"/>
    <x v="1"/>
    <n v="55.2"/>
    <n v="30"/>
    <n v="25.200000000000003"/>
    <n v="0.45652173913043481"/>
  </r>
  <r>
    <x v="96"/>
    <d v="2025-06-04T00:00:00"/>
    <s v="CUST-0226"/>
    <s v="PROD-003"/>
    <x v="4"/>
    <x v="0"/>
    <n v="4"/>
    <n v="0.05"/>
    <x v="0"/>
    <n v="2"/>
    <n v="8"/>
    <x v="10"/>
    <x v="0"/>
    <n v="75"/>
    <n v="38"/>
    <x v="0"/>
    <n v="285"/>
    <n v="152"/>
    <n v="133"/>
    <n v="0.46666666666666667"/>
  </r>
  <r>
    <x v="97"/>
    <d v="2025-02-08T00:00:00"/>
    <s v="CUST-0030"/>
    <s v="PROD-012"/>
    <x v="0"/>
    <x v="1"/>
    <n v="5"/>
    <n v="0.15"/>
    <x v="0"/>
    <n v="4"/>
    <n v="4"/>
    <x v="11"/>
    <x v="2"/>
    <n v="68"/>
    <n v="31"/>
    <x v="0"/>
    <n v="289"/>
    <n v="155"/>
    <n v="134"/>
    <n v="0.46366782006920415"/>
  </r>
  <r>
    <x v="98"/>
    <d v="2026-08-18T00:00:00"/>
    <s v="CUST-0284"/>
    <s v="PROD-002"/>
    <x v="4"/>
    <x v="0"/>
    <n v="3"/>
    <n v="0"/>
    <x v="0"/>
    <n v="3"/>
    <n v="1"/>
    <x v="0"/>
    <x v="0"/>
    <n v="310"/>
    <n v="190"/>
    <x v="1"/>
    <n v="930"/>
    <n v="570"/>
    <n v="360"/>
    <n v="0.38709677419354838"/>
  </r>
  <r>
    <x v="99"/>
    <d v="2026-04-07T00:00:00"/>
    <s v="CUST-0053"/>
    <s v="PROD-011"/>
    <x v="0"/>
    <x v="1"/>
    <n v="3"/>
    <n v="0"/>
    <x v="0"/>
    <n v="5"/>
    <n v="5"/>
    <x v="8"/>
    <x v="2"/>
    <n v="85"/>
    <n v="39"/>
    <x v="1"/>
    <n v="255"/>
    <n v="117"/>
    <n v="138"/>
    <n v="0.54117647058823526"/>
  </r>
  <r>
    <x v="100"/>
    <d v="2026-06-20T00:00:00"/>
    <s v="CUST-0082"/>
    <s v="PROD-012"/>
    <x v="3"/>
    <x v="1"/>
    <n v="2"/>
    <n v="0"/>
    <x v="0"/>
    <n v="5"/>
    <n v="3"/>
    <x v="11"/>
    <x v="2"/>
    <n v="68"/>
    <n v="31"/>
    <x v="1"/>
    <n v="136"/>
    <n v="62"/>
    <n v="74"/>
    <n v="0.54411764705882348"/>
  </r>
  <r>
    <x v="101"/>
    <d v="2025-03-09T00:00:00"/>
    <s v="CUST-0169"/>
    <s v="PROD-004"/>
    <x v="4"/>
    <x v="1"/>
    <n v="1"/>
    <n v="0.15"/>
    <x v="1"/>
    <n v="4"/>
    <n v="5"/>
    <x v="3"/>
    <x v="0"/>
    <n v="42"/>
    <n v="19"/>
    <x v="1"/>
    <n v="35.699999999999996"/>
    <n v="19"/>
    <n v="16.699999999999996"/>
    <n v="0.46778711484593832"/>
  </r>
  <r>
    <x v="102"/>
    <d v="2025-03-25T00:00:00"/>
    <s v="CUST-0299"/>
    <s v="PROD-005"/>
    <x v="0"/>
    <x v="1"/>
    <n v="3"/>
    <n v="0.1"/>
    <x v="0"/>
    <n v="5"/>
    <n v="1"/>
    <x v="15"/>
    <x v="0"/>
    <n v="115"/>
    <n v="58"/>
    <x v="1"/>
    <n v="310.5"/>
    <n v="174"/>
    <n v="136.5"/>
    <n v="0.43961352657004832"/>
  </r>
  <r>
    <x v="103"/>
    <d v="2025-11-14T00:00:00"/>
    <s v="CUST-0287"/>
    <s v="PROD-013"/>
    <x v="1"/>
    <x v="1"/>
    <n v="1"/>
    <n v="0.1"/>
    <x v="1"/>
    <n v="5"/>
    <n v="6"/>
    <x v="4"/>
    <x v="2"/>
    <n v="32"/>
    <n v="13"/>
    <x v="2"/>
    <n v="28.8"/>
    <n v="13"/>
    <n v="15.8"/>
    <n v="0.54861111111111116"/>
  </r>
  <r>
    <x v="104"/>
    <d v="2026-03-10T00:00:00"/>
    <s v="CUST-0261"/>
    <s v="PROD-012"/>
    <x v="2"/>
    <x v="1"/>
    <n v="7"/>
    <n v="0"/>
    <x v="0"/>
    <n v="3"/>
    <n v="2"/>
    <x v="11"/>
    <x v="2"/>
    <n v="68"/>
    <n v="31"/>
    <x v="2"/>
    <n v="476"/>
    <n v="217"/>
    <n v="259"/>
    <n v="0.54411764705882348"/>
  </r>
  <r>
    <x v="105"/>
    <d v="2025-06-08T00:00:00"/>
    <s v="CUST-0040"/>
    <s v="PROD-010"/>
    <x v="0"/>
    <x v="1"/>
    <n v="4"/>
    <n v="0.15"/>
    <x v="0"/>
    <n v="1"/>
    <n v="5"/>
    <x v="13"/>
    <x v="2"/>
    <n v="48"/>
    <n v="22"/>
    <x v="0"/>
    <n v="163.19999999999999"/>
    <n v="88"/>
    <n v="75.199999999999989"/>
    <n v="0.46078431372549017"/>
  </r>
  <r>
    <x v="106"/>
    <d v="2026-01-21T00:00:00"/>
    <s v="CUST-0079"/>
    <s v="PROD-006"/>
    <x v="2"/>
    <x v="0"/>
    <n v="3"/>
    <n v="0.15"/>
    <x v="0"/>
    <n v="2"/>
    <n v="5"/>
    <x v="7"/>
    <x v="0"/>
    <n v="98"/>
    <n v="46"/>
    <x v="1"/>
    <n v="249.9"/>
    <n v="138"/>
    <n v="111.9"/>
    <n v="0.44777911164465789"/>
  </r>
  <r>
    <x v="107"/>
    <d v="2026-03-31T00:00:00"/>
    <s v="CUST-0146"/>
    <s v="PROD-015"/>
    <x v="3"/>
    <x v="1"/>
    <n v="7"/>
    <n v="0.1"/>
    <x v="0"/>
    <n v="3"/>
    <n v="5"/>
    <x v="12"/>
    <x v="3"/>
    <n v="23"/>
    <n v="10"/>
    <x v="1"/>
    <n v="144.9"/>
    <n v="70"/>
    <n v="74.900000000000006"/>
    <n v="0.51690821256038644"/>
  </r>
  <r>
    <x v="108"/>
    <d v="2026-03-28T00:00:00"/>
    <s v="CUST-0237"/>
    <s v="PROD-010"/>
    <x v="0"/>
    <x v="0"/>
    <n v="2"/>
    <n v="0"/>
    <x v="0"/>
    <n v="4"/>
    <n v="3"/>
    <x v="13"/>
    <x v="2"/>
    <n v="48"/>
    <n v="22"/>
    <x v="2"/>
    <n v="96"/>
    <n v="44"/>
    <n v="52"/>
    <n v="0.54166666666666663"/>
  </r>
  <r>
    <x v="109"/>
    <d v="2025-02-23T00:00:00"/>
    <s v="CUST-0247"/>
    <s v="PROD-012"/>
    <x v="4"/>
    <x v="1"/>
    <n v="5"/>
    <n v="0.15"/>
    <x v="0"/>
    <n v="5"/>
    <n v="3"/>
    <x v="11"/>
    <x v="2"/>
    <n v="68"/>
    <n v="31"/>
    <x v="1"/>
    <n v="289"/>
    <n v="155"/>
    <n v="134"/>
    <n v="0.46366782006920415"/>
  </r>
  <r>
    <x v="110"/>
    <d v="2026-04-06T00:00:00"/>
    <s v="CUST-0263"/>
    <s v="PROD-005"/>
    <x v="0"/>
    <x v="1"/>
    <n v="6"/>
    <n v="0.1"/>
    <x v="0"/>
    <n v="5"/>
    <n v="4"/>
    <x v="15"/>
    <x v="0"/>
    <n v="115"/>
    <n v="58"/>
    <x v="1"/>
    <n v="621"/>
    <n v="348"/>
    <n v="273"/>
    <n v="0.43961352657004832"/>
  </r>
  <r>
    <x v="111"/>
    <d v="2025-02-24T00:00:00"/>
    <s v="CUST-0203"/>
    <s v="PROD-012"/>
    <x v="3"/>
    <x v="2"/>
    <n v="2"/>
    <n v="0"/>
    <x v="1"/>
    <n v="5"/>
    <n v="5"/>
    <x v="11"/>
    <x v="2"/>
    <n v="68"/>
    <n v="31"/>
    <x v="2"/>
    <n v="136"/>
    <n v="62"/>
    <n v="74"/>
    <n v="0.54411764705882348"/>
  </r>
  <r>
    <x v="112"/>
    <d v="2025-05-21T00:00:00"/>
    <s v="CUST-0020"/>
    <s v="PROD-010"/>
    <x v="0"/>
    <x v="1"/>
    <n v="5"/>
    <n v="0.1"/>
    <x v="0"/>
    <n v="5"/>
    <n v="1"/>
    <x v="13"/>
    <x v="2"/>
    <n v="48"/>
    <n v="22"/>
    <x v="1"/>
    <n v="216"/>
    <n v="110"/>
    <n v="106"/>
    <n v="0.49074074074074076"/>
  </r>
  <r>
    <x v="113"/>
    <d v="2025-01-20T00:00:00"/>
    <s v="CUST-0132"/>
    <s v="PROD-007"/>
    <x v="0"/>
    <x v="0"/>
    <n v="4"/>
    <n v="0.05"/>
    <x v="0"/>
    <n v="4"/>
    <n v="3"/>
    <x v="6"/>
    <x v="1"/>
    <n v="540"/>
    <n v="320"/>
    <x v="1"/>
    <n v="2052"/>
    <n v="1280"/>
    <n v="772"/>
    <n v="0.37621832358674462"/>
  </r>
  <r>
    <x v="114"/>
    <d v="2025-05-05T00:00:00"/>
    <s v="CUST-0025"/>
    <s v="PROD-008"/>
    <x v="3"/>
    <x v="0"/>
    <n v="2"/>
    <n v="0"/>
    <x v="0"/>
    <n v="4"/>
    <n v="1"/>
    <x v="1"/>
    <x v="1"/>
    <n v="255"/>
    <n v="145"/>
    <x v="2"/>
    <n v="510"/>
    <n v="290"/>
    <n v="220"/>
    <n v="0.43137254901960786"/>
  </r>
  <r>
    <x v="115"/>
    <d v="2026-06-12T00:00:00"/>
    <s v="CUST-0295"/>
    <s v="PROD-008"/>
    <x v="1"/>
    <x v="1"/>
    <n v="1"/>
    <n v="0"/>
    <x v="0"/>
    <n v="3"/>
    <n v="1"/>
    <x v="1"/>
    <x v="1"/>
    <n v="255"/>
    <n v="145"/>
    <x v="0"/>
    <n v="255"/>
    <n v="145"/>
    <n v="110"/>
    <n v="0.43137254901960786"/>
  </r>
  <r>
    <x v="116"/>
    <d v="2026-06-21T00:00:00"/>
    <s v="CUST-0185"/>
    <s v="PROD-003"/>
    <x v="0"/>
    <x v="0"/>
    <n v="4"/>
    <n v="0.05"/>
    <x v="0"/>
    <n v="5"/>
    <n v="1"/>
    <x v="10"/>
    <x v="0"/>
    <n v="75"/>
    <n v="38"/>
    <x v="1"/>
    <n v="285"/>
    <n v="152"/>
    <n v="133"/>
    <n v="0.46666666666666667"/>
  </r>
  <r>
    <x v="117"/>
    <d v="2026-02-01T00:00:00"/>
    <s v="CUST-0192"/>
    <s v="PROD-009"/>
    <x v="1"/>
    <x v="1"/>
    <n v="1"/>
    <n v="0"/>
    <x v="0"/>
    <n v="2"/>
    <n v="8"/>
    <x v="14"/>
    <x v="1"/>
    <n v="185"/>
    <n v="105"/>
    <x v="1"/>
    <n v="185"/>
    <n v="105"/>
    <n v="80"/>
    <n v="0.43243243243243246"/>
  </r>
  <r>
    <x v="118"/>
    <d v="2025-05-17T00:00:00"/>
    <s v="CUST-0023"/>
    <s v="PROD-012"/>
    <x v="4"/>
    <x v="0"/>
    <n v="1"/>
    <n v="0.1"/>
    <x v="0"/>
    <n v="5"/>
    <n v="2"/>
    <x v="11"/>
    <x v="2"/>
    <n v="68"/>
    <n v="31"/>
    <x v="1"/>
    <n v="61.2"/>
    <n v="31"/>
    <n v="30.200000000000003"/>
    <n v="0.49346405228758172"/>
  </r>
  <r>
    <x v="119"/>
    <d v="2025-05-19T00:00:00"/>
    <s v="CUST-0033"/>
    <s v="PROD-015"/>
    <x v="2"/>
    <x v="1"/>
    <n v="4"/>
    <n v="0.15"/>
    <x v="0"/>
    <n v="4"/>
    <n v="4"/>
    <x v="12"/>
    <x v="3"/>
    <n v="23"/>
    <n v="10"/>
    <x v="0"/>
    <n v="78.2"/>
    <n v="40"/>
    <n v="38.200000000000003"/>
    <n v="0.48849104859335041"/>
  </r>
  <r>
    <x v="120"/>
    <d v="2026-07-11T00:00:00"/>
    <s v="CUST-0243"/>
    <s v="PROD-009"/>
    <x v="2"/>
    <x v="0"/>
    <n v="1"/>
    <n v="0.15"/>
    <x v="0"/>
    <n v="5"/>
    <n v="3"/>
    <x v="14"/>
    <x v="1"/>
    <n v="185"/>
    <n v="105"/>
    <x v="0"/>
    <n v="157.25"/>
    <n v="105"/>
    <n v="52.25"/>
    <n v="0.33227344992050872"/>
  </r>
  <r>
    <x v="121"/>
    <d v="2025-05-08T00:00:00"/>
    <s v="CUST-0189"/>
    <s v="PROD-014"/>
    <x v="0"/>
    <x v="0"/>
    <n v="6"/>
    <n v="0"/>
    <x v="1"/>
    <n v="4"/>
    <n v="7"/>
    <x v="5"/>
    <x v="3"/>
    <n v="17"/>
    <n v="8"/>
    <x v="1"/>
    <n v="102"/>
    <n v="48"/>
    <n v="54"/>
    <n v="0.52941176470588236"/>
  </r>
  <r>
    <x v="122"/>
    <d v="2026-06-16T00:00:00"/>
    <s v="CUST-0137"/>
    <s v="PROD-003"/>
    <x v="1"/>
    <x v="1"/>
    <n v="3"/>
    <n v="0.1"/>
    <x v="0"/>
    <n v="4"/>
    <n v="1"/>
    <x v="10"/>
    <x v="0"/>
    <n v="75"/>
    <n v="38"/>
    <x v="1"/>
    <n v="202.5"/>
    <n v="114"/>
    <n v="88.5"/>
    <n v="0.43703703703703706"/>
  </r>
  <r>
    <x v="123"/>
    <d v="2025-12-02T00:00:00"/>
    <s v="CUST-0152"/>
    <s v="PROD-010"/>
    <x v="4"/>
    <x v="0"/>
    <n v="1"/>
    <n v="0"/>
    <x v="0"/>
    <n v="5"/>
    <n v="3"/>
    <x v="13"/>
    <x v="2"/>
    <n v="48"/>
    <n v="22"/>
    <x v="0"/>
    <n v="48"/>
    <n v="22"/>
    <n v="26"/>
    <n v="0.54166666666666663"/>
  </r>
  <r>
    <x v="124"/>
    <d v="2026-03-22T00:00:00"/>
    <s v="CUST-0141"/>
    <s v="PROD-002"/>
    <x v="2"/>
    <x v="0"/>
    <n v="2"/>
    <n v="0.1"/>
    <x v="0"/>
    <n v="5"/>
    <n v="2"/>
    <x v="0"/>
    <x v="0"/>
    <n v="310"/>
    <n v="190"/>
    <x v="1"/>
    <n v="558"/>
    <n v="380"/>
    <n v="178"/>
    <n v="0.31899641577060933"/>
  </r>
  <r>
    <x v="125"/>
    <d v="2026-03-25T00:00:00"/>
    <s v="CUST-0018"/>
    <s v="PROD-005"/>
    <x v="2"/>
    <x v="0"/>
    <n v="2"/>
    <n v="0"/>
    <x v="0"/>
    <n v="4"/>
    <n v="4"/>
    <x v="15"/>
    <x v="0"/>
    <n v="115"/>
    <n v="58"/>
    <x v="0"/>
    <n v="230"/>
    <n v="116"/>
    <n v="114"/>
    <n v="0.4956521739130435"/>
  </r>
  <r>
    <x v="126"/>
    <d v="2026-01-15T00:00:00"/>
    <s v="CUST-0191"/>
    <s v="PROD-015"/>
    <x v="1"/>
    <x v="0"/>
    <n v="2"/>
    <n v="0"/>
    <x v="0"/>
    <n v="3"/>
    <n v="1"/>
    <x v="12"/>
    <x v="3"/>
    <n v="23"/>
    <n v="10"/>
    <x v="1"/>
    <n v="46"/>
    <n v="20"/>
    <n v="26"/>
    <n v="0.56521739130434778"/>
  </r>
  <r>
    <x v="127"/>
    <d v="2025-01-27T00:00:00"/>
    <s v="CUST-0096"/>
    <s v="PROD-016"/>
    <x v="4"/>
    <x v="2"/>
    <n v="1"/>
    <n v="0.1"/>
    <x v="0"/>
    <n v="3"/>
    <n v="5"/>
    <x v="9"/>
    <x v="3"/>
    <n v="28"/>
    <n v="12"/>
    <x v="1"/>
    <n v="25.2"/>
    <n v="12"/>
    <n v="13.2"/>
    <n v="0.52380952380952384"/>
  </r>
  <r>
    <x v="128"/>
    <d v="2025-10-20T00:00:00"/>
    <s v="CUST-0252"/>
    <s v="PROD-007"/>
    <x v="2"/>
    <x v="2"/>
    <n v="2"/>
    <n v="0.15"/>
    <x v="0"/>
    <n v="2"/>
    <n v="6"/>
    <x v="6"/>
    <x v="1"/>
    <n v="540"/>
    <n v="320"/>
    <x v="0"/>
    <n v="918"/>
    <n v="640"/>
    <n v="278"/>
    <n v="0.30283224400871461"/>
  </r>
  <r>
    <x v="129"/>
    <d v="2025-03-08T00:00:00"/>
    <s v="CUST-0282"/>
    <s v="PROD-010"/>
    <x v="0"/>
    <x v="2"/>
    <n v="4"/>
    <n v="0.15"/>
    <x v="0"/>
    <n v="5"/>
    <n v="5"/>
    <x v="13"/>
    <x v="2"/>
    <n v="48"/>
    <n v="22"/>
    <x v="1"/>
    <n v="163.19999999999999"/>
    <n v="88"/>
    <n v="75.199999999999989"/>
    <n v="0.46078431372549017"/>
  </r>
  <r>
    <x v="130"/>
    <d v="2025-08-18T00:00:00"/>
    <s v="CUST-0063"/>
    <s v="PROD-007"/>
    <x v="0"/>
    <x v="1"/>
    <n v="2"/>
    <n v="0"/>
    <x v="0"/>
    <n v="4"/>
    <n v="5"/>
    <x v="6"/>
    <x v="1"/>
    <n v="540"/>
    <n v="320"/>
    <x v="0"/>
    <n v="1080"/>
    <n v="640"/>
    <n v="440"/>
    <n v="0.40740740740740738"/>
  </r>
  <r>
    <x v="131"/>
    <d v="2025-05-13T00:00:00"/>
    <s v="CUST-0045"/>
    <s v="PROD-003"/>
    <x v="3"/>
    <x v="2"/>
    <n v="4"/>
    <n v="0.05"/>
    <x v="0"/>
    <n v="5"/>
    <n v="1"/>
    <x v="10"/>
    <x v="0"/>
    <n v="75"/>
    <n v="38"/>
    <x v="1"/>
    <n v="285"/>
    <n v="152"/>
    <n v="133"/>
    <n v="0.46666666666666667"/>
  </r>
  <r>
    <x v="132"/>
    <d v="2025-05-09T00:00:00"/>
    <s v="CUST-0163"/>
    <s v="PROD-003"/>
    <x v="4"/>
    <x v="0"/>
    <n v="2"/>
    <n v="0.15"/>
    <x v="0"/>
    <n v="5"/>
    <n v="2"/>
    <x v="10"/>
    <x v="0"/>
    <n v="75"/>
    <n v="38"/>
    <x v="1"/>
    <n v="127.5"/>
    <n v="76"/>
    <n v="51.5"/>
    <n v="0.40392156862745099"/>
  </r>
  <r>
    <x v="133"/>
    <d v="2025-05-13T00:00:00"/>
    <s v="CUST-0222"/>
    <s v="PROD-002"/>
    <x v="0"/>
    <x v="0"/>
    <n v="1"/>
    <n v="0"/>
    <x v="1"/>
    <n v="3"/>
    <n v="8"/>
    <x v="0"/>
    <x v="0"/>
    <n v="310"/>
    <n v="190"/>
    <x v="0"/>
    <n v="310"/>
    <n v="190"/>
    <n v="120"/>
    <n v="0.38709677419354838"/>
  </r>
  <r>
    <x v="134"/>
    <d v="2025-03-22T00:00:00"/>
    <s v="CUST-0129"/>
    <s v="PROD-007"/>
    <x v="1"/>
    <x v="0"/>
    <n v="1"/>
    <n v="0"/>
    <x v="0"/>
    <n v="4"/>
    <n v="2"/>
    <x v="6"/>
    <x v="1"/>
    <n v="540"/>
    <n v="320"/>
    <x v="2"/>
    <n v="540"/>
    <n v="320"/>
    <n v="220"/>
    <n v="0.40740740740740738"/>
  </r>
  <r>
    <x v="135"/>
    <d v="2026-08-30T00:00:00"/>
    <s v="CUST-0298"/>
    <s v="PROD-005"/>
    <x v="2"/>
    <x v="0"/>
    <n v="6"/>
    <n v="0"/>
    <x v="1"/>
    <n v="2"/>
    <n v="2"/>
    <x v="15"/>
    <x v="0"/>
    <n v="115"/>
    <n v="58"/>
    <x v="1"/>
    <n v="690"/>
    <n v="348"/>
    <n v="342"/>
    <n v="0.4956521739130435"/>
  </r>
  <r>
    <x v="136"/>
    <d v="2025-02-16T00:00:00"/>
    <s v="CUST-0296"/>
    <s v="PROD-009"/>
    <x v="1"/>
    <x v="0"/>
    <n v="2"/>
    <n v="0.05"/>
    <x v="0"/>
    <n v="5"/>
    <n v="3"/>
    <x v="14"/>
    <x v="1"/>
    <n v="185"/>
    <n v="105"/>
    <x v="0"/>
    <n v="351.5"/>
    <n v="210"/>
    <n v="141.5"/>
    <n v="0.40256045519203415"/>
  </r>
  <r>
    <x v="137"/>
    <d v="2025-11-06T00:00:00"/>
    <s v="CUST-0248"/>
    <s v="PROD-008"/>
    <x v="0"/>
    <x v="0"/>
    <n v="1"/>
    <n v="0"/>
    <x v="0"/>
    <n v="4"/>
    <n v="4"/>
    <x v="1"/>
    <x v="1"/>
    <n v="255"/>
    <n v="145"/>
    <x v="1"/>
    <n v="255"/>
    <n v="145"/>
    <n v="110"/>
    <n v="0.43137254901960786"/>
  </r>
  <r>
    <x v="138"/>
    <d v="2026-04-21T00:00:00"/>
    <s v="CUST-0105"/>
    <s v="PROD-011"/>
    <x v="1"/>
    <x v="1"/>
    <n v="4"/>
    <n v="0.1"/>
    <x v="0"/>
    <n v="5"/>
    <n v="2"/>
    <x v="8"/>
    <x v="2"/>
    <n v="85"/>
    <n v="39"/>
    <x v="1"/>
    <n v="306"/>
    <n v="156"/>
    <n v="150"/>
    <n v="0.49019607843137253"/>
  </r>
  <r>
    <x v="139"/>
    <d v="2026-01-15T00:00:00"/>
    <s v="CUST-0264"/>
    <s v="PROD-004"/>
    <x v="3"/>
    <x v="1"/>
    <n v="1"/>
    <n v="0"/>
    <x v="0"/>
    <n v="4"/>
    <n v="4"/>
    <x v="3"/>
    <x v="0"/>
    <n v="42"/>
    <n v="19"/>
    <x v="1"/>
    <n v="42"/>
    <n v="19"/>
    <n v="23"/>
    <n v="0.54761904761904767"/>
  </r>
  <r>
    <x v="140"/>
    <d v="2026-03-05T00:00:00"/>
    <s v="CUST-0128"/>
    <s v="PROD-006"/>
    <x v="0"/>
    <x v="2"/>
    <n v="4"/>
    <n v="0"/>
    <x v="0"/>
    <n v="5"/>
    <n v="4"/>
    <x v="7"/>
    <x v="0"/>
    <n v="98"/>
    <n v="46"/>
    <x v="2"/>
    <n v="392"/>
    <n v="184"/>
    <n v="208"/>
    <n v="0.53061224489795922"/>
  </r>
  <r>
    <x v="141"/>
    <d v="2026-05-26T00:00:00"/>
    <s v="CUST-0158"/>
    <s v="PROD-016"/>
    <x v="2"/>
    <x v="2"/>
    <n v="2"/>
    <n v="0.2"/>
    <x v="0"/>
    <n v="4"/>
    <n v="1"/>
    <x v="9"/>
    <x v="3"/>
    <n v="28"/>
    <n v="12"/>
    <x v="0"/>
    <n v="44.800000000000004"/>
    <n v="24"/>
    <n v="20.800000000000004"/>
    <n v="0.46428571428571436"/>
  </r>
  <r>
    <x v="142"/>
    <d v="2025-10-16T00:00:00"/>
    <s v="CUST-0254"/>
    <s v="PROD-016"/>
    <x v="3"/>
    <x v="1"/>
    <n v="1"/>
    <n v="0"/>
    <x v="0"/>
    <n v="4"/>
    <n v="4"/>
    <x v="9"/>
    <x v="3"/>
    <n v="28"/>
    <n v="12"/>
    <x v="1"/>
    <n v="28"/>
    <n v="12"/>
    <n v="16"/>
    <n v="0.5714285714285714"/>
  </r>
  <r>
    <x v="143"/>
    <d v="2026-01-10T00:00:00"/>
    <s v="CUST-0024"/>
    <s v="PROD-013"/>
    <x v="2"/>
    <x v="0"/>
    <n v="2"/>
    <n v="0"/>
    <x v="0"/>
    <n v="4"/>
    <n v="5"/>
    <x v="4"/>
    <x v="2"/>
    <n v="32"/>
    <n v="13"/>
    <x v="1"/>
    <n v="64"/>
    <n v="26"/>
    <n v="38"/>
    <n v="0.59375"/>
  </r>
  <r>
    <x v="144"/>
    <d v="2025-10-14T00:00:00"/>
    <s v="CUST-0061"/>
    <s v="PROD-005"/>
    <x v="0"/>
    <x v="1"/>
    <n v="4"/>
    <n v="0"/>
    <x v="1"/>
    <n v="5"/>
    <n v="6"/>
    <x v="15"/>
    <x v="0"/>
    <n v="115"/>
    <n v="58"/>
    <x v="2"/>
    <n v="460"/>
    <n v="232"/>
    <n v="228"/>
    <n v="0.4956521739130435"/>
  </r>
  <r>
    <x v="145"/>
    <d v="2026-05-28T00:00:00"/>
    <s v="CUST-0021"/>
    <s v="PROD-002"/>
    <x v="2"/>
    <x v="0"/>
    <n v="4"/>
    <n v="0.05"/>
    <x v="0"/>
    <n v="5"/>
    <n v="2"/>
    <x v="0"/>
    <x v="0"/>
    <n v="310"/>
    <n v="190"/>
    <x v="2"/>
    <n v="1178"/>
    <n v="760"/>
    <n v="418"/>
    <n v="0.35483870967741937"/>
  </r>
  <r>
    <x v="146"/>
    <d v="2025-12-02T00:00:00"/>
    <s v="CUST-0164"/>
    <s v="PROD-006"/>
    <x v="3"/>
    <x v="0"/>
    <n v="5"/>
    <n v="0.05"/>
    <x v="0"/>
    <n v="4"/>
    <n v="4"/>
    <x v="7"/>
    <x v="0"/>
    <n v="98"/>
    <n v="46"/>
    <x v="2"/>
    <n v="465.5"/>
    <n v="230"/>
    <n v="235.5"/>
    <n v="0.50590762620837804"/>
  </r>
  <r>
    <x v="147"/>
    <d v="2026-07-31T00:00:00"/>
    <s v="CUST-0154"/>
    <s v="PROD-016"/>
    <x v="0"/>
    <x v="1"/>
    <n v="3"/>
    <n v="0.2"/>
    <x v="0"/>
    <n v="5"/>
    <n v="1"/>
    <x v="9"/>
    <x v="3"/>
    <n v="28"/>
    <n v="12"/>
    <x v="0"/>
    <n v="67.2"/>
    <n v="36"/>
    <n v="31.200000000000003"/>
    <n v="0.4642857142857143"/>
  </r>
  <r>
    <x v="148"/>
    <d v="2026-05-01T00:00:00"/>
    <s v="CUST-0136"/>
    <s v="PROD-008"/>
    <x v="1"/>
    <x v="0"/>
    <n v="1"/>
    <n v="0.05"/>
    <x v="0"/>
    <n v="5"/>
    <n v="2"/>
    <x v="1"/>
    <x v="1"/>
    <n v="255"/>
    <n v="145"/>
    <x v="1"/>
    <n v="242.25"/>
    <n v="145"/>
    <n v="97.25"/>
    <n v="0.40144478844169246"/>
  </r>
  <r>
    <x v="149"/>
    <d v="2025-09-06T00:00:00"/>
    <s v="CUST-0017"/>
    <s v="PROD-004"/>
    <x v="2"/>
    <x v="1"/>
    <n v="2"/>
    <n v="0"/>
    <x v="0"/>
    <n v="4"/>
    <n v="5"/>
    <x v="3"/>
    <x v="0"/>
    <n v="42"/>
    <n v="19"/>
    <x v="1"/>
    <n v="84"/>
    <n v="38"/>
    <n v="46"/>
    <n v="0.54761904761904767"/>
  </r>
  <r>
    <x v="150"/>
    <d v="2026-04-28T00:00:00"/>
    <s v="CUST-0032"/>
    <s v="PROD-005"/>
    <x v="4"/>
    <x v="0"/>
    <n v="8"/>
    <n v="0.05"/>
    <x v="0"/>
    <n v="5"/>
    <n v="4"/>
    <x v="15"/>
    <x v="0"/>
    <n v="115"/>
    <n v="58"/>
    <x v="0"/>
    <n v="874"/>
    <n v="464"/>
    <n v="410"/>
    <n v="0.46910755148741418"/>
  </r>
  <r>
    <x v="151"/>
    <d v="2026-06-30T00:00:00"/>
    <s v="CUST-0176"/>
    <s v="PROD-012"/>
    <x v="1"/>
    <x v="2"/>
    <n v="3"/>
    <n v="0.1"/>
    <x v="0"/>
    <n v="4"/>
    <n v="2"/>
    <x v="11"/>
    <x v="2"/>
    <n v="68"/>
    <n v="31"/>
    <x v="1"/>
    <n v="183.6"/>
    <n v="93"/>
    <n v="90.6"/>
    <n v="0.49346405228758167"/>
  </r>
  <r>
    <x v="152"/>
    <d v="2025-10-13T00:00:00"/>
    <s v="CUST-0286"/>
    <s v="PROD-010"/>
    <x v="3"/>
    <x v="2"/>
    <n v="1"/>
    <n v="0"/>
    <x v="0"/>
    <n v="5"/>
    <n v="3"/>
    <x v="13"/>
    <x v="2"/>
    <n v="48"/>
    <n v="22"/>
    <x v="2"/>
    <n v="48"/>
    <n v="22"/>
    <n v="26"/>
    <n v="0.54166666666666663"/>
  </r>
  <r>
    <x v="153"/>
    <d v="2026-05-07T00:00:00"/>
    <s v="CUST-0179"/>
    <s v="PROD-009"/>
    <x v="3"/>
    <x v="0"/>
    <n v="2"/>
    <n v="0.15"/>
    <x v="0"/>
    <n v="4"/>
    <n v="2"/>
    <x v="14"/>
    <x v="1"/>
    <n v="185"/>
    <n v="105"/>
    <x v="1"/>
    <n v="314.5"/>
    <n v="210"/>
    <n v="104.5"/>
    <n v="0.33227344992050872"/>
  </r>
  <r>
    <x v="154"/>
    <d v="2025-10-25T00:00:00"/>
    <s v="CUST-0022"/>
    <s v="PROD-010"/>
    <x v="0"/>
    <x v="1"/>
    <n v="6"/>
    <n v="0.05"/>
    <x v="0"/>
    <n v="3"/>
    <n v="5"/>
    <x v="13"/>
    <x v="2"/>
    <n v="48"/>
    <n v="22"/>
    <x v="0"/>
    <n v="273.59999999999997"/>
    <n v="132"/>
    <n v="141.59999999999997"/>
    <n v="0.51754385964912275"/>
  </r>
  <r>
    <x v="155"/>
    <d v="2025-10-05T00:00:00"/>
    <s v="CUST-0288"/>
    <s v="PROD-009"/>
    <x v="2"/>
    <x v="0"/>
    <n v="3"/>
    <n v="0"/>
    <x v="0"/>
    <n v="4"/>
    <n v="2"/>
    <x v="14"/>
    <x v="1"/>
    <n v="185"/>
    <n v="105"/>
    <x v="1"/>
    <n v="555"/>
    <n v="315"/>
    <n v="240"/>
    <n v="0.43243243243243246"/>
  </r>
  <r>
    <x v="156"/>
    <d v="2025-02-23T00:00:00"/>
    <s v="CUST-0052"/>
    <s v="PROD-014"/>
    <x v="3"/>
    <x v="1"/>
    <n v="3"/>
    <n v="0"/>
    <x v="1"/>
    <n v="5"/>
    <n v="6"/>
    <x v="5"/>
    <x v="3"/>
    <n v="17"/>
    <n v="8"/>
    <x v="1"/>
    <n v="51"/>
    <n v="24"/>
    <n v="27"/>
    <n v="0.52941176470588236"/>
  </r>
  <r>
    <x v="157"/>
    <d v="2026-05-03T00:00:00"/>
    <s v="CUST-0245"/>
    <s v="PROD-007"/>
    <x v="1"/>
    <x v="1"/>
    <n v="1"/>
    <n v="0"/>
    <x v="0"/>
    <n v="5"/>
    <n v="2"/>
    <x v="6"/>
    <x v="1"/>
    <n v="540"/>
    <n v="320"/>
    <x v="1"/>
    <n v="540"/>
    <n v="320"/>
    <n v="220"/>
    <n v="0.40740740740740738"/>
  </r>
  <r>
    <x v="158"/>
    <d v="2026-07-02T00:00:00"/>
    <s v="CUST-0020"/>
    <s v="PROD-006"/>
    <x v="3"/>
    <x v="2"/>
    <n v="6"/>
    <n v="0"/>
    <x v="0"/>
    <n v="5"/>
    <n v="2"/>
    <x v="7"/>
    <x v="0"/>
    <n v="98"/>
    <n v="46"/>
    <x v="1"/>
    <n v="588"/>
    <n v="276"/>
    <n v="312"/>
    <n v="0.53061224489795922"/>
  </r>
  <r>
    <x v="159"/>
    <d v="2025-10-24T00:00:00"/>
    <s v="CUST-0020"/>
    <s v="PROD-001"/>
    <x v="3"/>
    <x v="0"/>
    <n v="6"/>
    <n v="0"/>
    <x v="0"/>
    <n v="5"/>
    <n v="5"/>
    <x v="2"/>
    <x v="0"/>
    <n v="1100"/>
    <n v="720"/>
    <x v="1"/>
    <n v="6600"/>
    <n v="4320"/>
    <n v="2280"/>
    <n v="0.34545454545454546"/>
  </r>
  <r>
    <x v="160"/>
    <d v="2026-05-21T00:00:00"/>
    <s v="CUST-0069"/>
    <s v="PROD-015"/>
    <x v="3"/>
    <x v="0"/>
    <n v="2"/>
    <n v="0.1"/>
    <x v="0"/>
    <n v="5"/>
    <n v="1"/>
    <x v="12"/>
    <x v="3"/>
    <n v="23"/>
    <n v="10"/>
    <x v="1"/>
    <n v="41.4"/>
    <n v="20"/>
    <n v="21.4"/>
    <n v="0.51690821256038644"/>
  </r>
  <r>
    <x v="161"/>
    <d v="2025-12-12T00:00:00"/>
    <s v="CUST-0152"/>
    <s v="PROD-007"/>
    <x v="2"/>
    <x v="2"/>
    <n v="6"/>
    <n v="0.1"/>
    <x v="0"/>
    <n v="2"/>
    <n v="3"/>
    <x v="6"/>
    <x v="1"/>
    <n v="540"/>
    <n v="320"/>
    <x v="0"/>
    <n v="2916"/>
    <n v="1920"/>
    <n v="996"/>
    <n v="0.34156378600823045"/>
  </r>
  <r>
    <x v="162"/>
    <d v="2025-05-24T00:00:00"/>
    <s v="CUST-0245"/>
    <s v="PROD-011"/>
    <x v="0"/>
    <x v="1"/>
    <n v="2"/>
    <n v="0"/>
    <x v="0"/>
    <n v="4"/>
    <n v="5"/>
    <x v="8"/>
    <x v="2"/>
    <n v="85"/>
    <n v="39"/>
    <x v="1"/>
    <n v="170"/>
    <n v="78"/>
    <n v="92"/>
    <n v="0.54117647058823526"/>
  </r>
  <r>
    <x v="163"/>
    <d v="2026-08-10T00:00:00"/>
    <s v="CUST-0006"/>
    <s v="PROD-009"/>
    <x v="1"/>
    <x v="0"/>
    <n v="1"/>
    <n v="0"/>
    <x v="0"/>
    <n v="4"/>
    <n v="5"/>
    <x v="14"/>
    <x v="1"/>
    <n v="185"/>
    <n v="105"/>
    <x v="0"/>
    <n v="185"/>
    <n v="105"/>
    <n v="80"/>
    <n v="0.43243243243243246"/>
  </r>
  <r>
    <x v="164"/>
    <d v="2025-11-15T00:00:00"/>
    <s v="CUST-0061"/>
    <s v="PROD-010"/>
    <x v="3"/>
    <x v="1"/>
    <n v="7"/>
    <n v="0.05"/>
    <x v="0"/>
    <n v="5"/>
    <n v="3"/>
    <x v="13"/>
    <x v="2"/>
    <n v="48"/>
    <n v="22"/>
    <x v="2"/>
    <n v="319.2"/>
    <n v="154"/>
    <n v="165.2"/>
    <n v="0.51754385964912275"/>
  </r>
  <r>
    <x v="165"/>
    <d v="2026-03-02T00:00:00"/>
    <s v="CUST-0282"/>
    <s v="PROD-016"/>
    <x v="1"/>
    <x v="0"/>
    <n v="5"/>
    <n v="0.1"/>
    <x v="0"/>
    <n v="4"/>
    <n v="1"/>
    <x v="9"/>
    <x v="3"/>
    <n v="28"/>
    <n v="12"/>
    <x v="1"/>
    <n v="126"/>
    <n v="60"/>
    <n v="66"/>
    <n v="0.52380952380952384"/>
  </r>
  <r>
    <x v="166"/>
    <d v="2026-06-23T00:00:00"/>
    <s v="CUST-0229"/>
    <s v="PROD-012"/>
    <x v="2"/>
    <x v="0"/>
    <n v="1"/>
    <n v="0.05"/>
    <x v="0"/>
    <n v="4"/>
    <n v="2"/>
    <x v="11"/>
    <x v="2"/>
    <n v="68"/>
    <n v="31"/>
    <x v="1"/>
    <n v="64.599999999999994"/>
    <n v="31"/>
    <n v="33.599999999999994"/>
    <n v="0.52012383900928794"/>
  </r>
  <r>
    <x v="167"/>
    <d v="2025-06-18T00:00:00"/>
    <s v="CUST-0168"/>
    <s v="PROD-015"/>
    <x v="2"/>
    <x v="1"/>
    <n v="3"/>
    <n v="0"/>
    <x v="0"/>
    <n v="5"/>
    <n v="4"/>
    <x v="12"/>
    <x v="3"/>
    <n v="23"/>
    <n v="10"/>
    <x v="0"/>
    <n v="69"/>
    <n v="30"/>
    <n v="39"/>
    <n v="0.56521739130434778"/>
  </r>
  <r>
    <x v="168"/>
    <d v="2025-05-16T00:00:00"/>
    <s v="CUST-0263"/>
    <s v="PROD-014"/>
    <x v="4"/>
    <x v="1"/>
    <n v="2"/>
    <n v="0.1"/>
    <x v="0"/>
    <n v="4"/>
    <n v="1"/>
    <x v="5"/>
    <x v="3"/>
    <n v="17"/>
    <n v="8"/>
    <x v="1"/>
    <n v="30.6"/>
    <n v="16"/>
    <n v="14.600000000000001"/>
    <n v="0.47712418300653597"/>
  </r>
  <r>
    <x v="169"/>
    <d v="2025-08-12T00:00:00"/>
    <s v="CUST-0297"/>
    <s v="PROD-003"/>
    <x v="2"/>
    <x v="1"/>
    <n v="1"/>
    <n v="0.2"/>
    <x v="1"/>
    <n v="2"/>
    <n v="5"/>
    <x v="10"/>
    <x v="0"/>
    <n v="75"/>
    <n v="38"/>
    <x v="1"/>
    <n v="60"/>
    <n v="38"/>
    <n v="22"/>
    <n v="0.36666666666666664"/>
  </r>
  <r>
    <x v="170"/>
    <d v="2025-10-21T00:00:00"/>
    <s v="CUST-0210"/>
    <s v="PROD-006"/>
    <x v="1"/>
    <x v="0"/>
    <n v="8"/>
    <n v="0.05"/>
    <x v="0"/>
    <n v="5"/>
    <n v="4"/>
    <x v="7"/>
    <x v="0"/>
    <n v="98"/>
    <n v="46"/>
    <x v="2"/>
    <n v="744.8"/>
    <n v="368"/>
    <n v="376.79999999999995"/>
    <n v="0.50590762620837804"/>
  </r>
  <r>
    <x v="171"/>
    <d v="2026-04-05T00:00:00"/>
    <s v="CUST-0194"/>
    <s v="PROD-013"/>
    <x v="2"/>
    <x v="2"/>
    <n v="5"/>
    <n v="0"/>
    <x v="0"/>
    <n v="3"/>
    <n v="5"/>
    <x v="4"/>
    <x v="2"/>
    <n v="32"/>
    <n v="13"/>
    <x v="2"/>
    <n v="160"/>
    <n v="65"/>
    <n v="95"/>
    <n v="0.59375"/>
  </r>
  <r>
    <x v="172"/>
    <d v="2026-02-07T00:00:00"/>
    <s v="CUST-0271"/>
    <s v="PROD-005"/>
    <x v="1"/>
    <x v="1"/>
    <n v="1"/>
    <n v="0"/>
    <x v="0"/>
    <n v="5"/>
    <n v="5"/>
    <x v="15"/>
    <x v="0"/>
    <n v="115"/>
    <n v="58"/>
    <x v="2"/>
    <n v="115"/>
    <n v="58"/>
    <n v="57"/>
    <n v="0.4956521739130435"/>
  </r>
  <r>
    <x v="173"/>
    <d v="2026-03-11T00:00:00"/>
    <s v="CUST-0273"/>
    <s v="PROD-013"/>
    <x v="0"/>
    <x v="1"/>
    <n v="2"/>
    <n v="0"/>
    <x v="1"/>
    <n v="5"/>
    <n v="2"/>
    <x v="4"/>
    <x v="2"/>
    <n v="32"/>
    <n v="13"/>
    <x v="0"/>
    <n v="64"/>
    <n v="26"/>
    <n v="38"/>
    <n v="0.59375"/>
  </r>
  <r>
    <x v="174"/>
    <d v="2026-03-06T00:00:00"/>
    <s v="CUST-0009"/>
    <s v="PROD-008"/>
    <x v="2"/>
    <x v="1"/>
    <n v="1"/>
    <n v="0.05"/>
    <x v="0"/>
    <n v="2"/>
    <n v="5"/>
    <x v="1"/>
    <x v="1"/>
    <n v="255"/>
    <n v="145"/>
    <x v="1"/>
    <n v="242.25"/>
    <n v="145"/>
    <n v="97.25"/>
    <n v="0.40144478844169246"/>
  </r>
  <r>
    <x v="175"/>
    <d v="2026-03-26T00:00:00"/>
    <s v="CUST-0120"/>
    <s v="PROD-007"/>
    <x v="1"/>
    <x v="0"/>
    <n v="1"/>
    <n v="0.2"/>
    <x v="0"/>
    <n v="5"/>
    <n v="5"/>
    <x v="6"/>
    <x v="1"/>
    <n v="540"/>
    <n v="320"/>
    <x v="1"/>
    <n v="432"/>
    <n v="320"/>
    <n v="112"/>
    <n v="0.25925925925925924"/>
  </r>
  <r>
    <x v="176"/>
    <d v="2025-11-23T00:00:00"/>
    <s v="CUST-0296"/>
    <s v="PROD-011"/>
    <x v="3"/>
    <x v="2"/>
    <n v="8"/>
    <n v="0.05"/>
    <x v="0"/>
    <n v="4"/>
    <n v="5"/>
    <x v="8"/>
    <x v="2"/>
    <n v="85"/>
    <n v="39"/>
    <x v="0"/>
    <n v="646"/>
    <n v="312"/>
    <n v="334"/>
    <n v="0.51702786377708976"/>
  </r>
  <r>
    <x v="177"/>
    <d v="2026-08-29T00:00:00"/>
    <s v="CUST-0090"/>
    <s v="PROD-014"/>
    <x v="4"/>
    <x v="1"/>
    <n v="2"/>
    <n v="0.05"/>
    <x v="0"/>
    <n v="4"/>
    <n v="4"/>
    <x v="5"/>
    <x v="3"/>
    <n v="17"/>
    <n v="8"/>
    <x v="1"/>
    <n v="32.299999999999997"/>
    <n v="16"/>
    <n v="16.299999999999997"/>
    <n v="0.50464396284829716"/>
  </r>
  <r>
    <x v="178"/>
    <d v="2026-02-23T00:00:00"/>
    <s v="CUST-0077"/>
    <s v="PROD-010"/>
    <x v="3"/>
    <x v="0"/>
    <n v="2"/>
    <n v="0.15"/>
    <x v="0"/>
    <n v="5"/>
    <n v="4"/>
    <x v="13"/>
    <x v="2"/>
    <n v="48"/>
    <n v="22"/>
    <x v="2"/>
    <n v="81.599999999999994"/>
    <n v="44"/>
    <n v="37.599999999999994"/>
    <n v="0.46078431372549017"/>
  </r>
  <r>
    <x v="179"/>
    <d v="2025-03-01T00:00:00"/>
    <s v="CUST-0288"/>
    <s v="PROD-014"/>
    <x v="0"/>
    <x v="0"/>
    <n v="1"/>
    <n v="0"/>
    <x v="0"/>
    <n v="5"/>
    <n v="4"/>
    <x v="5"/>
    <x v="3"/>
    <n v="17"/>
    <n v="8"/>
    <x v="1"/>
    <n v="17"/>
    <n v="8"/>
    <n v="9"/>
    <n v="0.52941176470588236"/>
  </r>
  <r>
    <x v="180"/>
    <d v="2026-01-15T00:00:00"/>
    <s v="CUST-0048"/>
    <s v="PROD-007"/>
    <x v="2"/>
    <x v="1"/>
    <n v="3"/>
    <n v="0"/>
    <x v="0"/>
    <n v="5"/>
    <n v="5"/>
    <x v="6"/>
    <x v="1"/>
    <n v="540"/>
    <n v="320"/>
    <x v="1"/>
    <n v="1620"/>
    <n v="960"/>
    <n v="660"/>
    <n v="0.40740740740740738"/>
  </r>
  <r>
    <x v="181"/>
    <d v="2026-07-27T00:00:00"/>
    <s v="CUST-0112"/>
    <s v="PROD-016"/>
    <x v="2"/>
    <x v="2"/>
    <n v="1"/>
    <n v="0.15"/>
    <x v="0"/>
    <n v="3"/>
    <n v="1"/>
    <x v="9"/>
    <x v="3"/>
    <n v="28"/>
    <n v="12"/>
    <x v="1"/>
    <n v="23.8"/>
    <n v="12"/>
    <n v="11.8"/>
    <n v="0.49579831932773111"/>
  </r>
  <r>
    <x v="182"/>
    <d v="2026-05-06T00:00:00"/>
    <s v="CUST-0125"/>
    <s v="PROD-007"/>
    <x v="3"/>
    <x v="1"/>
    <n v="2"/>
    <n v="0"/>
    <x v="0"/>
    <n v="5"/>
    <n v="3"/>
    <x v="6"/>
    <x v="1"/>
    <n v="540"/>
    <n v="320"/>
    <x v="1"/>
    <n v="1080"/>
    <n v="640"/>
    <n v="440"/>
    <n v="0.40740740740740738"/>
  </r>
  <r>
    <x v="183"/>
    <d v="2025-09-25T00:00:00"/>
    <s v="CUST-0185"/>
    <s v="PROD-016"/>
    <x v="4"/>
    <x v="0"/>
    <n v="4"/>
    <n v="0.1"/>
    <x v="0"/>
    <n v="3"/>
    <n v="3"/>
    <x v="9"/>
    <x v="3"/>
    <n v="28"/>
    <n v="12"/>
    <x v="1"/>
    <n v="100.8"/>
    <n v="48"/>
    <n v="52.8"/>
    <n v="0.52380952380952384"/>
  </r>
  <r>
    <x v="184"/>
    <d v="2026-02-28T00:00:00"/>
    <s v="CUST-0024"/>
    <s v="PROD-008"/>
    <x v="1"/>
    <x v="1"/>
    <n v="3"/>
    <n v="0.05"/>
    <x v="0"/>
    <n v="4"/>
    <n v="2"/>
    <x v="1"/>
    <x v="1"/>
    <n v="255"/>
    <n v="145"/>
    <x v="1"/>
    <n v="726.75"/>
    <n v="435"/>
    <n v="291.75"/>
    <n v="0.40144478844169246"/>
  </r>
  <r>
    <x v="185"/>
    <d v="2025-12-04T00:00:00"/>
    <s v="CUST-0118"/>
    <s v="PROD-013"/>
    <x v="4"/>
    <x v="1"/>
    <n v="3"/>
    <n v="0.2"/>
    <x v="0"/>
    <n v="5"/>
    <n v="4"/>
    <x v="4"/>
    <x v="2"/>
    <n v="32"/>
    <n v="13"/>
    <x v="0"/>
    <n v="76.800000000000011"/>
    <n v="39"/>
    <n v="37.800000000000011"/>
    <n v="0.49218750000000006"/>
  </r>
  <r>
    <x v="186"/>
    <d v="2026-05-18T00:00:00"/>
    <s v="CUST-0236"/>
    <s v="PROD-006"/>
    <x v="1"/>
    <x v="1"/>
    <n v="1"/>
    <n v="0.05"/>
    <x v="0"/>
    <n v="5"/>
    <n v="1"/>
    <x v="7"/>
    <x v="0"/>
    <n v="98"/>
    <n v="46"/>
    <x v="1"/>
    <n v="93.1"/>
    <n v="46"/>
    <n v="47.099999999999994"/>
    <n v="0.50590762620837804"/>
  </r>
  <r>
    <x v="187"/>
    <d v="2026-06-21T00:00:00"/>
    <s v="CUST-0018"/>
    <s v="PROD-003"/>
    <x v="0"/>
    <x v="0"/>
    <n v="4"/>
    <n v="0"/>
    <x v="0"/>
    <n v="3"/>
    <n v="2"/>
    <x v="10"/>
    <x v="0"/>
    <n v="75"/>
    <n v="38"/>
    <x v="0"/>
    <n v="300"/>
    <n v="152"/>
    <n v="148"/>
    <n v="0.49333333333333335"/>
  </r>
  <r>
    <x v="188"/>
    <d v="2025-01-10T00:00:00"/>
    <s v="CUST-0112"/>
    <s v="PROD-015"/>
    <x v="3"/>
    <x v="0"/>
    <n v="3"/>
    <n v="0.05"/>
    <x v="0"/>
    <n v="4"/>
    <n v="1"/>
    <x v="12"/>
    <x v="3"/>
    <n v="23"/>
    <n v="10"/>
    <x v="1"/>
    <n v="65.55"/>
    <n v="30"/>
    <n v="35.549999999999997"/>
    <n v="0.54233409610983985"/>
  </r>
  <r>
    <x v="189"/>
    <d v="2026-06-29T00:00:00"/>
    <s v="CUST-0283"/>
    <s v="PROD-014"/>
    <x v="2"/>
    <x v="0"/>
    <n v="1"/>
    <n v="0.2"/>
    <x v="0"/>
    <n v="5"/>
    <n v="4"/>
    <x v="5"/>
    <x v="3"/>
    <n v="17"/>
    <n v="8"/>
    <x v="0"/>
    <n v="13.600000000000001"/>
    <n v="8"/>
    <n v="5.6000000000000014"/>
    <n v="0.41176470588235298"/>
  </r>
  <r>
    <x v="190"/>
    <d v="2025-07-03T00:00:00"/>
    <s v="CUST-0055"/>
    <s v="PROD-004"/>
    <x v="4"/>
    <x v="1"/>
    <n v="3"/>
    <n v="0"/>
    <x v="0"/>
    <n v="5"/>
    <n v="1"/>
    <x v="3"/>
    <x v="0"/>
    <n v="42"/>
    <n v="19"/>
    <x v="0"/>
    <n v="126"/>
    <n v="57"/>
    <n v="69"/>
    <n v="0.54761904761904767"/>
  </r>
  <r>
    <x v="191"/>
    <d v="2026-01-18T00:00:00"/>
    <s v="CUST-0208"/>
    <s v="PROD-015"/>
    <x v="4"/>
    <x v="2"/>
    <n v="1"/>
    <n v="0.1"/>
    <x v="0"/>
    <n v="5"/>
    <n v="1"/>
    <x v="12"/>
    <x v="3"/>
    <n v="23"/>
    <n v="10"/>
    <x v="1"/>
    <n v="20.7"/>
    <n v="10"/>
    <n v="10.7"/>
    <n v="0.51690821256038644"/>
  </r>
  <r>
    <x v="192"/>
    <d v="2025-04-06T00:00:00"/>
    <s v="CUST-0208"/>
    <s v="PROD-013"/>
    <x v="3"/>
    <x v="1"/>
    <n v="3"/>
    <n v="0.1"/>
    <x v="0"/>
    <n v="5"/>
    <n v="3"/>
    <x v="4"/>
    <x v="2"/>
    <n v="32"/>
    <n v="13"/>
    <x v="1"/>
    <n v="86.4"/>
    <n v="39"/>
    <n v="47.400000000000006"/>
    <n v="0.54861111111111116"/>
  </r>
  <r>
    <x v="193"/>
    <d v="2026-08-03T00:00:00"/>
    <s v="CUST-0049"/>
    <s v="PROD-002"/>
    <x v="3"/>
    <x v="2"/>
    <n v="3"/>
    <n v="0.05"/>
    <x v="0"/>
    <n v="5"/>
    <n v="3"/>
    <x v="0"/>
    <x v="0"/>
    <n v="310"/>
    <n v="190"/>
    <x v="0"/>
    <n v="883.5"/>
    <n v="570"/>
    <n v="313.5"/>
    <n v="0.35483870967741937"/>
  </r>
  <r>
    <x v="194"/>
    <d v="2026-07-11T00:00:00"/>
    <s v="CUST-0289"/>
    <s v="PROD-002"/>
    <x v="2"/>
    <x v="2"/>
    <n v="1"/>
    <n v="0"/>
    <x v="0"/>
    <n v="5"/>
    <n v="4"/>
    <x v="0"/>
    <x v="0"/>
    <n v="310"/>
    <n v="190"/>
    <x v="1"/>
    <n v="310"/>
    <n v="190"/>
    <n v="120"/>
    <n v="0.38709677419354838"/>
  </r>
  <r>
    <x v="195"/>
    <d v="2025-03-20T00:00:00"/>
    <s v="CUST-0154"/>
    <s v="PROD-006"/>
    <x v="4"/>
    <x v="0"/>
    <n v="5"/>
    <n v="0.1"/>
    <x v="0"/>
    <n v="4"/>
    <n v="2"/>
    <x v="7"/>
    <x v="0"/>
    <n v="98"/>
    <n v="46"/>
    <x v="0"/>
    <n v="441"/>
    <n v="230"/>
    <n v="211"/>
    <n v="0.47845804988662133"/>
  </r>
  <r>
    <x v="196"/>
    <d v="2025-03-22T00:00:00"/>
    <s v="CUST-0257"/>
    <s v="PROD-012"/>
    <x v="2"/>
    <x v="1"/>
    <n v="5"/>
    <n v="0"/>
    <x v="0"/>
    <n v="5"/>
    <n v="4"/>
    <x v="11"/>
    <x v="2"/>
    <n v="68"/>
    <n v="31"/>
    <x v="1"/>
    <n v="340"/>
    <n v="155"/>
    <n v="185"/>
    <n v="0.54411764705882348"/>
  </r>
  <r>
    <x v="197"/>
    <d v="2025-12-01T00:00:00"/>
    <s v="CUST-0016"/>
    <s v="PROD-009"/>
    <x v="0"/>
    <x v="1"/>
    <n v="1"/>
    <n v="0.05"/>
    <x v="0"/>
    <n v="3"/>
    <n v="5"/>
    <x v="14"/>
    <x v="1"/>
    <n v="185"/>
    <n v="105"/>
    <x v="0"/>
    <n v="175.75"/>
    <n v="105"/>
    <n v="70.75"/>
    <n v="0.40256045519203415"/>
  </r>
  <r>
    <x v="198"/>
    <d v="2026-01-25T00:00:00"/>
    <s v="CUST-0044"/>
    <s v="PROD-010"/>
    <x v="0"/>
    <x v="0"/>
    <n v="1"/>
    <n v="0"/>
    <x v="0"/>
    <n v="5"/>
    <n v="4"/>
    <x v="13"/>
    <x v="2"/>
    <n v="48"/>
    <n v="22"/>
    <x v="1"/>
    <n v="48"/>
    <n v="22"/>
    <n v="26"/>
    <n v="0.54166666666666663"/>
  </r>
  <r>
    <x v="199"/>
    <d v="2025-11-21T00:00:00"/>
    <s v="CUST-0185"/>
    <s v="PROD-004"/>
    <x v="2"/>
    <x v="2"/>
    <n v="2"/>
    <n v="0.1"/>
    <x v="0"/>
    <n v="2"/>
    <n v="8"/>
    <x v="3"/>
    <x v="0"/>
    <n v="42"/>
    <n v="19"/>
    <x v="1"/>
    <n v="75.600000000000009"/>
    <n v="38"/>
    <n v="37.600000000000009"/>
    <n v="0.49735449735449744"/>
  </r>
  <r>
    <x v="200"/>
    <d v="2026-07-25T00:00:00"/>
    <s v="CUST-0285"/>
    <s v="PROD-014"/>
    <x v="2"/>
    <x v="1"/>
    <n v="3"/>
    <n v="0.05"/>
    <x v="0"/>
    <n v="5"/>
    <n v="1"/>
    <x v="5"/>
    <x v="3"/>
    <n v="17"/>
    <n v="8"/>
    <x v="1"/>
    <n v="48.449999999999996"/>
    <n v="24"/>
    <n v="24.449999999999996"/>
    <n v="0.50464396284829716"/>
  </r>
  <r>
    <x v="201"/>
    <d v="2025-10-26T00:00:00"/>
    <s v="CUST-0212"/>
    <s v="PROD-013"/>
    <x v="0"/>
    <x v="0"/>
    <n v="3"/>
    <n v="0.2"/>
    <x v="0"/>
    <n v="4"/>
    <n v="4"/>
    <x v="4"/>
    <x v="2"/>
    <n v="32"/>
    <n v="13"/>
    <x v="0"/>
    <n v="76.800000000000011"/>
    <n v="39"/>
    <n v="37.800000000000011"/>
    <n v="0.49218750000000006"/>
  </r>
  <r>
    <x v="202"/>
    <d v="2025-06-23T00:00:00"/>
    <s v="CUST-0072"/>
    <s v="PROD-009"/>
    <x v="3"/>
    <x v="0"/>
    <n v="1"/>
    <n v="0"/>
    <x v="0"/>
    <n v="4"/>
    <n v="1"/>
    <x v="14"/>
    <x v="1"/>
    <n v="185"/>
    <n v="105"/>
    <x v="2"/>
    <n v="185"/>
    <n v="105"/>
    <n v="80"/>
    <n v="0.43243243243243246"/>
  </r>
  <r>
    <x v="203"/>
    <d v="2026-01-05T00:00:00"/>
    <s v="CUST-0129"/>
    <s v="PROD-008"/>
    <x v="1"/>
    <x v="0"/>
    <n v="3"/>
    <n v="0"/>
    <x v="0"/>
    <n v="1"/>
    <n v="7"/>
    <x v="1"/>
    <x v="1"/>
    <n v="255"/>
    <n v="145"/>
    <x v="2"/>
    <n v="765"/>
    <n v="435"/>
    <n v="330"/>
    <n v="0.43137254901960786"/>
  </r>
  <r>
    <x v="204"/>
    <d v="2026-01-25T00:00:00"/>
    <s v="CUST-0169"/>
    <s v="PROD-015"/>
    <x v="3"/>
    <x v="0"/>
    <n v="5"/>
    <n v="0.2"/>
    <x v="0"/>
    <n v="4"/>
    <n v="2"/>
    <x v="12"/>
    <x v="3"/>
    <n v="23"/>
    <n v="10"/>
    <x v="1"/>
    <n v="92"/>
    <n v="50"/>
    <n v="42"/>
    <n v="0.45652173913043476"/>
  </r>
  <r>
    <x v="205"/>
    <d v="2026-05-06T00:00:00"/>
    <s v="CUST-0161"/>
    <s v="PROD-006"/>
    <x v="0"/>
    <x v="2"/>
    <n v="1"/>
    <n v="0.1"/>
    <x v="0"/>
    <n v="4"/>
    <n v="2"/>
    <x v="7"/>
    <x v="0"/>
    <n v="98"/>
    <n v="46"/>
    <x v="1"/>
    <n v="88.2"/>
    <n v="46"/>
    <n v="42.2"/>
    <n v="0.47845804988662133"/>
  </r>
  <r>
    <x v="206"/>
    <d v="2025-11-30T00:00:00"/>
    <s v="CUST-0193"/>
    <s v="PROD-009"/>
    <x v="0"/>
    <x v="1"/>
    <n v="1"/>
    <n v="0.05"/>
    <x v="0"/>
    <n v="4"/>
    <n v="5"/>
    <x v="14"/>
    <x v="1"/>
    <n v="185"/>
    <n v="105"/>
    <x v="1"/>
    <n v="175.75"/>
    <n v="105"/>
    <n v="70.75"/>
    <n v="0.40256045519203415"/>
  </r>
  <r>
    <x v="207"/>
    <d v="2025-01-28T00:00:00"/>
    <s v="CUST-0237"/>
    <s v="PROD-007"/>
    <x v="4"/>
    <x v="1"/>
    <n v="3"/>
    <n v="0.1"/>
    <x v="0"/>
    <n v="4"/>
    <n v="4"/>
    <x v="6"/>
    <x v="1"/>
    <n v="540"/>
    <n v="320"/>
    <x v="2"/>
    <n v="1458"/>
    <n v="960"/>
    <n v="498"/>
    <n v="0.34156378600823045"/>
  </r>
  <r>
    <x v="208"/>
    <d v="2025-05-23T00:00:00"/>
    <s v="CUST-0156"/>
    <s v="PROD-008"/>
    <x v="3"/>
    <x v="1"/>
    <n v="2"/>
    <n v="0"/>
    <x v="0"/>
    <n v="4"/>
    <n v="5"/>
    <x v="1"/>
    <x v="1"/>
    <n v="255"/>
    <n v="145"/>
    <x v="1"/>
    <n v="510"/>
    <n v="290"/>
    <n v="220"/>
    <n v="0.43137254901960786"/>
  </r>
  <r>
    <x v="209"/>
    <d v="2026-02-15T00:00:00"/>
    <s v="CUST-0274"/>
    <s v="PROD-014"/>
    <x v="4"/>
    <x v="0"/>
    <n v="2"/>
    <n v="0.15"/>
    <x v="0"/>
    <n v="5"/>
    <n v="1"/>
    <x v="5"/>
    <x v="3"/>
    <n v="17"/>
    <n v="8"/>
    <x v="2"/>
    <n v="28.9"/>
    <n v="16"/>
    <n v="12.899999999999999"/>
    <n v="0.44636678200692037"/>
  </r>
  <r>
    <x v="210"/>
    <d v="2025-04-22T00:00:00"/>
    <s v="CUST-0128"/>
    <s v="PROD-012"/>
    <x v="2"/>
    <x v="0"/>
    <n v="3"/>
    <n v="0.05"/>
    <x v="0"/>
    <n v="5"/>
    <n v="3"/>
    <x v="11"/>
    <x v="2"/>
    <n v="68"/>
    <n v="31"/>
    <x v="2"/>
    <n v="193.79999999999998"/>
    <n v="93"/>
    <n v="100.79999999999998"/>
    <n v="0.52012383900928794"/>
  </r>
  <r>
    <x v="211"/>
    <d v="2026-03-17T00:00:00"/>
    <s v="CUST-0055"/>
    <s v="PROD-001"/>
    <x v="2"/>
    <x v="1"/>
    <n v="4"/>
    <n v="0.05"/>
    <x v="0"/>
    <n v="3"/>
    <n v="3"/>
    <x v="2"/>
    <x v="0"/>
    <n v="1100"/>
    <n v="720"/>
    <x v="0"/>
    <n v="4180"/>
    <n v="2880"/>
    <n v="1300"/>
    <n v="0.31100478468899523"/>
  </r>
  <r>
    <x v="212"/>
    <d v="2026-02-05T00:00:00"/>
    <s v="CUST-0238"/>
    <s v="PROD-005"/>
    <x v="3"/>
    <x v="1"/>
    <n v="1"/>
    <n v="0"/>
    <x v="1"/>
    <n v="3"/>
    <n v="5"/>
    <x v="15"/>
    <x v="0"/>
    <n v="115"/>
    <n v="58"/>
    <x v="1"/>
    <n v="115"/>
    <n v="58"/>
    <n v="57"/>
    <n v="0.4956521739130435"/>
  </r>
  <r>
    <x v="213"/>
    <d v="2025-11-16T00:00:00"/>
    <s v="CUST-0176"/>
    <s v="PROD-015"/>
    <x v="0"/>
    <x v="0"/>
    <n v="2"/>
    <n v="0"/>
    <x v="0"/>
    <n v="4"/>
    <n v="1"/>
    <x v="12"/>
    <x v="3"/>
    <n v="23"/>
    <n v="10"/>
    <x v="1"/>
    <n v="46"/>
    <n v="20"/>
    <n v="26"/>
    <n v="0.56521739130434778"/>
  </r>
  <r>
    <x v="214"/>
    <d v="2025-11-04T00:00:00"/>
    <s v="CUST-0023"/>
    <s v="PROD-004"/>
    <x v="2"/>
    <x v="1"/>
    <n v="1"/>
    <n v="0.1"/>
    <x v="1"/>
    <n v="5"/>
    <n v="7"/>
    <x v="3"/>
    <x v="0"/>
    <n v="42"/>
    <n v="19"/>
    <x v="1"/>
    <n v="37.800000000000004"/>
    <n v="19"/>
    <n v="18.800000000000004"/>
    <n v="0.49735449735449744"/>
  </r>
  <r>
    <x v="215"/>
    <d v="2026-07-20T00:00:00"/>
    <s v="CUST-0082"/>
    <s v="PROD-011"/>
    <x v="4"/>
    <x v="2"/>
    <n v="1"/>
    <n v="0"/>
    <x v="0"/>
    <n v="5"/>
    <n v="4"/>
    <x v="8"/>
    <x v="2"/>
    <n v="85"/>
    <n v="39"/>
    <x v="1"/>
    <n v="85"/>
    <n v="39"/>
    <n v="46"/>
    <n v="0.54117647058823526"/>
  </r>
  <r>
    <x v="216"/>
    <d v="2026-02-10T00:00:00"/>
    <s v="CUST-0015"/>
    <s v="PROD-007"/>
    <x v="4"/>
    <x v="1"/>
    <n v="1"/>
    <n v="0"/>
    <x v="0"/>
    <n v="5"/>
    <n v="1"/>
    <x v="6"/>
    <x v="1"/>
    <n v="540"/>
    <n v="320"/>
    <x v="0"/>
    <n v="540"/>
    <n v="320"/>
    <n v="220"/>
    <n v="0.40740740740740738"/>
  </r>
  <r>
    <x v="217"/>
    <d v="2026-08-15T00:00:00"/>
    <s v="CUST-0053"/>
    <s v="PROD-006"/>
    <x v="3"/>
    <x v="1"/>
    <n v="1"/>
    <n v="0.1"/>
    <x v="0"/>
    <n v="5"/>
    <n v="3"/>
    <x v="7"/>
    <x v="0"/>
    <n v="98"/>
    <n v="46"/>
    <x v="1"/>
    <n v="88.2"/>
    <n v="46"/>
    <n v="42.2"/>
    <n v="0.47845804988662133"/>
  </r>
  <r>
    <x v="218"/>
    <d v="2026-02-02T00:00:00"/>
    <s v="CUST-0201"/>
    <s v="PROD-004"/>
    <x v="3"/>
    <x v="2"/>
    <n v="3"/>
    <n v="0.1"/>
    <x v="0"/>
    <n v="4"/>
    <n v="5"/>
    <x v="3"/>
    <x v="0"/>
    <n v="42"/>
    <n v="19"/>
    <x v="2"/>
    <n v="113.4"/>
    <n v="57"/>
    <n v="56.400000000000006"/>
    <n v="0.49735449735449738"/>
  </r>
  <r>
    <x v="219"/>
    <d v="2026-08-28T00:00:00"/>
    <s v="CUST-0044"/>
    <s v="PROD-005"/>
    <x v="3"/>
    <x v="1"/>
    <n v="1"/>
    <n v="0"/>
    <x v="0"/>
    <n v="4"/>
    <n v="5"/>
    <x v="15"/>
    <x v="0"/>
    <n v="115"/>
    <n v="58"/>
    <x v="1"/>
    <n v="115"/>
    <n v="58"/>
    <n v="57"/>
    <n v="0.4956521739130435"/>
  </r>
  <r>
    <x v="220"/>
    <d v="2025-05-22T00:00:00"/>
    <s v="CUST-0295"/>
    <s v="PROD-013"/>
    <x v="4"/>
    <x v="0"/>
    <n v="2"/>
    <n v="0.15"/>
    <x v="1"/>
    <n v="3"/>
    <n v="6"/>
    <x v="4"/>
    <x v="2"/>
    <n v="32"/>
    <n v="13"/>
    <x v="0"/>
    <n v="54.4"/>
    <n v="26"/>
    <n v="28.4"/>
    <n v="0.5220588235294118"/>
  </r>
  <r>
    <x v="221"/>
    <d v="2025-10-23T00:00:00"/>
    <s v="CUST-0072"/>
    <s v="PROD-006"/>
    <x v="3"/>
    <x v="1"/>
    <n v="1"/>
    <n v="0"/>
    <x v="0"/>
    <n v="3"/>
    <n v="4"/>
    <x v="7"/>
    <x v="0"/>
    <n v="98"/>
    <n v="46"/>
    <x v="2"/>
    <n v="98"/>
    <n v="46"/>
    <n v="52"/>
    <n v="0.53061224489795922"/>
  </r>
  <r>
    <x v="222"/>
    <d v="2026-07-30T00:00:00"/>
    <s v="CUST-0259"/>
    <s v="PROD-016"/>
    <x v="3"/>
    <x v="0"/>
    <n v="4"/>
    <n v="0"/>
    <x v="0"/>
    <n v="4"/>
    <n v="2"/>
    <x v="9"/>
    <x v="3"/>
    <n v="28"/>
    <n v="12"/>
    <x v="1"/>
    <n v="112"/>
    <n v="48"/>
    <n v="64"/>
    <n v="0.5714285714285714"/>
  </r>
  <r>
    <x v="223"/>
    <d v="2025-10-27T00:00:00"/>
    <s v="CUST-0017"/>
    <s v="PROD-009"/>
    <x v="3"/>
    <x v="1"/>
    <n v="4"/>
    <n v="0.05"/>
    <x v="0"/>
    <n v="4"/>
    <n v="5"/>
    <x v="14"/>
    <x v="1"/>
    <n v="185"/>
    <n v="105"/>
    <x v="1"/>
    <n v="703"/>
    <n v="420"/>
    <n v="283"/>
    <n v="0.40256045519203415"/>
  </r>
  <r>
    <x v="224"/>
    <d v="2025-04-26T00:00:00"/>
    <s v="CUST-0294"/>
    <s v="PROD-004"/>
    <x v="3"/>
    <x v="0"/>
    <n v="8"/>
    <n v="0.05"/>
    <x v="0"/>
    <n v="5"/>
    <n v="4"/>
    <x v="3"/>
    <x v="0"/>
    <n v="42"/>
    <n v="19"/>
    <x v="1"/>
    <n v="319.2"/>
    <n v="152"/>
    <n v="167.2"/>
    <n v="0.52380952380952384"/>
  </r>
  <r>
    <x v="225"/>
    <d v="2026-07-14T00:00:00"/>
    <s v="CUST-0112"/>
    <s v="PROD-014"/>
    <x v="2"/>
    <x v="2"/>
    <n v="4"/>
    <n v="0"/>
    <x v="1"/>
    <n v="4"/>
    <n v="4"/>
    <x v="5"/>
    <x v="3"/>
    <n v="17"/>
    <n v="8"/>
    <x v="1"/>
    <n v="68"/>
    <n v="32"/>
    <n v="36"/>
    <n v="0.52941176470588236"/>
  </r>
  <r>
    <x v="226"/>
    <d v="2026-03-26T00:00:00"/>
    <s v="CUST-0061"/>
    <s v="PROD-008"/>
    <x v="2"/>
    <x v="0"/>
    <n v="3"/>
    <n v="0.15"/>
    <x v="0"/>
    <n v="4"/>
    <n v="5"/>
    <x v="1"/>
    <x v="1"/>
    <n v="255"/>
    <n v="145"/>
    <x v="2"/>
    <n v="650.25"/>
    <n v="435"/>
    <n v="215.25"/>
    <n v="0.33102652825836215"/>
  </r>
  <r>
    <x v="227"/>
    <d v="2025-05-23T00:00:00"/>
    <s v="CUST-0106"/>
    <s v="PROD-007"/>
    <x v="0"/>
    <x v="0"/>
    <n v="2"/>
    <n v="0.05"/>
    <x v="0"/>
    <n v="5"/>
    <n v="3"/>
    <x v="6"/>
    <x v="1"/>
    <n v="540"/>
    <n v="320"/>
    <x v="0"/>
    <n v="1026"/>
    <n v="640"/>
    <n v="386"/>
    <n v="0.37621832358674462"/>
  </r>
  <r>
    <x v="228"/>
    <d v="2025-10-24T00:00:00"/>
    <s v="CUST-0294"/>
    <s v="PROD-009"/>
    <x v="0"/>
    <x v="0"/>
    <n v="6"/>
    <n v="0.1"/>
    <x v="0"/>
    <n v="5"/>
    <n v="4"/>
    <x v="14"/>
    <x v="1"/>
    <n v="185"/>
    <n v="105"/>
    <x v="1"/>
    <n v="999"/>
    <n v="630"/>
    <n v="369"/>
    <n v="0.36936936936936937"/>
  </r>
  <r>
    <x v="229"/>
    <d v="2025-03-02T00:00:00"/>
    <s v="CUST-0142"/>
    <s v="PROD-005"/>
    <x v="1"/>
    <x v="1"/>
    <n v="1"/>
    <n v="0"/>
    <x v="0"/>
    <n v="5"/>
    <n v="4"/>
    <x v="15"/>
    <x v="0"/>
    <n v="115"/>
    <n v="58"/>
    <x v="0"/>
    <n v="115"/>
    <n v="58"/>
    <n v="57"/>
    <n v="0.4956521739130435"/>
  </r>
  <r>
    <x v="230"/>
    <d v="2026-05-17T00:00:00"/>
    <s v="CUST-0073"/>
    <s v="PROD-009"/>
    <x v="1"/>
    <x v="1"/>
    <n v="1"/>
    <n v="0.1"/>
    <x v="0"/>
    <n v="4"/>
    <n v="3"/>
    <x v="14"/>
    <x v="1"/>
    <n v="185"/>
    <n v="105"/>
    <x v="2"/>
    <n v="166.5"/>
    <n v="105"/>
    <n v="61.5"/>
    <n v="0.36936936936936937"/>
  </r>
  <r>
    <x v="231"/>
    <d v="2026-01-13T00:00:00"/>
    <s v="CUST-0233"/>
    <s v="PROD-016"/>
    <x v="3"/>
    <x v="1"/>
    <n v="4"/>
    <n v="0.1"/>
    <x v="0"/>
    <n v="4"/>
    <n v="3"/>
    <x v="9"/>
    <x v="3"/>
    <n v="28"/>
    <n v="12"/>
    <x v="0"/>
    <n v="100.8"/>
    <n v="48"/>
    <n v="52.8"/>
    <n v="0.52380952380952384"/>
  </r>
  <r>
    <x v="232"/>
    <d v="2025-03-06T00:00:00"/>
    <s v="CUST-0274"/>
    <s v="PROD-013"/>
    <x v="2"/>
    <x v="1"/>
    <n v="1"/>
    <n v="0"/>
    <x v="0"/>
    <n v="4"/>
    <n v="5"/>
    <x v="4"/>
    <x v="2"/>
    <n v="32"/>
    <n v="13"/>
    <x v="2"/>
    <n v="32"/>
    <n v="13"/>
    <n v="19"/>
    <n v="0.59375"/>
  </r>
  <r>
    <x v="233"/>
    <d v="2025-05-14T00:00:00"/>
    <s v="CUST-0290"/>
    <s v="PROD-016"/>
    <x v="0"/>
    <x v="2"/>
    <n v="4"/>
    <n v="0"/>
    <x v="0"/>
    <n v="5"/>
    <n v="1"/>
    <x v="9"/>
    <x v="3"/>
    <n v="28"/>
    <n v="12"/>
    <x v="1"/>
    <n v="112"/>
    <n v="48"/>
    <n v="64"/>
    <n v="0.5714285714285714"/>
  </r>
  <r>
    <x v="234"/>
    <d v="2025-05-08T00:00:00"/>
    <s v="CUST-0081"/>
    <s v="PROD-015"/>
    <x v="4"/>
    <x v="2"/>
    <n v="2"/>
    <n v="0.2"/>
    <x v="0"/>
    <n v="5"/>
    <n v="3"/>
    <x v="12"/>
    <x v="3"/>
    <n v="23"/>
    <n v="10"/>
    <x v="0"/>
    <n v="36.800000000000004"/>
    <n v="20"/>
    <n v="16.800000000000004"/>
    <n v="0.45652173913043487"/>
  </r>
  <r>
    <x v="235"/>
    <d v="2025-06-12T00:00:00"/>
    <s v="CUST-0141"/>
    <s v="PROD-003"/>
    <x v="1"/>
    <x v="1"/>
    <n v="2"/>
    <n v="0.15"/>
    <x v="0"/>
    <n v="4"/>
    <n v="3"/>
    <x v="10"/>
    <x v="0"/>
    <n v="75"/>
    <n v="38"/>
    <x v="1"/>
    <n v="127.5"/>
    <n v="76"/>
    <n v="51.5"/>
    <n v="0.40392156862745099"/>
  </r>
  <r>
    <x v="236"/>
    <d v="2025-08-28T00:00:00"/>
    <s v="CUST-0220"/>
    <s v="PROD-003"/>
    <x v="1"/>
    <x v="1"/>
    <n v="2"/>
    <n v="0"/>
    <x v="0"/>
    <n v="5"/>
    <n v="1"/>
    <x v="10"/>
    <x v="0"/>
    <n v="75"/>
    <n v="38"/>
    <x v="1"/>
    <n v="150"/>
    <n v="76"/>
    <n v="74"/>
    <n v="0.49333333333333335"/>
  </r>
  <r>
    <x v="237"/>
    <d v="2025-01-09T00:00:00"/>
    <s v="CUST-0176"/>
    <s v="PROD-004"/>
    <x v="0"/>
    <x v="1"/>
    <n v="1"/>
    <n v="0"/>
    <x v="0"/>
    <n v="5"/>
    <n v="1"/>
    <x v="3"/>
    <x v="0"/>
    <n v="42"/>
    <n v="19"/>
    <x v="1"/>
    <n v="42"/>
    <n v="19"/>
    <n v="23"/>
    <n v="0.54761904761904767"/>
  </r>
  <r>
    <x v="238"/>
    <d v="2025-04-16T00:00:00"/>
    <s v="CUST-0161"/>
    <s v="PROD-012"/>
    <x v="0"/>
    <x v="1"/>
    <n v="4"/>
    <n v="0.1"/>
    <x v="0"/>
    <n v="5"/>
    <n v="2"/>
    <x v="11"/>
    <x v="2"/>
    <n v="68"/>
    <n v="31"/>
    <x v="1"/>
    <n v="244.8"/>
    <n v="124"/>
    <n v="120.80000000000001"/>
    <n v="0.49346405228758172"/>
  </r>
  <r>
    <x v="239"/>
    <d v="2025-03-12T00:00:00"/>
    <s v="CUST-0272"/>
    <s v="PROD-001"/>
    <x v="1"/>
    <x v="1"/>
    <n v="2"/>
    <n v="0"/>
    <x v="0"/>
    <n v="5"/>
    <n v="5"/>
    <x v="2"/>
    <x v="0"/>
    <n v="1100"/>
    <n v="720"/>
    <x v="1"/>
    <n v="2200"/>
    <n v="1440"/>
    <n v="760"/>
    <n v="0.34545454545454546"/>
  </r>
  <r>
    <x v="240"/>
    <d v="2026-03-30T00:00:00"/>
    <s v="CUST-0112"/>
    <s v="PROD-003"/>
    <x v="0"/>
    <x v="1"/>
    <n v="1"/>
    <n v="0.1"/>
    <x v="0"/>
    <n v="4"/>
    <n v="2"/>
    <x v="10"/>
    <x v="0"/>
    <n v="75"/>
    <n v="38"/>
    <x v="1"/>
    <n v="67.5"/>
    <n v="38"/>
    <n v="29.5"/>
    <n v="0.43703703703703706"/>
  </r>
  <r>
    <x v="241"/>
    <d v="2025-09-11T00:00:00"/>
    <s v="CUST-0142"/>
    <s v="PROD-003"/>
    <x v="3"/>
    <x v="0"/>
    <n v="4"/>
    <n v="0"/>
    <x v="1"/>
    <n v="1"/>
    <n v="5"/>
    <x v="10"/>
    <x v="0"/>
    <n v="75"/>
    <n v="38"/>
    <x v="0"/>
    <n v="300"/>
    <n v="152"/>
    <n v="148"/>
    <n v="0.49333333333333335"/>
  </r>
  <r>
    <x v="242"/>
    <d v="2026-06-15T00:00:00"/>
    <s v="CUST-0261"/>
    <s v="PROD-007"/>
    <x v="1"/>
    <x v="1"/>
    <n v="1"/>
    <n v="0.15"/>
    <x v="1"/>
    <n v="4"/>
    <n v="3"/>
    <x v="6"/>
    <x v="1"/>
    <n v="540"/>
    <n v="320"/>
    <x v="2"/>
    <n v="459"/>
    <n v="320"/>
    <n v="139"/>
    <n v="0.30283224400871461"/>
  </r>
  <r>
    <x v="243"/>
    <d v="2026-05-27T00:00:00"/>
    <s v="CUST-0037"/>
    <s v="PROD-001"/>
    <x v="0"/>
    <x v="2"/>
    <n v="1"/>
    <n v="0.15"/>
    <x v="0"/>
    <n v="4"/>
    <n v="2"/>
    <x v="2"/>
    <x v="0"/>
    <n v="1100"/>
    <n v="720"/>
    <x v="2"/>
    <n v="935"/>
    <n v="720"/>
    <n v="215"/>
    <n v="0.22994652406417113"/>
  </r>
  <r>
    <x v="244"/>
    <d v="2026-04-28T00:00:00"/>
    <s v="CUST-0038"/>
    <s v="PROD-001"/>
    <x v="4"/>
    <x v="1"/>
    <n v="1"/>
    <n v="0.15"/>
    <x v="1"/>
    <n v="4"/>
    <n v="7"/>
    <x v="2"/>
    <x v="0"/>
    <n v="1100"/>
    <n v="720"/>
    <x v="0"/>
    <n v="935"/>
    <n v="720"/>
    <n v="215"/>
    <n v="0.22994652406417113"/>
  </r>
  <r>
    <x v="245"/>
    <d v="2026-03-10T00:00:00"/>
    <s v="CUST-0206"/>
    <s v="PROD-003"/>
    <x v="1"/>
    <x v="0"/>
    <n v="1"/>
    <n v="0"/>
    <x v="0"/>
    <n v="5"/>
    <n v="2"/>
    <x v="10"/>
    <x v="0"/>
    <n v="75"/>
    <n v="38"/>
    <x v="1"/>
    <n v="75"/>
    <n v="38"/>
    <n v="37"/>
    <n v="0.49333333333333335"/>
  </r>
  <r>
    <x v="246"/>
    <d v="2026-07-04T00:00:00"/>
    <s v="CUST-0168"/>
    <s v="PROD-013"/>
    <x v="4"/>
    <x v="0"/>
    <n v="3"/>
    <n v="0.05"/>
    <x v="0"/>
    <n v="4"/>
    <n v="2"/>
    <x v="4"/>
    <x v="2"/>
    <n v="32"/>
    <n v="13"/>
    <x v="0"/>
    <n v="91.199999999999989"/>
    <n v="39"/>
    <n v="52.199999999999989"/>
    <n v="0.57236842105263153"/>
  </r>
  <r>
    <x v="247"/>
    <d v="2025-03-01T00:00:00"/>
    <s v="CUST-0126"/>
    <s v="PROD-003"/>
    <x v="0"/>
    <x v="1"/>
    <n v="3"/>
    <n v="0"/>
    <x v="0"/>
    <n v="5"/>
    <n v="2"/>
    <x v="10"/>
    <x v="0"/>
    <n v="75"/>
    <n v="38"/>
    <x v="1"/>
    <n v="225"/>
    <n v="114"/>
    <n v="111"/>
    <n v="0.49333333333333335"/>
  </r>
  <r>
    <x v="248"/>
    <d v="2025-05-03T00:00:00"/>
    <s v="CUST-0007"/>
    <s v="PROD-005"/>
    <x v="1"/>
    <x v="1"/>
    <n v="7"/>
    <n v="0.05"/>
    <x v="0"/>
    <n v="5"/>
    <n v="2"/>
    <x v="15"/>
    <x v="0"/>
    <n v="115"/>
    <n v="58"/>
    <x v="2"/>
    <n v="764.75"/>
    <n v="406"/>
    <n v="358.75"/>
    <n v="0.46910755148741418"/>
  </r>
  <r>
    <x v="249"/>
    <d v="2026-01-16T00:00:00"/>
    <s v="CUST-0065"/>
    <s v="PROD-009"/>
    <x v="1"/>
    <x v="1"/>
    <n v="6"/>
    <n v="0"/>
    <x v="0"/>
    <n v="4"/>
    <n v="3"/>
    <x v="14"/>
    <x v="1"/>
    <n v="185"/>
    <n v="105"/>
    <x v="2"/>
    <n v="1110"/>
    <n v="630"/>
    <n v="480"/>
    <n v="0.43243243243243246"/>
  </r>
  <r>
    <x v="250"/>
    <d v="2026-08-14T00:00:00"/>
    <s v="CUST-0040"/>
    <s v="PROD-016"/>
    <x v="4"/>
    <x v="1"/>
    <n v="2"/>
    <n v="0.05"/>
    <x v="0"/>
    <n v="4"/>
    <n v="1"/>
    <x v="9"/>
    <x v="3"/>
    <n v="28"/>
    <n v="12"/>
    <x v="0"/>
    <n v="53.199999999999996"/>
    <n v="24"/>
    <n v="29.199999999999996"/>
    <n v="0.54887218045112773"/>
  </r>
  <r>
    <x v="251"/>
    <d v="2026-08-11T00:00:00"/>
    <s v="CUST-0060"/>
    <s v="PROD-008"/>
    <x v="1"/>
    <x v="1"/>
    <n v="5"/>
    <n v="0"/>
    <x v="0"/>
    <n v="4"/>
    <n v="2"/>
    <x v="1"/>
    <x v="1"/>
    <n v="255"/>
    <n v="145"/>
    <x v="1"/>
    <n v="1275"/>
    <n v="725"/>
    <n v="550"/>
    <n v="0.43137254901960786"/>
  </r>
  <r>
    <x v="252"/>
    <d v="2025-07-03T00:00:00"/>
    <s v="CUST-0019"/>
    <s v="PROD-014"/>
    <x v="3"/>
    <x v="1"/>
    <n v="6"/>
    <n v="0"/>
    <x v="0"/>
    <n v="4"/>
    <n v="1"/>
    <x v="5"/>
    <x v="3"/>
    <n v="17"/>
    <n v="8"/>
    <x v="2"/>
    <n v="102"/>
    <n v="48"/>
    <n v="54"/>
    <n v="0.52941176470588236"/>
  </r>
  <r>
    <x v="253"/>
    <d v="2026-05-30T00:00:00"/>
    <s v="CUST-0027"/>
    <s v="PROD-006"/>
    <x v="3"/>
    <x v="0"/>
    <n v="1"/>
    <n v="0"/>
    <x v="0"/>
    <n v="5"/>
    <n v="3"/>
    <x v="7"/>
    <x v="0"/>
    <n v="98"/>
    <n v="46"/>
    <x v="1"/>
    <n v="98"/>
    <n v="46"/>
    <n v="52"/>
    <n v="0.53061224489795922"/>
  </r>
  <r>
    <x v="254"/>
    <d v="2025-12-02T00:00:00"/>
    <s v="CUST-0045"/>
    <s v="PROD-015"/>
    <x v="2"/>
    <x v="1"/>
    <n v="3"/>
    <n v="0"/>
    <x v="0"/>
    <n v="4"/>
    <n v="5"/>
    <x v="12"/>
    <x v="3"/>
    <n v="23"/>
    <n v="10"/>
    <x v="1"/>
    <n v="69"/>
    <n v="30"/>
    <n v="39"/>
    <n v="0.56521739130434778"/>
  </r>
  <r>
    <x v="255"/>
    <d v="2026-05-21T00:00:00"/>
    <s v="CUST-0101"/>
    <s v="PROD-008"/>
    <x v="2"/>
    <x v="2"/>
    <n v="1"/>
    <n v="0.05"/>
    <x v="0"/>
    <n v="5"/>
    <n v="1"/>
    <x v="1"/>
    <x v="1"/>
    <n v="255"/>
    <n v="145"/>
    <x v="1"/>
    <n v="242.25"/>
    <n v="145"/>
    <n v="97.25"/>
    <n v="0.40144478844169246"/>
  </r>
  <r>
    <x v="256"/>
    <d v="2025-12-10T00:00:00"/>
    <s v="CUST-0001"/>
    <s v="PROD-013"/>
    <x v="0"/>
    <x v="0"/>
    <n v="1"/>
    <n v="0.05"/>
    <x v="0"/>
    <n v="4"/>
    <n v="1"/>
    <x v="4"/>
    <x v="2"/>
    <n v="32"/>
    <n v="13"/>
    <x v="0"/>
    <n v="30.4"/>
    <n v="13"/>
    <n v="17.399999999999999"/>
    <n v="0.57236842105263153"/>
  </r>
  <r>
    <x v="257"/>
    <d v="2025-05-26T00:00:00"/>
    <s v="CUST-0144"/>
    <s v="PROD-003"/>
    <x v="2"/>
    <x v="1"/>
    <n v="5"/>
    <n v="0"/>
    <x v="0"/>
    <n v="4"/>
    <n v="1"/>
    <x v="10"/>
    <x v="0"/>
    <n v="75"/>
    <n v="38"/>
    <x v="2"/>
    <n v="375"/>
    <n v="190"/>
    <n v="185"/>
    <n v="0.49333333333333335"/>
  </r>
  <r>
    <x v="258"/>
    <d v="2026-08-18T00:00:00"/>
    <s v="CUST-0049"/>
    <s v="PROD-005"/>
    <x v="1"/>
    <x v="1"/>
    <n v="3"/>
    <n v="0"/>
    <x v="0"/>
    <n v="3"/>
    <n v="3"/>
    <x v="15"/>
    <x v="0"/>
    <n v="115"/>
    <n v="58"/>
    <x v="0"/>
    <n v="345"/>
    <n v="174"/>
    <n v="171"/>
    <n v="0.4956521739130435"/>
  </r>
  <r>
    <x v="259"/>
    <d v="2025-09-25T00:00:00"/>
    <s v="CUST-0162"/>
    <s v="PROD-013"/>
    <x v="1"/>
    <x v="0"/>
    <n v="1"/>
    <n v="0"/>
    <x v="0"/>
    <n v="3"/>
    <n v="5"/>
    <x v="4"/>
    <x v="2"/>
    <n v="32"/>
    <n v="13"/>
    <x v="0"/>
    <n v="32"/>
    <n v="13"/>
    <n v="19"/>
    <n v="0.59375"/>
  </r>
  <r>
    <x v="260"/>
    <d v="2025-04-22T00:00:00"/>
    <s v="CUST-0080"/>
    <s v="PROD-004"/>
    <x v="2"/>
    <x v="1"/>
    <n v="2"/>
    <n v="0.05"/>
    <x v="1"/>
    <n v="3"/>
    <n v="7"/>
    <x v="3"/>
    <x v="0"/>
    <n v="42"/>
    <n v="19"/>
    <x v="1"/>
    <n v="79.8"/>
    <n v="38"/>
    <n v="41.8"/>
    <n v="0.52380952380952384"/>
  </r>
  <r>
    <x v="261"/>
    <d v="2025-09-29T00:00:00"/>
    <s v="CUST-0062"/>
    <s v="PROD-003"/>
    <x v="2"/>
    <x v="0"/>
    <n v="5"/>
    <n v="0.1"/>
    <x v="0"/>
    <n v="5"/>
    <n v="3"/>
    <x v="10"/>
    <x v="0"/>
    <n v="75"/>
    <n v="38"/>
    <x v="0"/>
    <n v="337.5"/>
    <n v="190"/>
    <n v="147.5"/>
    <n v="0.43703703703703706"/>
  </r>
  <r>
    <x v="262"/>
    <d v="2025-06-01T00:00:00"/>
    <s v="CUST-0047"/>
    <s v="PROD-008"/>
    <x v="0"/>
    <x v="1"/>
    <n v="1"/>
    <n v="0"/>
    <x v="0"/>
    <n v="3"/>
    <n v="4"/>
    <x v="1"/>
    <x v="1"/>
    <n v="255"/>
    <n v="145"/>
    <x v="1"/>
    <n v="255"/>
    <n v="145"/>
    <n v="110"/>
    <n v="0.43137254901960786"/>
  </r>
  <r>
    <x v="263"/>
    <d v="2026-04-09T00:00:00"/>
    <s v="CUST-0285"/>
    <s v="PROD-008"/>
    <x v="2"/>
    <x v="1"/>
    <n v="4"/>
    <n v="0"/>
    <x v="0"/>
    <n v="5"/>
    <n v="2"/>
    <x v="1"/>
    <x v="1"/>
    <n v="255"/>
    <n v="145"/>
    <x v="1"/>
    <n v="1020"/>
    <n v="580"/>
    <n v="440"/>
    <n v="0.43137254901960786"/>
  </r>
  <r>
    <x v="264"/>
    <d v="2025-05-14T00:00:00"/>
    <s v="CUST-0102"/>
    <s v="PROD-013"/>
    <x v="3"/>
    <x v="0"/>
    <n v="3"/>
    <n v="0.05"/>
    <x v="0"/>
    <n v="5"/>
    <n v="1"/>
    <x v="4"/>
    <x v="2"/>
    <n v="32"/>
    <n v="13"/>
    <x v="0"/>
    <n v="91.199999999999989"/>
    <n v="39"/>
    <n v="52.199999999999989"/>
    <n v="0.57236842105263153"/>
  </r>
  <r>
    <x v="265"/>
    <d v="2025-03-08T00:00:00"/>
    <s v="CUST-0102"/>
    <s v="PROD-015"/>
    <x v="0"/>
    <x v="1"/>
    <n v="5"/>
    <n v="0.1"/>
    <x v="0"/>
    <n v="5"/>
    <n v="1"/>
    <x v="12"/>
    <x v="3"/>
    <n v="23"/>
    <n v="10"/>
    <x v="0"/>
    <n v="103.5"/>
    <n v="50"/>
    <n v="53.5"/>
    <n v="0.51690821256038644"/>
  </r>
  <r>
    <x v="266"/>
    <d v="2025-06-22T00:00:00"/>
    <s v="CUST-0294"/>
    <s v="PROD-014"/>
    <x v="0"/>
    <x v="1"/>
    <n v="1"/>
    <n v="0.1"/>
    <x v="0"/>
    <n v="3"/>
    <n v="2"/>
    <x v="5"/>
    <x v="3"/>
    <n v="17"/>
    <n v="8"/>
    <x v="1"/>
    <n v="15.3"/>
    <n v="8"/>
    <n v="7.3000000000000007"/>
    <n v="0.47712418300653597"/>
  </r>
  <r>
    <x v="267"/>
    <d v="2025-10-09T00:00:00"/>
    <s v="CUST-0144"/>
    <s v="PROD-015"/>
    <x v="0"/>
    <x v="1"/>
    <n v="3"/>
    <n v="0"/>
    <x v="0"/>
    <n v="4"/>
    <n v="5"/>
    <x v="12"/>
    <x v="3"/>
    <n v="23"/>
    <n v="10"/>
    <x v="2"/>
    <n v="69"/>
    <n v="30"/>
    <n v="39"/>
    <n v="0.56521739130434778"/>
  </r>
  <r>
    <x v="268"/>
    <d v="2026-05-06T00:00:00"/>
    <s v="CUST-0032"/>
    <s v="PROD-003"/>
    <x v="3"/>
    <x v="1"/>
    <n v="1"/>
    <n v="0.15"/>
    <x v="0"/>
    <n v="5"/>
    <n v="5"/>
    <x v="10"/>
    <x v="0"/>
    <n v="75"/>
    <n v="38"/>
    <x v="0"/>
    <n v="63.75"/>
    <n v="38"/>
    <n v="25.75"/>
    <n v="0.40392156862745099"/>
  </r>
  <r>
    <x v="269"/>
    <d v="2025-01-20T00:00:00"/>
    <s v="CUST-0196"/>
    <s v="PROD-012"/>
    <x v="4"/>
    <x v="0"/>
    <n v="2"/>
    <n v="0.05"/>
    <x v="0"/>
    <n v="4"/>
    <n v="1"/>
    <x v="11"/>
    <x v="2"/>
    <n v="68"/>
    <n v="31"/>
    <x v="2"/>
    <n v="129.19999999999999"/>
    <n v="62"/>
    <n v="67.199999999999989"/>
    <n v="0.52012383900928794"/>
  </r>
  <r>
    <x v="270"/>
    <d v="2025-11-23T00:00:00"/>
    <s v="CUST-0113"/>
    <s v="PROD-001"/>
    <x v="0"/>
    <x v="0"/>
    <n v="1"/>
    <n v="0.2"/>
    <x v="0"/>
    <n v="5"/>
    <n v="2"/>
    <x v="2"/>
    <x v="0"/>
    <n v="1100"/>
    <n v="720"/>
    <x v="0"/>
    <n v="880"/>
    <n v="720"/>
    <n v="160"/>
    <n v="0.18181818181818182"/>
  </r>
  <r>
    <x v="271"/>
    <d v="2025-06-13T00:00:00"/>
    <s v="CUST-0052"/>
    <s v="PROD-008"/>
    <x v="1"/>
    <x v="1"/>
    <n v="4"/>
    <n v="0.15"/>
    <x v="0"/>
    <n v="5"/>
    <n v="2"/>
    <x v="1"/>
    <x v="1"/>
    <n v="255"/>
    <n v="145"/>
    <x v="1"/>
    <n v="867"/>
    <n v="580"/>
    <n v="287"/>
    <n v="0.33102652825836215"/>
  </r>
  <r>
    <x v="272"/>
    <d v="2026-08-13T00:00:00"/>
    <s v="CUST-0199"/>
    <s v="PROD-012"/>
    <x v="0"/>
    <x v="2"/>
    <n v="1"/>
    <n v="0"/>
    <x v="0"/>
    <n v="5"/>
    <n v="3"/>
    <x v="11"/>
    <x v="2"/>
    <n v="68"/>
    <n v="31"/>
    <x v="2"/>
    <n v="68"/>
    <n v="31"/>
    <n v="37"/>
    <n v="0.54411764705882348"/>
  </r>
  <r>
    <x v="273"/>
    <d v="2026-08-29T00:00:00"/>
    <s v="CUST-0015"/>
    <s v="PROD-012"/>
    <x v="0"/>
    <x v="0"/>
    <n v="3"/>
    <n v="0"/>
    <x v="1"/>
    <n v="5"/>
    <n v="7"/>
    <x v="11"/>
    <x v="2"/>
    <n v="68"/>
    <n v="31"/>
    <x v="0"/>
    <n v="204"/>
    <n v="93"/>
    <n v="111"/>
    <n v="0.54411764705882348"/>
  </r>
  <r>
    <x v="274"/>
    <d v="2025-06-29T00:00:00"/>
    <s v="CUST-0252"/>
    <s v="PROD-002"/>
    <x v="2"/>
    <x v="1"/>
    <n v="1"/>
    <n v="0.05"/>
    <x v="0"/>
    <n v="5"/>
    <n v="2"/>
    <x v="0"/>
    <x v="0"/>
    <n v="310"/>
    <n v="190"/>
    <x v="0"/>
    <n v="294.5"/>
    <n v="190"/>
    <n v="104.5"/>
    <n v="0.35483870967741937"/>
  </r>
  <r>
    <x v="275"/>
    <d v="2025-05-14T00:00:00"/>
    <s v="CUST-0175"/>
    <s v="PROD-006"/>
    <x v="0"/>
    <x v="2"/>
    <n v="2"/>
    <n v="0"/>
    <x v="0"/>
    <n v="5"/>
    <n v="1"/>
    <x v="7"/>
    <x v="0"/>
    <n v="98"/>
    <n v="46"/>
    <x v="2"/>
    <n v="196"/>
    <n v="92"/>
    <n v="104"/>
    <n v="0.53061224489795922"/>
  </r>
  <r>
    <x v="276"/>
    <d v="2026-06-23T00:00:00"/>
    <s v="CUST-0187"/>
    <s v="PROD-003"/>
    <x v="3"/>
    <x v="2"/>
    <n v="2"/>
    <n v="0"/>
    <x v="0"/>
    <n v="3"/>
    <n v="2"/>
    <x v="10"/>
    <x v="0"/>
    <n v="75"/>
    <n v="38"/>
    <x v="2"/>
    <n v="150"/>
    <n v="76"/>
    <n v="74"/>
    <n v="0.49333333333333335"/>
  </r>
  <r>
    <x v="277"/>
    <d v="2026-03-24T00:00:00"/>
    <s v="CUST-0250"/>
    <s v="PROD-011"/>
    <x v="2"/>
    <x v="2"/>
    <n v="3"/>
    <n v="0.15"/>
    <x v="0"/>
    <n v="3"/>
    <n v="5"/>
    <x v="8"/>
    <x v="2"/>
    <n v="85"/>
    <n v="39"/>
    <x v="1"/>
    <n v="216.75"/>
    <n v="117"/>
    <n v="99.75"/>
    <n v="0.46020761245674741"/>
  </r>
  <r>
    <x v="278"/>
    <d v="2025-06-29T00:00:00"/>
    <s v="CUST-0194"/>
    <s v="PROD-010"/>
    <x v="1"/>
    <x v="1"/>
    <n v="1"/>
    <n v="0"/>
    <x v="0"/>
    <n v="4"/>
    <n v="5"/>
    <x v="13"/>
    <x v="2"/>
    <n v="48"/>
    <n v="22"/>
    <x v="2"/>
    <n v="48"/>
    <n v="22"/>
    <n v="26"/>
    <n v="0.54166666666666663"/>
  </r>
  <r>
    <x v="279"/>
    <d v="2025-02-03T00:00:00"/>
    <s v="CUST-0094"/>
    <s v="PROD-011"/>
    <x v="0"/>
    <x v="2"/>
    <n v="1"/>
    <n v="0.05"/>
    <x v="1"/>
    <n v="3"/>
    <n v="3"/>
    <x v="8"/>
    <x v="2"/>
    <n v="85"/>
    <n v="39"/>
    <x v="1"/>
    <n v="80.75"/>
    <n v="39"/>
    <n v="41.75"/>
    <n v="0.51702786377708976"/>
  </r>
  <r>
    <x v="280"/>
    <d v="2025-12-22T00:00:00"/>
    <s v="CUST-0164"/>
    <s v="PROD-006"/>
    <x v="1"/>
    <x v="2"/>
    <n v="5"/>
    <n v="0.1"/>
    <x v="0"/>
    <n v="4"/>
    <n v="1"/>
    <x v="7"/>
    <x v="0"/>
    <n v="98"/>
    <n v="46"/>
    <x v="2"/>
    <n v="441"/>
    <n v="230"/>
    <n v="211"/>
    <n v="0.47845804988662133"/>
  </r>
  <r>
    <x v="281"/>
    <d v="2025-09-29T00:00:00"/>
    <s v="CUST-0108"/>
    <s v="PROD-008"/>
    <x v="1"/>
    <x v="1"/>
    <n v="4"/>
    <n v="0.1"/>
    <x v="0"/>
    <n v="4"/>
    <n v="4"/>
    <x v="1"/>
    <x v="1"/>
    <n v="255"/>
    <n v="145"/>
    <x v="1"/>
    <n v="918"/>
    <n v="580"/>
    <n v="338"/>
    <n v="0.36819172113289761"/>
  </r>
  <r>
    <x v="282"/>
    <d v="2025-06-20T00:00:00"/>
    <s v="CUST-0212"/>
    <s v="PROD-016"/>
    <x v="0"/>
    <x v="1"/>
    <n v="2"/>
    <n v="0.1"/>
    <x v="0"/>
    <n v="4"/>
    <n v="2"/>
    <x v="9"/>
    <x v="3"/>
    <n v="28"/>
    <n v="12"/>
    <x v="0"/>
    <n v="50.4"/>
    <n v="24"/>
    <n v="26.4"/>
    <n v="0.52380952380952384"/>
  </r>
  <r>
    <x v="283"/>
    <d v="2025-06-16T00:00:00"/>
    <s v="CUST-0232"/>
    <s v="PROD-003"/>
    <x v="0"/>
    <x v="1"/>
    <n v="1"/>
    <n v="0"/>
    <x v="0"/>
    <n v="4"/>
    <n v="4"/>
    <x v="10"/>
    <x v="0"/>
    <n v="75"/>
    <n v="38"/>
    <x v="1"/>
    <n v="75"/>
    <n v="38"/>
    <n v="37"/>
    <n v="0.49333333333333335"/>
  </r>
  <r>
    <x v="284"/>
    <d v="2025-06-14T00:00:00"/>
    <s v="CUST-0039"/>
    <s v="PROD-003"/>
    <x v="3"/>
    <x v="2"/>
    <n v="6"/>
    <n v="0.1"/>
    <x v="0"/>
    <n v="5"/>
    <n v="5"/>
    <x v="10"/>
    <x v="0"/>
    <n v="75"/>
    <n v="38"/>
    <x v="2"/>
    <n v="405"/>
    <n v="228"/>
    <n v="177"/>
    <n v="0.43703703703703706"/>
  </r>
  <r>
    <x v="285"/>
    <d v="2026-03-21T00:00:00"/>
    <s v="CUST-0081"/>
    <s v="PROD-002"/>
    <x v="2"/>
    <x v="1"/>
    <n v="1"/>
    <n v="0.1"/>
    <x v="0"/>
    <n v="5"/>
    <n v="3"/>
    <x v="0"/>
    <x v="0"/>
    <n v="310"/>
    <n v="190"/>
    <x v="0"/>
    <n v="279"/>
    <n v="190"/>
    <n v="89"/>
    <n v="0.31899641577060933"/>
  </r>
  <r>
    <x v="286"/>
    <d v="2025-10-16T00:00:00"/>
    <s v="CUST-0153"/>
    <s v="PROD-008"/>
    <x v="2"/>
    <x v="1"/>
    <n v="2"/>
    <n v="0.05"/>
    <x v="0"/>
    <n v="1"/>
    <n v="4"/>
    <x v="1"/>
    <x v="1"/>
    <n v="255"/>
    <n v="145"/>
    <x v="1"/>
    <n v="484.5"/>
    <n v="290"/>
    <n v="194.5"/>
    <n v="0.40144478844169246"/>
  </r>
  <r>
    <x v="287"/>
    <d v="2026-05-07T00:00:00"/>
    <s v="CUST-0103"/>
    <s v="PROD-004"/>
    <x v="2"/>
    <x v="1"/>
    <n v="1"/>
    <n v="0"/>
    <x v="0"/>
    <n v="4"/>
    <n v="4"/>
    <x v="3"/>
    <x v="0"/>
    <n v="42"/>
    <n v="19"/>
    <x v="0"/>
    <n v="42"/>
    <n v="19"/>
    <n v="23"/>
    <n v="0.54761904761904767"/>
  </r>
  <r>
    <x v="288"/>
    <d v="2026-04-28T00:00:00"/>
    <s v="CUST-0251"/>
    <s v="PROD-009"/>
    <x v="2"/>
    <x v="0"/>
    <n v="1"/>
    <n v="0.15"/>
    <x v="0"/>
    <n v="4"/>
    <n v="3"/>
    <x v="14"/>
    <x v="1"/>
    <n v="185"/>
    <n v="105"/>
    <x v="1"/>
    <n v="157.25"/>
    <n v="105"/>
    <n v="52.25"/>
    <n v="0.33227344992050872"/>
  </r>
  <r>
    <x v="289"/>
    <d v="2026-03-27T00:00:00"/>
    <s v="CUST-0239"/>
    <s v="PROD-009"/>
    <x v="3"/>
    <x v="1"/>
    <n v="1"/>
    <n v="0.1"/>
    <x v="0"/>
    <n v="2"/>
    <n v="7"/>
    <x v="14"/>
    <x v="1"/>
    <n v="185"/>
    <n v="105"/>
    <x v="0"/>
    <n v="166.5"/>
    <n v="105"/>
    <n v="61.5"/>
    <n v="0.36936936936936937"/>
  </r>
  <r>
    <x v="290"/>
    <d v="2026-08-27T00:00:00"/>
    <s v="CUST-0117"/>
    <s v="PROD-002"/>
    <x v="0"/>
    <x v="0"/>
    <n v="2"/>
    <n v="0.05"/>
    <x v="0"/>
    <n v="4"/>
    <n v="2"/>
    <x v="0"/>
    <x v="0"/>
    <n v="310"/>
    <n v="190"/>
    <x v="1"/>
    <n v="589"/>
    <n v="380"/>
    <n v="209"/>
    <n v="0.35483870967741937"/>
  </r>
  <r>
    <x v="291"/>
    <d v="2026-05-03T00:00:00"/>
    <s v="CUST-0154"/>
    <s v="PROD-003"/>
    <x v="3"/>
    <x v="2"/>
    <n v="1"/>
    <n v="0.05"/>
    <x v="0"/>
    <n v="4"/>
    <n v="5"/>
    <x v="10"/>
    <x v="0"/>
    <n v="75"/>
    <n v="38"/>
    <x v="0"/>
    <n v="71.25"/>
    <n v="38"/>
    <n v="33.25"/>
    <n v="0.46666666666666667"/>
  </r>
  <r>
    <x v="292"/>
    <d v="2025-05-31T00:00:00"/>
    <s v="CUST-0062"/>
    <s v="PROD-015"/>
    <x v="2"/>
    <x v="2"/>
    <n v="8"/>
    <n v="0.1"/>
    <x v="0"/>
    <n v="4"/>
    <n v="4"/>
    <x v="12"/>
    <x v="3"/>
    <n v="23"/>
    <n v="10"/>
    <x v="0"/>
    <n v="165.6"/>
    <n v="80"/>
    <n v="85.6"/>
    <n v="0.51690821256038644"/>
  </r>
  <r>
    <x v="293"/>
    <d v="2025-07-26T00:00:00"/>
    <s v="CUST-0076"/>
    <s v="PROD-009"/>
    <x v="3"/>
    <x v="0"/>
    <n v="4"/>
    <n v="0"/>
    <x v="0"/>
    <n v="4"/>
    <n v="3"/>
    <x v="14"/>
    <x v="1"/>
    <n v="185"/>
    <n v="105"/>
    <x v="1"/>
    <n v="740"/>
    <n v="420"/>
    <n v="320"/>
    <n v="0.43243243243243246"/>
  </r>
  <r>
    <x v="294"/>
    <d v="2026-06-17T00:00:00"/>
    <s v="CUST-0235"/>
    <s v="PROD-001"/>
    <x v="0"/>
    <x v="0"/>
    <n v="2"/>
    <n v="0"/>
    <x v="0"/>
    <n v="3"/>
    <n v="5"/>
    <x v="2"/>
    <x v="0"/>
    <n v="1100"/>
    <n v="720"/>
    <x v="1"/>
    <n v="2200"/>
    <n v="1440"/>
    <n v="760"/>
    <n v="0.34545454545454546"/>
  </r>
  <r>
    <x v="295"/>
    <d v="2026-08-20T00:00:00"/>
    <s v="CUST-0052"/>
    <s v="PROD-004"/>
    <x v="4"/>
    <x v="1"/>
    <n v="1"/>
    <n v="0.05"/>
    <x v="0"/>
    <n v="4"/>
    <n v="4"/>
    <x v="3"/>
    <x v="0"/>
    <n v="42"/>
    <n v="19"/>
    <x v="1"/>
    <n v="39.9"/>
    <n v="19"/>
    <n v="20.9"/>
    <n v="0.52380952380952384"/>
  </r>
  <r>
    <x v="296"/>
    <d v="2026-05-13T00:00:00"/>
    <s v="CUST-0293"/>
    <s v="PROD-016"/>
    <x v="2"/>
    <x v="1"/>
    <n v="1"/>
    <n v="0.05"/>
    <x v="0"/>
    <n v="1"/>
    <n v="5"/>
    <x v="9"/>
    <x v="3"/>
    <n v="28"/>
    <n v="12"/>
    <x v="0"/>
    <n v="26.599999999999998"/>
    <n v="12"/>
    <n v="14.599999999999998"/>
    <n v="0.54887218045112773"/>
  </r>
  <r>
    <x v="297"/>
    <d v="2025-02-20T00:00:00"/>
    <s v="CUST-0244"/>
    <s v="PROD-009"/>
    <x v="0"/>
    <x v="1"/>
    <n v="4"/>
    <n v="0"/>
    <x v="0"/>
    <n v="4"/>
    <n v="1"/>
    <x v="14"/>
    <x v="1"/>
    <n v="185"/>
    <n v="105"/>
    <x v="2"/>
    <n v="740"/>
    <n v="420"/>
    <n v="320"/>
    <n v="0.43243243243243246"/>
  </r>
  <r>
    <x v="298"/>
    <d v="2025-08-22T00:00:00"/>
    <s v="CUST-0069"/>
    <s v="PROD-010"/>
    <x v="0"/>
    <x v="1"/>
    <n v="5"/>
    <n v="0"/>
    <x v="0"/>
    <n v="5"/>
    <n v="2"/>
    <x v="13"/>
    <x v="2"/>
    <n v="48"/>
    <n v="22"/>
    <x v="1"/>
    <n v="240"/>
    <n v="110"/>
    <n v="130"/>
    <n v="0.54166666666666663"/>
  </r>
  <r>
    <x v="299"/>
    <d v="2026-03-29T00:00:00"/>
    <s v="CUST-0109"/>
    <s v="PROD-014"/>
    <x v="1"/>
    <x v="0"/>
    <n v="5"/>
    <n v="0.1"/>
    <x v="0"/>
    <n v="3"/>
    <n v="3"/>
    <x v="5"/>
    <x v="3"/>
    <n v="17"/>
    <n v="8"/>
    <x v="1"/>
    <n v="76.5"/>
    <n v="40"/>
    <n v="36.5"/>
    <n v="0.47712418300653597"/>
  </r>
  <r>
    <x v="300"/>
    <d v="2026-06-03T00:00:00"/>
    <s v="CUST-0207"/>
    <s v="PROD-005"/>
    <x v="0"/>
    <x v="0"/>
    <n v="3"/>
    <n v="0"/>
    <x v="0"/>
    <n v="3"/>
    <n v="1"/>
    <x v="15"/>
    <x v="0"/>
    <n v="115"/>
    <n v="58"/>
    <x v="1"/>
    <n v="345"/>
    <n v="174"/>
    <n v="171"/>
    <n v="0.4956521739130435"/>
  </r>
  <r>
    <x v="301"/>
    <d v="2025-09-13T00:00:00"/>
    <s v="CUST-0017"/>
    <s v="PROD-015"/>
    <x v="2"/>
    <x v="1"/>
    <n v="1"/>
    <n v="0"/>
    <x v="0"/>
    <n v="4"/>
    <n v="1"/>
    <x v="12"/>
    <x v="3"/>
    <n v="23"/>
    <n v="10"/>
    <x v="1"/>
    <n v="23"/>
    <n v="10"/>
    <n v="13"/>
    <n v="0.56521739130434778"/>
  </r>
  <r>
    <x v="302"/>
    <d v="2025-02-01T00:00:00"/>
    <s v="CUST-0124"/>
    <s v="PROD-012"/>
    <x v="4"/>
    <x v="1"/>
    <n v="7"/>
    <n v="0.05"/>
    <x v="0"/>
    <n v="4"/>
    <n v="3"/>
    <x v="11"/>
    <x v="2"/>
    <n v="68"/>
    <n v="31"/>
    <x v="0"/>
    <n v="452.2"/>
    <n v="217"/>
    <n v="235.2"/>
    <n v="0.52012383900928794"/>
  </r>
  <r>
    <x v="303"/>
    <d v="2025-04-03T00:00:00"/>
    <s v="CUST-0146"/>
    <s v="PROD-001"/>
    <x v="3"/>
    <x v="1"/>
    <n v="3"/>
    <n v="0.2"/>
    <x v="0"/>
    <n v="5"/>
    <n v="2"/>
    <x v="2"/>
    <x v="0"/>
    <n v="1100"/>
    <n v="720"/>
    <x v="1"/>
    <n v="2640"/>
    <n v="2160"/>
    <n v="480"/>
    <n v="0.18181818181818182"/>
  </r>
  <r>
    <x v="304"/>
    <d v="2025-10-03T00:00:00"/>
    <s v="CUST-0210"/>
    <s v="PROD-001"/>
    <x v="0"/>
    <x v="2"/>
    <n v="3"/>
    <n v="0.05"/>
    <x v="0"/>
    <n v="3"/>
    <n v="1"/>
    <x v="2"/>
    <x v="0"/>
    <n v="1100"/>
    <n v="720"/>
    <x v="2"/>
    <n v="3135"/>
    <n v="2160"/>
    <n v="975"/>
    <n v="0.31100478468899523"/>
  </r>
  <r>
    <x v="305"/>
    <d v="2025-08-18T00:00:00"/>
    <s v="CUST-0130"/>
    <s v="PROD-010"/>
    <x v="1"/>
    <x v="0"/>
    <n v="1"/>
    <n v="0.15"/>
    <x v="0"/>
    <n v="4"/>
    <n v="2"/>
    <x v="13"/>
    <x v="2"/>
    <n v="48"/>
    <n v="22"/>
    <x v="2"/>
    <n v="40.799999999999997"/>
    <n v="22"/>
    <n v="18.799999999999997"/>
    <n v="0.46078431372549017"/>
  </r>
  <r>
    <x v="306"/>
    <d v="2026-04-23T00:00:00"/>
    <s v="CUST-0155"/>
    <s v="PROD-013"/>
    <x v="4"/>
    <x v="1"/>
    <n v="8"/>
    <n v="0.2"/>
    <x v="0"/>
    <n v="4"/>
    <n v="5"/>
    <x v="4"/>
    <x v="2"/>
    <n v="32"/>
    <n v="13"/>
    <x v="1"/>
    <n v="204.8"/>
    <n v="104"/>
    <n v="100.80000000000001"/>
    <n v="0.49218750000000006"/>
  </r>
  <r>
    <x v="307"/>
    <d v="2025-10-17T00:00:00"/>
    <s v="CUST-0153"/>
    <s v="PROD-004"/>
    <x v="4"/>
    <x v="1"/>
    <n v="1"/>
    <n v="0"/>
    <x v="0"/>
    <n v="5"/>
    <n v="3"/>
    <x v="3"/>
    <x v="0"/>
    <n v="42"/>
    <n v="19"/>
    <x v="1"/>
    <n v="42"/>
    <n v="19"/>
    <n v="23"/>
    <n v="0.54761904761904767"/>
  </r>
  <r>
    <x v="308"/>
    <d v="2025-07-12T00:00:00"/>
    <s v="CUST-0077"/>
    <s v="PROD-008"/>
    <x v="0"/>
    <x v="0"/>
    <n v="4"/>
    <n v="0.05"/>
    <x v="0"/>
    <n v="5"/>
    <n v="1"/>
    <x v="1"/>
    <x v="1"/>
    <n v="255"/>
    <n v="145"/>
    <x v="2"/>
    <n v="969"/>
    <n v="580"/>
    <n v="389"/>
    <n v="0.40144478844169246"/>
  </r>
  <r>
    <x v="309"/>
    <d v="2026-05-25T00:00:00"/>
    <s v="CUST-0152"/>
    <s v="PROD-009"/>
    <x v="0"/>
    <x v="1"/>
    <n v="4"/>
    <n v="0.05"/>
    <x v="1"/>
    <n v="5"/>
    <n v="5"/>
    <x v="14"/>
    <x v="1"/>
    <n v="185"/>
    <n v="105"/>
    <x v="0"/>
    <n v="703"/>
    <n v="420"/>
    <n v="283"/>
    <n v="0.40256045519203415"/>
  </r>
  <r>
    <x v="310"/>
    <d v="2026-07-02T00:00:00"/>
    <s v="CUST-0244"/>
    <s v="PROD-012"/>
    <x v="4"/>
    <x v="2"/>
    <n v="5"/>
    <n v="0.15"/>
    <x v="0"/>
    <n v="2"/>
    <n v="5"/>
    <x v="11"/>
    <x v="2"/>
    <n v="68"/>
    <n v="31"/>
    <x v="2"/>
    <n v="289"/>
    <n v="155"/>
    <n v="134"/>
    <n v="0.46366782006920415"/>
  </r>
  <r>
    <x v="311"/>
    <d v="2026-07-27T00:00:00"/>
    <s v="CUST-0094"/>
    <s v="PROD-011"/>
    <x v="1"/>
    <x v="1"/>
    <n v="1"/>
    <n v="0.15"/>
    <x v="0"/>
    <n v="5"/>
    <n v="3"/>
    <x v="8"/>
    <x v="2"/>
    <n v="85"/>
    <n v="39"/>
    <x v="1"/>
    <n v="72.25"/>
    <n v="39"/>
    <n v="33.25"/>
    <n v="0.46020761245674741"/>
  </r>
  <r>
    <x v="312"/>
    <d v="2025-09-24T00:00:00"/>
    <s v="CUST-0300"/>
    <s v="PROD-010"/>
    <x v="4"/>
    <x v="1"/>
    <n v="1"/>
    <n v="0.05"/>
    <x v="0"/>
    <n v="5"/>
    <n v="4"/>
    <x v="13"/>
    <x v="2"/>
    <n v="48"/>
    <n v="22"/>
    <x v="2"/>
    <n v="45.599999999999994"/>
    <n v="22"/>
    <n v="23.599999999999994"/>
    <n v="0.51754385964912275"/>
  </r>
  <r>
    <x v="313"/>
    <d v="2025-07-19T00:00:00"/>
    <s v="CUST-0257"/>
    <s v="PROD-004"/>
    <x v="0"/>
    <x v="1"/>
    <n v="1"/>
    <n v="0"/>
    <x v="0"/>
    <n v="3"/>
    <n v="2"/>
    <x v="3"/>
    <x v="0"/>
    <n v="42"/>
    <n v="19"/>
    <x v="1"/>
    <n v="42"/>
    <n v="19"/>
    <n v="23"/>
    <n v="0.54761904761904767"/>
  </r>
  <r>
    <x v="314"/>
    <d v="2025-12-17T00:00:00"/>
    <s v="CUST-0210"/>
    <s v="PROD-015"/>
    <x v="2"/>
    <x v="2"/>
    <n v="1"/>
    <n v="0"/>
    <x v="0"/>
    <n v="5"/>
    <n v="3"/>
    <x v="12"/>
    <x v="3"/>
    <n v="23"/>
    <n v="10"/>
    <x v="2"/>
    <n v="23"/>
    <n v="10"/>
    <n v="13"/>
    <n v="0.56521739130434778"/>
  </r>
  <r>
    <x v="315"/>
    <d v="2025-03-01T00:00:00"/>
    <s v="CUST-0003"/>
    <s v="PROD-015"/>
    <x v="3"/>
    <x v="0"/>
    <n v="1"/>
    <n v="0.1"/>
    <x v="0"/>
    <n v="5"/>
    <n v="1"/>
    <x v="12"/>
    <x v="3"/>
    <n v="23"/>
    <n v="10"/>
    <x v="1"/>
    <n v="20.7"/>
    <n v="10"/>
    <n v="10.7"/>
    <n v="0.51690821256038644"/>
  </r>
  <r>
    <x v="316"/>
    <d v="2025-05-13T00:00:00"/>
    <s v="CUST-0223"/>
    <s v="PROD-014"/>
    <x v="3"/>
    <x v="2"/>
    <n v="2"/>
    <n v="0"/>
    <x v="0"/>
    <n v="4"/>
    <n v="1"/>
    <x v="5"/>
    <x v="3"/>
    <n v="17"/>
    <n v="8"/>
    <x v="0"/>
    <n v="34"/>
    <n v="16"/>
    <n v="18"/>
    <n v="0.52941176470588236"/>
  </r>
  <r>
    <x v="317"/>
    <d v="2025-11-26T00:00:00"/>
    <s v="CUST-0272"/>
    <s v="PROD-007"/>
    <x v="2"/>
    <x v="1"/>
    <n v="4"/>
    <n v="0"/>
    <x v="0"/>
    <n v="4"/>
    <n v="1"/>
    <x v="6"/>
    <x v="1"/>
    <n v="540"/>
    <n v="320"/>
    <x v="1"/>
    <n v="2160"/>
    <n v="1280"/>
    <n v="880"/>
    <n v="0.40740740740740738"/>
  </r>
  <r>
    <x v="318"/>
    <d v="2026-01-28T00:00:00"/>
    <s v="CUST-0258"/>
    <s v="PROD-010"/>
    <x v="2"/>
    <x v="0"/>
    <n v="1"/>
    <n v="0"/>
    <x v="0"/>
    <n v="4"/>
    <n v="3"/>
    <x v="13"/>
    <x v="2"/>
    <n v="48"/>
    <n v="22"/>
    <x v="1"/>
    <n v="48"/>
    <n v="22"/>
    <n v="26"/>
    <n v="0.54166666666666663"/>
  </r>
  <r>
    <x v="319"/>
    <d v="2026-03-21T00:00:00"/>
    <s v="CUST-0069"/>
    <s v="PROD-011"/>
    <x v="0"/>
    <x v="0"/>
    <n v="4"/>
    <n v="0"/>
    <x v="0"/>
    <n v="5"/>
    <n v="1"/>
    <x v="8"/>
    <x v="2"/>
    <n v="85"/>
    <n v="39"/>
    <x v="1"/>
    <n v="340"/>
    <n v="156"/>
    <n v="184"/>
    <n v="0.54117647058823526"/>
  </r>
  <r>
    <x v="320"/>
    <d v="2025-08-22T00:00:00"/>
    <s v="CUST-0115"/>
    <s v="PROD-005"/>
    <x v="2"/>
    <x v="1"/>
    <n v="2"/>
    <n v="0"/>
    <x v="0"/>
    <n v="5"/>
    <n v="4"/>
    <x v="15"/>
    <x v="0"/>
    <n v="115"/>
    <n v="58"/>
    <x v="2"/>
    <n v="230"/>
    <n v="116"/>
    <n v="114"/>
    <n v="0.4956521739130435"/>
  </r>
  <r>
    <x v="321"/>
    <d v="2025-09-19T00:00:00"/>
    <s v="CUST-0274"/>
    <s v="PROD-002"/>
    <x v="4"/>
    <x v="1"/>
    <n v="1"/>
    <n v="0.15"/>
    <x v="0"/>
    <n v="3"/>
    <n v="4"/>
    <x v="0"/>
    <x v="0"/>
    <n v="310"/>
    <n v="190"/>
    <x v="2"/>
    <n v="263.5"/>
    <n v="190"/>
    <n v="73.5"/>
    <n v="0.27893738140417457"/>
  </r>
  <r>
    <x v="322"/>
    <d v="2026-01-25T00:00:00"/>
    <s v="CUST-0064"/>
    <s v="PROD-009"/>
    <x v="4"/>
    <x v="1"/>
    <n v="3"/>
    <n v="0.05"/>
    <x v="0"/>
    <n v="5"/>
    <n v="5"/>
    <x v="14"/>
    <x v="1"/>
    <n v="185"/>
    <n v="105"/>
    <x v="0"/>
    <n v="527.25"/>
    <n v="315"/>
    <n v="212.25"/>
    <n v="0.40256045519203415"/>
  </r>
  <r>
    <x v="323"/>
    <d v="2025-10-04T00:00:00"/>
    <s v="CUST-0071"/>
    <s v="PROD-014"/>
    <x v="0"/>
    <x v="1"/>
    <n v="4"/>
    <n v="0"/>
    <x v="0"/>
    <n v="2"/>
    <n v="4"/>
    <x v="5"/>
    <x v="3"/>
    <n v="17"/>
    <n v="8"/>
    <x v="1"/>
    <n v="68"/>
    <n v="32"/>
    <n v="36"/>
    <n v="0.52941176470588236"/>
  </r>
  <r>
    <x v="324"/>
    <d v="2025-09-27T00:00:00"/>
    <s v="CUST-0268"/>
    <s v="PROD-007"/>
    <x v="3"/>
    <x v="1"/>
    <n v="1"/>
    <n v="0.05"/>
    <x v="1"/>
    <n v="5"/>
    <n v="7"/>
    <x v="6"/>
    <x v="1"/>
    <n v="540"/>
    <n v="320"/>
    <x v="2"/>
    <n v="513"/>
    <n v="320"/>
    <n v="193"/>
    <n v="0.37621832358674462"/>
  </r>
  <r>
    <x v="325"/>
    <d v="2025-08-29T00:00:00"/>
    <s v="CUST-0002"/>
    <s v="PROD-001"/>
    <x v="1"/>
    <x v="2"/>
    <n v="5"/>
    <n v="0.1"/>
    <x v="0"/>
    <n v="2"/>
    <n v="6"/>
    <x v="2"/>
    <x v="0"/>
    <n v="1100"/>
    <n v="720"/>
    <x v="1"/>
    <n v="4950"/>
    <n v="3600"/>
    <n v="1350"/>
    <n v="0.27272727272727271"/>
  </r>
  <r>
    <x v="326"/>
    <d v="2025-04-14T00:00:00"/>
    <s v="CUST-0132"/>
    <s v="PROD-008"/>
    <x v="4"/>
    <x v="2"/>
    <n v="1"/>
    <n v="0"/>
    <x v="0"/>
    <n v="5"/>
    <n v="3"/>
    <x v="1"/>
    <x v="1"/>
    <n v="255"/>
    <n v="145"/>
    <x v="1"/>
    <n v="255"/>
    <n v="145"/>
    <n v="110"/>
    <n v="0.43137254901960786"/>
  </r>
  <r>
    <x v="327"/>
    <d v="2026-01-04T00:00:00"/>
    <s v="CUST-0161"/>
    <s v="PROD-014"/>
    <x v="1"/>
    <x v="1"/>
    <n v="4"/>
    <n v="0"/>
    <x v="0"/>
    <n v="5"/>
    <n v="2"/>
    <x v="5"/>
    <x v="3"/>
    <n v="17"/>
    <n v="8"/>
    <x v="1"/>
    <n v="68"/>
    <n v="32"/>
    <n v="36"/>
    <n v="0.52941176470588236"/>
  </r>
  <r>
    <x v="328"/>
    <d v="2025-12-03T00:00:00"/>
    <s v="CUST-0184"/>
    <s v="PROD-015"/>
    <x v="0"/>
    <x v="1"/>
    <n v="4"/>
    <n v="0"/>
    <x v="0"/>
    <n v="3"/>
    <n v="4"/>
    <x v="12"/>
    <x v="3"/>
    <n v="23"/>
    <n v="10"/>
    <x v="1"/>
    <n v="92"/>
    <n v="40"/>
    <n v="52"/>
    <n v="0.56521739130434778"/>
  </r>
  <r>
    <x v="329"/>
    <d v="2026-04-13T00:00:00"/>
    <s v="CUST-0140"/>
    <s v="PROD-013"/>
    <x v="1"/>
    <x v="1"/>
    <n v="2"/>
    <n v="0.15"/>
    <x v="0"/>
    <n v="3"/>
    <n v="1"/>
    <x v="4"/>
    <x v="2"/>
    <n v="32"/>
    <n v="13"/>
    <x v="1"/>
    <n v="54.4"/>
    <n v="26"/>
    <n v="28.4"/>
    <n v="0.5220588235294118"/>
  </r>
  <r>
    <x v="330"/>
    <d v="2025-06-13T00:00:00"/>
    <s v="CUST-0054"/>
    <s v="PROD-014"/>
    <x v="0"/>
    <x v="0"/>
    <n v="3"/>
    <n v="0"/>
    <x v="0"/>
    <n v="5"/>
    <n v="5"/>
    <x v="5"/>
    <x v="3"/>
    <n v="17"/>
    <n v="8"/>
    <x v="2"/>
    <n v="51"/>
    <n v="24"/>
    <n v="27"/>
    <n v="0.52941176470588236"/>
  </r>
  <r>
    <x v="331"/>
    <d v="2025-01-30T00:00:00"/>
    <s v="CUST-0067"/>
    <s v="PROD-016"/>
    <x v="0"/>
    <x v="1"/>
    <n v="2"/>
    <n v="0"/>
    <x v="0"/>
    <n v="4"/>
    <n v="5"/>
    <x v="9"/>
    <x v="3"/>
    <n v="28"/>
    <n v="12"/>
    <x v="1"/>
    <n v="56"/>
    <n v="24"/>
    <n v="32"/>
    <n v="0.5714285714285714"/>
  </r>
  <r>
    <x v="332"/>
    <d v="2026-08-14T00:00:00"/>
    <s v="CUST-0290"/>
    <s v="PROD-008"/>
    <x v="0"/>
    <x v="0"/>
    <n v="2"/>
    <n v="0.05"/>
    <x v="0"/>
    <n v="2"/>
    <n v="6"/>
    <x v="1"/>
    <x v="1"/>
    <n v="255"/>
    <n v="145"/>
    <x v="1"/>
    <n v="484.5"/>
    <n v="290"/>
    <n v="194.5"/>
    <n v="0.40144478844169246"/>
  </r>
  <r>
    <x v="333"/>
    <d v="2025-12-21T00:00:00"/>
    <s v="CUST-0198"/>
    <s v="PROD-005"/>
    <x v="0"/>
    <x v="0"/>
    <n v="8"/>
    <n v="0"/>
    <x v="0"/>
    <n v="3"/>
    <n v="4"/>
    <x v="15"/>
    <x v="0"/>
    <n v="115"/>
    <n v="58"/>
    <x v="1"/>
    <n v="920"/>
    <n v="464"/>
    <n v="456"/>
    <n v="0.4956521739130435"/>
  </r>
  <r>
    <x v="334"/>
    <d v="2026-05-23T00:00:00"/>
    <s v="CUST-0085"/>
    <s v="PROD-003"/>
    <x v="1"/>
    <x v="1"/>
    <n v="2"/>
    <n v="0"/>
    <x v="0"/>
    <n v="4"/>
    <n v="4"/>
    <x v="10"/>
    <x v="0"/>
    <n v="75"/>
    <n v="38"/>
    <x v="1"/>
    <n v="150"/>
    <n v="76"/>
    <n v="74"/>
    <n v="0.49333333333333335"/>
  </r>
  <r>
    <x v="335"/>
    <d v="2026-02-17T00:00:00"/>
    <s v="CUST-0121"/>
    <s v="PROD-003"/>
    <x v="4"/>
    <x v="0"/>
    <n v="2"/>
    <n v="0.15"/>
    <x v="0"/>
    <n v="3"/>
    <n v="4"/>
    <x v="10"/>
    <x v="0"/>
    <n v="75"/>
    <n v="38"/>
    <x v="0"/>
    <n v="127.5"/>
    <n v="76"/>
    <n v="51.5"/>
    <n v="0.40392156862745099"/>
  </r>
  <r>
    <x v="336"/>
    <d v="2025-01-19T00:00:00"/>
    <s v="CUST-0053"/>
    <s v="PROD-013"/>
    <x v="3"/>
    <x v="0"/>
    <n v="1"/>
    <n v="0"/>
    <x v="0"/>
    <n v="5"/>
    <n v="3"/>
    <x v="4"/>
    <x v="2"/>
    <n v="32"/>
    <n v="13"/>
    <x v="1"/>
    <n v="32"/>
    <n v="13"/>
    <n v="19"/>
    <n v="0.59375"/>
  </r>
  <r>
    <x v="337"/>
    <d v="2026-06-05T00:00:00"/>
    <s v="CUST-0288"/>
    <s v="PROD-007"/>
    <x v="1"/>
    <x v="1"/>
    <n v="2"/>
    <n v="0.1"/>
    <x v="0"/>
    <n v="5"/>
    <n v="3"/>
    <x v="6"/>
    <x v="1"/>
    <n v="540"/>
    <n v="320"/>
    <x v="1"/>
    <n v="972"/>
    <n v="640"/>
    <n v="332"/>
    <n v="0.34156378600823045"/>
  </r>
  <r>
    <x v="338"/>
    <d v="2026-07-28T00:00:00"/>
    <s v="CUST-0243"/>
    <s v="PROD-012"/>
    <x v="1"/>
    <x v="1"/>
    <n v="4"/>
    <n v="0"/>
    <x v="0"/>
    <n v="5"/>
    <n v="3"/>
    <x v="11"/>
    <x v="2"/>
    <n v="68"/>
    <n v="31"/>
    <x v="0"/>
    <n v="272"/>
    <n v="124"/>
    <n v="148"/>
    <n v="0.54411764705882348"/>
  </r>
  <r>
    <x v="339"/>
    <d v="2026-07-15T00:00:00"/>
    <s v="CUST-0268"/>
    <s v="PROD-012"/>
    <x v="1"/>
    <x v="1"/>
    <n v="1"/>
    <n v="0"/>
    <x v="0"/>
    <n v="5"/>
    <n v="1"/>
    <x v="11"/>
    <x v="2"/>
    <n v="68"/>
    <n v="31"/>
    <x v="2"/>
    <n v="68"/>
    <n v="31"/>
    <n v="37"/>
    <n v="0.54411764705882348"/>
  </r>
  <r>
    <x v="340"/>
    <d v="2025-09-18T00:00:00"/>
    <s v="CUST-0101"/>
    <s v="PROD-007"/>
    <x v="2"/>
    <x v="2"/>
    <n v="1"/>
    <n v="0.1"/>
    <x v="0"/>
    <n v="4"/>
    <n v="4"/>
    <x v="6"/>
    <x v="1"/>
    <n v="540"/>
    <n v="320"/>
    <x v="1"/>
    <n v="486"/>
    <n v="320"/>
    <n v="166"/>
    <n v="0.34156378600823045"/>
  </r>
  <r>
    <x v="341"/>
    <d v="2025-02-17T00:00:00"/>
    <s v="CUST-0064"/>
    <s v="PROD-015"/>
    <x v="4"/>
    <x v="0"/>
    <n v="2"/>
    <n v="0.2"/>
    <x v="0"/>
    <n v="5"/>
    <n v="5"/>
    <x v="12"/>
    <x v="3"/>
    <n v="23"/>
    <n v="10"/>
    <x v="0"/>
    <n v="36.800000000000004"/>
    <n v="20"/>
    <n v="16.800000000000004"/>
    <n v="0.45652173913043487"/>
  </r>
  <r>
    <x v="342"/>
    <d v="2026-03-20T00:00:00"/>
    <s v="CUST-0300"/>
    <s v="PROD-016"/>
    <x v="0"/>
    <x v="0"/>
    <n v="6"/>
    <n v="0.1"/>
    <x v="0"/>
    <n v="5"/>
    <n v="1"/>
    <x v="9"/>
    <x v="3"/>
    <n v="28"/>
    <n v="12"/>
    <x v="2"/>
    <n v="151.20000000000002"/>
    <n v="72"/>
    <n v="79.200000000000017"/>
    <n v="0.52380952380952384"/>
  </r>
  <r>
    <x v="343"/>
    <d v="2026-02-01T00:00:00"/>
    <s v="CUST-0165"/>
    <s v="PROD-013"/>
    <x v="3"/>
    <x v="0"/>
    <n v="3"/>
    <n v="0"/>
    <x v="0"/>
    <n v="4"/>
    <n v="3"/>
    <x v="4"/>
    <x v="2"/>
    <n v="32"/>
    <n v="13"/>
    <x v="2"/>
    <n v="96"/>
    <n v="39"/>
    <n v="57"/>
    <n v="0.59375"/>
  </r>
  <r>
    <x v="344"/>
    <d v="2026-04-09T00:00:00"/>
    <s v="CUST-0069"/>
    <s v="PROD-005"/>
    <x v="3"/>
    <x v="0"/>
    <n v="4"/>
    <n v="0"/>
    <x v="0"/>
    <n v="5"/>
    <n v="5"/>
    <x v="15"/>
    <x v="0"/>
    <n v="115"/>
    <n v="58"/>
    <x v="1"/>
    <n v="460"/>
    <n v="232"/>
    <n v="228"/>
    <n v="0.4956521739130435"/>
  </r>
  <r>
    <x v="345"/>
    <d v="2025-08-11T00:00:00"/>
    <s v="CUST-0103"/>
    <s v="PROD-007"/>
    <x v="1"/>
    <x v="1"/>
    <n v="2"/>
    <n v="0.1"/>
    <x v="1"/>
    <n v="5"/>
    <n v="5"/>
    <x v="6"/>
    <x v="1"/>
    <n v="540"/>
    <n v="320"/>
    <x v="0"/>
    <n v="972"/>
    <n v="640"/>
    <n v="332"/>
    <n v="0.34156378600823045"/>
  </r>
  <r>
    <x v="346"/>
    <d v="2025-04-29T00:00:00"/>
    <s v="CUST-0181"/>
    <s v="PROD-016"/>
    <x v="4"/>
    <x v="2"/>
    <n v="4"/>
    <n v="0.1"/>
    <x v="0"/>
    <n v="4"/>
    <n v="4"/>
    <x v="9"/>
    <x v="3"/>
    <n v="28"/>
    <n v="12"/>
    <x v="0"/>
    <n v="100.8"/>
    <n v="48"/>
    <n v="52.8"/>
    <n v="0.52380952380952384"/>
  </r>
  <r>
    <x v="347"/>
    <d v="2025-01-14T00:00:00"/>
    <s v="CUST-0268"/>
    <s v="PROD-004"/>
    <x v="2"/>
    <x v="1"/>
    <n v="3"/>
    <n v="0"/>
    <x v="0"/>
    <n v="3"/>
    <n v="3"/>
    <x v="3"/>
    <x v="0"/>
    <n v="42"/>
    <n v="19"/>
    <x v="2"/>
    <n v="126"/>
    <n v="57"/>
    <n v="69"/>
    <n v="0.54761904761904767"/>
  </r>
  <r>
    <x v="348"/>
    <d v="2025-09-14T00:00:00"/>
    <s v="CUST-0075"/>
    <s v="PROD-002"/>
    <x v="1"/>
    <x v="1"/>
    <n v="4"/>
    <n v="0"/>
    <x v="0"/>
    <n v="2"/>
    <n v="7"/>
    <x v="0"/>
    <x v="0"/>
    <n v="310"/>
    <n v="190"/>
    <x v="0"/>
    <n v="1240"/>
    <n v="760"/>
    <n v="480"/>
    <n v="0.38709677419354838"/>
  </r>
  <r>
    <x v="349"/>
    <d v="2026-07-29T00:00:00"/>
    <s v="CUST-0200"/>
    <s v="PROD-008"/>
    <x v="4"/>
    <x v="0"/>
    <n v="3"/>
    <n v="0.1"/>
    <x v="0"/>
    <n v="4"/>
    <n v="4"/>
    <x v="1"/>
    <x v="1"/>
    <n v="255"/>
    <n v="145"/>
    <x v="2"/>
    <n v="688.5"/>
    <n v="435"/>
    <n v="253.5"/>
    <n v="0.36819172113289761"/>
  </r>
  <r>
    <x v="350"/>
    <d v="2025-11-17T00:00:00"/>
    <s v="CUST-0283"/>
    <s v="PROD-002"/>
    <x v="2"/>
    <x v="1"/>
    <n v="3"/>
    <n v="0.1"/>
    <x v="0"/>
    <n v="5"/>
    <n v="3"/>
    <x v="0"/>
    <x v="0"/>
    <n v="310"/>
    <n v="190"/>
    <x v="0"/>
    <n v="837"/>
    <n v="570"/>
    <n v="267"/>
    <n v="0.31899641577060933"/>
  </r>
  <r>
    <x v="351"/>
    <d v="2026-08-26T00:00:00"/>
    <s v="CUST-0280"/>
    <s v="PROD-007"/>
    <x v="0"/>
    <x v="2"/>
    <n v="1"/>
    <n v="0"/>
    <x v="0"/>
    <n v="3"/>
    <n v="2"/>
    <x v="6"/>
    <x v="1"/>
    <n v="540"/>
    <n v="320"/>
    <x v="0"/>
    <n v="540"/>
    <n v="320"/>
    <n v="220"/>
    <n v="0.40740740740740738"/>
  </r>
  <r>
    <x v="352"/>
    <d v="2026-06-11T00:00:00"/>
    <s v="CUST-0062"/>
    <s v="PROD-013"/>
    <x v="2"/>
    <x v="1"/>
    <n v="1"/>
    <n v="0"/>
    <x v="0"/>
    <n v="1"/>
    <n v="6"/>
    <x v="4"/>
    <x v="2"/>
    <n v="32"/>
    <n v="13"/>
    <x v="0"/>
    <n v="32"/>
    <n v="13"/>
    <n v="19"/>
    <n v="0.59375"/>
  </r>
  <r>
    <x v="353"/>
    <d v="2025-02-10T00:00:00"/>
    <s v="CUST-0079"/>
    <s v="PROD-011"/>
    <x v="4"/>
    <x v="0"/>
    <n v="3"/>
    <n v="0.15"/>
    <x v="0"/>
    <n v="5"/>
    <n v="5"/>
    <x v="8"/>
    <x v="2"/>
    <n v="85"/>
    <n v="39"/>
    <x v="1"/>
    <n v="216.75"/>
    <n v="117"/>
    <n v="99.75"/>
    <n v="0.46020761245674741"/>
  </r>
  <r>
    <x v="354"/>
    <d v="2026-01-02T00:00:00"/>
    <s v="CUST-0038"/>
    <s v="PROD-011"/>
    <x v="4"/>
    <x v="2"/>
    <n v="2"/>
    <n v="0.1"/>
    <x v="0"/>
    <n v="4"/>
    <n v="4"/>
    <x v="8"/>
    <x v="2"/>
    <n v="85"/>
    <n v="39"/>
    <x v="0"/>
    <n v="153"/>
    <n v="78"/>
    <n v="75"/>
    <n v="0.49019607843137253"/>
  </r>
  <r>
    <x v="355"/>
    <d v="2025-04-05T00:00:00"/>
    <s v="CUST-0179"/>
    <s v="PROD-008"/>
    <x v="0"/>
    <x v="0"/>
    <n v="2"/>
    <n v="0"/>
    <x v="1"/>
    <n v="5"/>
    <n v="5"/>
    <x v="1"/>
    <x v="1"/>
    <n v="255"/>
    <n v="145"/>
    <x v="1"/>
    <n v="510"/>
    <n v="290"/>
    <n v="220"/>
    <n v="0.43137254901960786"/>
  </r>
  <r>
    <x v="356"/>
    <d v="2025-04-28T00:00:00"/>
    <s v="CUST-0178"/>
    <s v="PROD-015"/>
    <x v="3"/>
    <x v="0"/>
    <n v="6"/>
    <n v="0"/>
    <x v="0"/>
    <n v="5"/>
    <n v="4"/>
    <x v="12"/>
    <x v="3"/>
    <n v="23"/>
    <n v="10"/>
    <x v="1"/>
    <n v="138"/>
    <n v="60"/>
    <n v="78"/>
    <n v="0.56521739130434778"/>
  </r>
  <r>
    <x v="357"/>
    <d v="2025-04-27T00:00:00"/>
    <s v="CUST-0198"/>
    <s v="PROD-009"/>
    <x v="4"/>
    <x v="1"/>
    <n v="6"/>
    <n v="0.1"/>
    <x v="0"/>
    <n v="5"/>
    <n v="4"/>
    <x v="14"/>
    <x v="1"/>
    <n v="185"/>
    <n v="105"/>
    <x v="1"/>
    <n v="999"/>
    <n v="630"/>
    <n v="369"/>
    <n v="0.36936936936936937"/>
  </r>
  <r>
    <x v="358"/>
    <d v="2026-05-14T00:00:00"/>
    <s v="CUST-0023"/>
    <s v="PROD-010"/>
    <x v="0"/>
    <x v="1"/>
    <n v="2"/>
    <n v="0.2"/>
    <x v="0"/>
    <n v="5"/>
    <n v="5"/>
    <x v="13"/>
    <x v="2"/>
    <n v="48"/>
    <n v="22"/>
    <x v="1"/>
    <n v="76.800000000000011"/>
    <n v="44"/>
    <n v="32.800000000000011"/>
    <n v="0.42708333333333343"/>
  </r>
  <r>
    <x v="359"/>
    <d v="2026-07-01T00:00:00"/>
    <s v="CUST-0004"/>
    <s v="PROD-003"/>
    <x v="2"/>
    <x v="0"/>
    <n v="1"/>
    <n v="0.1"/>
    <x v="0"/>
    <n v="3"/>
    <n v="4"/>
    <x v="10"/>
    <x v="0"/>
    <n v="75"/>
    <n v="38"/>
    <x v="1"/>
    <n v="67.5"/>
    <n v="38"/>
    <n v="29.5"/>
    <n v="0.43703703703703706"/>
  </r>
  <r>
    <x v="360"/>
    <d v="2025-03-15T00:00:00"/>
    <s v="CUST-0079"/>
    <s v="PROD-001"/>
    <x v="4"/>
    <x v="1"/>
    <n v="1"/>
    <n v="0"/>
    <x v="0"/>
    <n v="4"/>
    <n v="5"/>
    <x v="2"/>
    <x v="0"/>
    <n v="1100"/>
    <n v="720"/>
    <x v="1"/>
    <n v="1100"/>
    <n v="720"/>
    <n v="380"/>
    <n v="0.34545454545454546"/>
  </r>
  <r>
    <x v="361"/>
    <d v="2025-08-22T00:00:00"/>
    <s v="CUST-0133"/>
    <s v="PROD-014"/>
    <x v="3"/>
    <x v="0"/>
    <n v="2"/>
    <n v="0"/>
    <x v="0"/>
    <n v="4"/>
    <n v="5"/>
    <x v="5"/>
    <x v="3"/>
    <n v="17"/>
    <n v="8"/>
    <x v="2"/>
    <n v="34"/>
    <n v="16"/>
    <n v="18"/>
    <n v="0.52941176470588236"/>
  </r>
  <r>
    <x v="362"/>
    <d v="2025-03-06T00:00:00"/>
    <s v="CUST-0300"/>
    <s v="PROD-002"/>
    <x v="1"/>
    <x v="1"/>
    <n v="6"/>
    <n v="0"/>
    <x v="0"/>
    <n v="4"/>
    <n v="1"/>
    <x v="0"/>
    <x v="0"/>
    <n v="310"/>
    <n v="190"/>
    <x v="2"/>
    <n v="1860"/>
    <n v="1140"/>
    <n v="720"/>
    <n v="0.38709677419354838"/>
  </r>
  <r>
    <x v="363"/>
    <d v="2025-10-16T00:00:00"/>
    <s v="CUST-0225"/>
    <s v="PROD-013"/>
    <x v="3"/>
    <x v="0"/>
    <n v="2"/>
    <n v="0.05"/>
    <x v="0"/>
    <n v="4"/>
    <n v="5"/>
    <x v="4"/>
    <x v="2"/>
    <n v="32"/>
    <n v="13"/>
    <x v="1"/>
    <n v="60.8"/>
    <n v="26"/>
    <n v="34.799999999999997"/>
    <n v="0.57236842105263153"/>
  </r>
  <r>
    <x v="364"/>
    <d v="2025-10-30T00:00:00"/>
    <s v="CUST-0074"/>
    <s v="PROD-010"/>
    <x v="1"/>
    <x v="2"/>
    <n v="4"/>
    <n v="0.1"/>
    <x v="0"/>
    <n v="5"/>
    <n v="5"/>
    <x v="13"/>
    <x v="2"/>
    <n v="48"/>
    <n v="22"/>
    <x v="1"/>
    <n v="172.8"/>
    <n v="88"/>
    <n v="84.800000000000011"/>
    <n v="0.49074074074074076"/>
  </r>
  <r>
    <x v="365"/>
    <d v="2026-07-23T00:00:00"/>
    <s v="CUST-0073"/>
    <s v="PROD-004"/>
    <x v="2"/>
    <x v="0"/>
    <n v="2"/>
    <n v="0.05"/>
    <x v="0"/>
    <n v="3"/>
    <n v="3"/>
    <x v="3"/>
    <x v="0"/>
    <n v="42"/>
    <n v="19"/>
    <x v="2"/>
    <n v="79.8"/>
    <n v="38"/>
    <n v="41.8"/>
    <n v="0.52380952380952384"/>
  </r>
  <r>
    <x v="366"/>
    <d v="2025-08-05T00:00:00"/>
    <s v="CUST-0212"/>
    <s v="PROD-005"/>
    <x v="2"/>
    <x v="1"/>
    <n v="5"/>
    <n v="0"/>
    <x v="0"/>
    <n v="5"/>
    <n v="1"/>
    <x v="15"/>
    <x v="0"/>
    <n v="115"/>
    <n v="58"/>
    <x v="0"/>
    <n v="575"/>
    <n v="290"/>
    <n v="285"/>
    <n v="0.4956521739130435"/>
  </r>
  <r>
    <x v="367"/>
    <d v="2026-07-17T00:00:00"/>
    <s v="CUST-0237"/>
    <s v="PROD-003"/>
    <x v="3"/>
    <x v="1"/>
    <n v="1"/>
    <n v="0.1"/>
    <x v="0"/>
    <n v="4"/>
    <n v="2"/>
    <x v="10"/>
    <x v="0"/>
    <n v="75"/>
    <n v="38"/>
    <x v="2"/>
    <n v="67.5"/>
    <n v="38"/>
    <n v="29.5"/>
    <n v="0.43703703703703706"/>
  </r>
  <r>
    <x v="368"/>
    <d v="2025-08-29T00:00:00"/>
    <s v="CUST-0052"/>
    <s v="PROD-010"/>
    <x v="1"/>
    <x v="2"/>
    <n v="1"/>
    <n v="0"/>
    <x v="0"/>
    <n v="4"/>
    <n v="5"/>
    <x v="13"/>
    <x v="2"/>
    <n v="48"/>
    <n v="22"/>
    <x v="1"/>
    <n v="48"/>
    <n v="22"/>
    <n v="26"/>
    <n v="0.54166666666666663"/>
  </r>
  <r>
    <x v="369"/>
    <d v="2025-06-06T00:00:00"/>
    <s v="CUST-0290"/>
    <s v="PROD-012"/>
    <x v="0"/>
    <x v="2"/>
    <n v="1"/>
    <n v="0"/>
    <x v="0"/>
    <n v="5"/>
    <n v="4"/>
    <x v="11"/>
    <x v="2"/>
    <n v="68"/>
    <n v="31"/>
    <x v="1"/>
    <n v="68"/>
    <n v="31"/>
    <n v="37"/>
    <n v="0.54411764705882348"/>
  </r>
  <r>
    <x v="370"/>
    <d v="2025-10-11T00:00:00"/>
    <s v="CUST-0185"/>
    <s v="PROD-005"/>
    <x v="1"/>
    <x v="1"/>
    <n v="2"/>
    <n v="0"/>
    <x v="0"/>
    <n v="4"/>
    <n v="1"/>
    <x v="15"/>
    <x v="0"/>
    <n v="115"/>
    <n v="58"/>
    <x v="1"/>
    <n v="230"/>
    <n v="116"/>
    <n v="114"/>
    <n v="0.4956521739130435"/>
  </r>
  <r>
    <x v="371"/>
    <d v="2025-06-29T00:00:00"/>
    <s v="CUST-0042"/>
    <s v="PROD-009"/>
    <x v="0"/>
    <x v="1"/>
    <n v="2"/>
    <n v="0"/>
    <x v="0"/>
    <n v="2"/>
    <n v="2"/>
    <x v="14"/>
    <x v="1"/>
    <n v="185"/>
    <n v="105"/>
    <x v="1"/>
    <n v="370"/>
    <n v="210"/>
    <n v="160"/>
    <n v="0.43243243243243246"/>
  </r>
  <r>
    <x v="372"/>
    <d v="2026-06-04T00:00:00"/>
    <s v="CUST-0016"/>
    <s v="PROD-013"/>
    <x v="1"/>
    <x v="1"/>
    <n v="1"/>
    <n v="0"/>
    <x v="0"/>
    <n v="4"/>
    <n v="2"/>
    <x v="4"/>
    <x v="2"/>
    <n v="32"/>
    <n v="13"/>
    <x v="0"/>
    <n v="32"/>
    <n v="13"/>
    <n v="19"/>
    <n v="0.59375"/>
  </r>
  <r>
    <x v="373"/>
    <d v="2026-01-10T00:00:00"/>
    <s v="CUST-0201"/>
    <s v="PROD-008"/>
    <x v="0"/>
    <x v="0"/>
    <n v="5"/>
    <n v="0"/>
    <x v="0"/>
    <n v="2"/>
    <n v="4"/>
    <x v="1"/>
    <x v="1"/>
    <n v="255"/>
    <n v="145"/>
    <x v="2"/>
    <n v="1275"/>
    <n v="725"/>
    <n v="550"/>
    <n v="0.43137254901960786"/>
  </r>
  <r>
    <x v="374"/>
    <d v="2025-09-02T00:00:00"/>
    <s v="CUST-0085"/>
    <s v="PROD-005"/>
    <x v="4"/>
    <x v="1"/>
    <n v="7"/>
    <n v="0.05"/>
    <x v="1"/>
    <n v="5"/>
    <n v="7"/>
    <x v="15"/>
    <x v="0"/>
    <n v="115"/>
    <n v="58"/>
    <x v="1"/>
    <n v="764.75"/>
    <n v="406"/>
    <n v="358.75"/>
    <n v="0.46910755148741418"/>
  </r>
  <r>
    <x v="375"/>
    <d v="2025-02-11T00:00:00"/>
    <s v="CUST-0113"/>
    <s v="PROD-016"/>
    <x v="3"/>
    <x v="1"/>
    <n v="1"/>
    <n v="0.1"/>
    <x v="0"/>
    <n v="5"/>
    <n v="4"/>
    <x v="9"/>
    <x v="3"/>
    <n v="28"/>
    <n v="12"/>
    <x v="0"/>
    <n v="25.2"/>
    <n v="12"/>
    <n v="13.2"/>
    <n v="0.52380952380952384"/>
  </r>
  <r>
    <x v="376"/>
    <d v="2026-04-26T00:00:00"/>
    <s v="CUST-0233"/>
    <s v="PROD-002"/>
    <x v="2"/>
    <x v="0"/>
    <n v="1"/>
    <n v="0.2"/>
    <x v="0"/>
    <n v="4"/>
    <n v="3"/>
    <x v="0"/>
    <x v="0"/>
    <n v="310"/>
    <n v="190"/>
    <x v="0"/>
    <n v="248"/>
    <n v="190"/>
    <n v="58"/>
    <n v="0.23387096774193547"/>
  </r>
  <r>
    <x v="377"/>
    <d v="2026-08-16T00:00:00"/>
    <s v="CUST-0279"/>
    <s v="PROD-006"/>
    <x v="3"/>
    <x v="1"/>
    <n v="3"/>
    <n v="0.15"/>
    <x v="0"/>
    <n v="4"/>
    <n v="2"/>
    <x v="7"/>
    <x v="0"/>
    <n v="98"/>
    <n v="46"/>
    <x v="1"/>
    <n v="249.9"/>
    <n v="138"/>
    <n v="111.9"/>
    <n v="0.44777911164465789"/>
  </r>
  <r>
    <x v="378"/>
    <d v="2026-06-13T00:00:00"/>
    <s v="CUST-0208"/>
    <s v="PROD-012"/>
    <x v="0"/>
    <x v="1"/>
    <n v="4"/>
    <n v="0.15"/>
    <x v="0"/>
    <n v="5"/>
    <n v="4"/>
    <x v="11"/>
    <x v="2"/>
    <n v="68"/>
    <n v="31"/>
    <x v="1"/>
    <n v="231.2"/>
    <n v="124"/>
    <n v="107.19999999999999"/>
    <n v="0.46366782006920415"/>
  </r>
  <r>
    <x v="379"/>
    <d v="2025-06-19T00:00:00"/>
    <s v="CUST-0118"/>
    <s v="PROD-003"/>
    <x v="4"/>
    <x v="1"/>
    <n v="1"/>
    <n v="0"/>
    <x v="0"/>
    <n v="5"/>
    <n v="2"/>
    <x v="10"/>
    <x v="0"/>
    <n v="75"/>
    <n v="38"/>
    <x v="0"/>
    <n v="75"/>
    <n v="38"/>
    <n v="37"/>
    <n v="0.49333333333333335"/>
  </r>
  <r>
    <x v="380"/>
    <d v="2026-03-01T00:00:00"/>
    <s v="CUST-0170"/>
    <s v="PROD-004"/>
    <x v="4"/>
    <x v="1"/>
    <n v="1"/>
    <n v="0"/>
    <x v="0"/>
    <n v="1"/>
    <n v="3"/>
    <x v="3"/>
    <x v="0"/>
    <n v="42"/>
    <n v="19"/>
    <x v="1"/>
    <n v="42"/>
    <n v="19"/>
    <n v="23"/>
    <n v="0.54761904761904767"/>
  </r>
  <r>
    <x v="381"/>
    <d v="2026-08-11T00:00:00"/>
    <s v="CUST-0083"/>
    <s v="PROD-005"/>
    <x v="1"/>
    <x v="1"/>
    <n v="3"/>
    <n v="0"/>
    <x v="0"/>
    <n v="3"/>
    <n v="4"/>
    <x v="15"/>
    <x v="0"/>
    <n v="115"/>
    <n v="58"/>
    <x v="0"/>
    <n v="345"/>
    <n v="174"/>
    <n v="171"/>
    <n v="0.4956521739130435"/>
  </r>
  <r>
    <x v="382"/>
    <d v="2026-08-01T00:00:00"/>
    <s v="CUST-0010"/>
    <s v="PROD-010"/>
    <x v="0"/>
    <x v="1"/>
    <n v="3"/>
    <n v="0.05"/>
    <x v="0"/>
    <n v="3"/>
    <n v="4"/>
    <x v="13"/>
    <x v="2"/>
    <n v="48"/>
    <n v="22"/>
    <x v="1"/>
    <n v="136.79999999999998"/>
    <n v="66"/>
    <n v="70.799999999999983"/>
    <n v="0.51754385964912275"/>
  </r>
  <r>
    <x v="383"/>
    <d v="2025-05-27T00:00:00"/>
    <s v="CUST-0299"/>
    <s v="PROD-006"/>
    <x v="1"/>
    <x v="0"/>
    <n v="1"/>
    <n v="0.1"/>
    <x v="1"/>
    <n v="4"/>
    <n v="3"/>
    <x v="7"/>
    <x v="0"/>
    <n v="98"/>
    <n v="46"/>
    <x v="1"/>
    <n v="88.2"/>
    <n v="46"/>
    <n v="42.2"/>
    <n v="0.47845804988662133"/>
  </r>
  <r>
    <x v="384"/>
    <d v="2026-01-23T00:00:00"/>
    <s v="CUST-0198"/>
    <s v="PROD-005"/>
    <x v="2"/>
    <x v="1"/>
    <n v="5"/>
    <n v="0.05"/>
    <x v="0"/>
    <n v="3"/>
    <n v="1"/>
    <x v="15"/>
    <x v="0"/>
    <n v="115"/>
    <n v="58"/>
    <x v="1"/>
    <n v="546.25"/>
    <n v="290"/>
    <n v="256.25"/>
    <n v="0.46910755148741418"/>
  </r>
  <r>
    <x v="385"/>
    <d v="2025-07-01T00:00:00"/>
    <s v="CUST-0244"/>
    <s v="PROD-002"/>
    <x v="0"/>
    <x v="0"/>
    <n v="4"/>
    <n v="0"/>
    <x v="0"/>
    <n v="5"/>
    <n v="5"/>
    <x v="0"/>
    <x v="0"/>
    <n v="310"/>
    <n v="190"/>
    <x v="2"/>
    <n v="1240"/>
    <n v="760"/>
    <n v="480"/>
    <n v="0.38709677419354838"/>
  </r>
  <r>
    <x v="386"/>
    <d v="2025-01-02T00:00:00"/>
    <s v="CUST-0221"/>
    <s v="PROD-014"/>
    <x v="3"/>
    <x v="1"/>
    <n v="2"/>
    <n v="0"/>
    <x v="0"/>
    <n v="5"/>
    <n v="4"/>
    <x v="5"/>
    <x v="3"/>
    <n v="17"/>
    <n v="8"/>
    <x v="2"/>
    <n v="34"/>
    <n v="16"/>
    <n v="18"/>
    <n v="0.52941176470588236"/>
  </r>
  <r>
    <x v="387"/>
    <d v="2025-12-25T00:00:00"/>
    <s v="CUST-0295"/>
    <s v="PROD-004"/>
    <x v="4"/>
    <x v="1"/>
    <n v="4"/>
    <n v="0.15"/>
    <x v="0"/>
    <n v="4"/>
    <n v="5"/>
    <x v="3"/>
    <x v="0"/>
    <n v="42"/>
    <n v="19"/>
    <x v="0"/>
    <n v="142.79999999999998"/>
    <n v="76"/>
    <n v="66.799999999999983"/>
    <n v="0.46778711484593832"/>
  </r>
  <r>
    <x v="388"/>
    <d v="2026-02-23T00:00:00"/>
    <s v="CUST-0132"/>
    <s v="PROD-007"/>
    <x v="2"/>
    <x v="0"/>
    <n v="1"/>
    <n v="0.05"/>
    <x v="0"/>
    <n v="4"/>
    <n v="2"/>
    <x v="6"/>
    <x v="1"/>
    <n v="540"/>
    <n v="320"/>
    <x v="1"/>
    <n v="513"/>
    <n v="320"/>
    <n v="193"/>
    <n v="0.37621832358674462"/>
  </r>
  <r>
    <x v="389"/>
    <d v="2025-11-20T00:00:00"/>
    <s v="CUST-0210"/>
    <s v="PROD-012"/>
    <x v="2"/>
    <x v="1"/>
    <n v="3"/>
    <n v="0"/>
    <x v="0"/>
    <n v="4"/>
    <n v="5"/>
    <x v="11"/>
    <x v="2"/>
    <n v="68"/>
    <n v="31"/>
    <x v="2"/>
    <n v="204"/>
    <n v="93"/>
    <n v="111"/>
    <n v="0.54411764705882348"/>
  </r>
  <r>
    <x v="390"/>
    <d v="2025-10-10T00:00:00"/>
    <s v="CUST-0204"/>
    <s v="PROD-007"/>
    <x v="3"/>
    <x v="0"/>
    <n v="2"/>
    <n v="0"/>
    <x v="0"/>
    <n v="4"/>
    <n v="3"/>
    <x v="6"/>
    <x v="1"/>
    <n v="540"/>
    <n v="320"/>
    <x v="1"/>
    <n v="1080"/>
    <n v="640"/>
    <n v="440"/>
    <n v="0.40740740740740738"/>
  </r>
  <r>
    <x v="391"/>
    <d v="2026-08-15T00:00:00"/>
    <s v="CUST-0177"/>
    <s v="PROD-013"/>
    <x v="1"/>
    <x v="2"/>
    <n v="3"/>
    <n v="0.1"/>
    <x v="0"/>
    <n v="5"/>
    <n v="2"/>
    <x v="4"/>
    <x v="2"/>
    <n v="32"/>
    <n v="13"/>
    <x v="1"/>
    <n v="86.4"/>
    <n v="39"/>
    <n v="47.400000000000006"/>
    <n v="0.54861111111111116"/>
  </r>
  <r>
    <x v="392"/>
    <d v="2025-04-13T00:00:00"/>
    <s v="CUST-0110"/>
    <s v="PROD-013"/>
    <x v="0"/>
    <x v="0"/>
    <n v="3"/>
    <n v="0.1"/>
    <x v="0"/>
    <n v="4"/>
    <n v="1"/>
    <x v="4"/>
    <x v="2"/>
    <n v="32"/>
    <n v="13"/>
    <x v="2"/>
    <n v="86.4"/>
    <n v="39"/>
    <n v="47.400000000000006"/>
    <n v="0.54861111111111116"/>
  </r>
  <r>
    <x v="393"/>
    <d v="2025-04-04T00:00:00"/>
    <s v="CUST-0075"/>
    <s v="PROD-016"/>
    <x v="0"/>
    <x v="1"/>
    <n v="1"/>
    <n v="0"/>
    <x v="0"/>
    <n v="1"/>
    <n v="8"/>
    <x v="9"/>
    <x v="3"/>
    <n v="28"/>
    <n v="12"/>
    <x v="0"/>
    <n v="28"/>
    <n v="12"/>
    <n v="16"/>
    <n v="0.5714285714285714"/>
  </r>
  <r>
    <x v="394"/>
    <d v="2026-06-18T00:00:00"/>
    <s v="CUST-0147"/>
    <s v="PROD-002"/>
    <x v="0"/>
    <x v="0"/>
    <n v="3"/>
    <n v="0"/>
    <x v="0"/>
    <n v="5"/>
    <n v="5"/>
    <x v="0"/>
    <x v="0"/>
    <n v="310"/>
    <n v="190"/>
    <x v="0"/>
    <n v="930"/>
    <n v="570"/>
    <n v="360"/>
    <n v="0.38709677419354838"/>
  </r>
  <r>
    <x v="395"/>
    <d v="2025-10-20T00:00:00"/>
    <s v="CUST-0100"/>
    <s v="PROD-002"/>
    <x v="0"/>
    <x v="0"/>
    <n v="3"/>
    <n v="0.05"/>
    <x v="0"/>
    <n v="4"/>
    <n v="1"/>
    <x v="0"/>
    <x v="0"/>
    <n v="310"/>
    <n v="190"/>
    <x v="2"/>
    <n v="883.5"/>
    <n v="570"/>
    <n v="313.5"/>
    <n v="0.35483870967741937"/>
  </r>
  <r>
    <x v="396"/>
    <d v="2025-06-11T00:00:00"/>
    <s v="CUST-0045"/>
    <s v="PROD-009"/>
    <x v="0"/>
    <x v="1"/>
    <n v="2"/>
    <n v="0.05"/>
    <x v="0"/>
    <n v="5"/>
    <n v="1"/>
    <x v="14"/>
    <x v="1"/>
    <n v="185"/>
    <n v="105"/>
    <x v="1"/>
    <n v="351.5"/>
    <n v="210"/>
    <n v="141.5"/>
    <n v="0.40256045519203415"/>
  </r>
  <r>
    <x v="397"/>
    <d v="2025-04-03T00:00:00"/>
    <s v="CUST-0282"/>
    <s v="PROD-010"/>
    <x v="1"/>
    <x v="0"/>
    <n v="3"/>
    <n v="0"/>
    <x v="0"/>
    <n v="3"/>
    <n v="2"/>
    <x v="13"/>
    <x v="2"/>
    <n v="48"/>
    <n v="22"/>
    <x v="1"/>
    <n v="144"/>
    <n v="66"/>
    <n v="78"/>
    <n v="0.54166666666666663"/>
  </r>
  <r>
    <x v="398"/>
    <d v="2026-04-11T00:00:00"/>
    <s v="CUST-0207"/>
    <s v="PROD-001"/>
    <x v="3"/>
    <x v="1"/>
    <n v="1"/>
    <n v="0"/>
    <x v="0"/>
    <n v="5"/>
    <n v="5"/>
    <x v="2"/>
    <x v="0"/>
    <n v="1100"/>
    <n v="720"/>
    <x v="1"/>
    <n v="1100"/>
    <n v="720"/>
    <n v="380"/>
    <n v="0.34545454545454546"/>
  </r>
  <r>
    <x v="399"/>
    <d v="2025-09-21T00:00:00"/>
    <s v="CUST-0276"/>
    <s v="PROD-009"/>
    <x v="1"/>
    <x v="2"/>
    <n v="3"/>
    <n v="0.1"/>
    <x v="0"/>
    <n v="5"/>
    <n v="4"/>
    <x v="14"/>
    <x v="1"/>
    <n v="185"/>
    <n v="105"/>
    <x v="1"/>
    <n v="499.5"/>
    <n v="315"/>
    <n v="184.5"/>
    <n v="0.36936936936936937"/>
  </r>
  <r>
    <x v="400"/>
    <d v="2026-04-17T00:00:00"/>
    <s v="CUST-0015"/>
    <s v="PROD-016"/>
    <x v="2"/>
    <x v="1"/>
    <n v="3"/>
    <n v="0.2"/>
    <x v="0"/>
    <n v="3"/>
    <n v="3"/>
    <x v="9"/>
    <x v="3"/>
    <n v="28"/>
    <n v="12"/>
    <x v="0"/>
    <n v="67.2"/>
    <n v="36"/>
    <n v="31.200000000000003"/>
    <n v="0.4642857142857143"/>
  </r>
  <r>
    <x v="401"/>
    <d v="2026-02-27T00:00:00"/>
    <s v="CUST-0181"/>
    <s v="PROD-001"/>
    <x v="1"/>
    <x v="1"/>
    <n v="1"/>
    <n v="0"/>
    <x v="0"/>
    <n v="4"/>
    <n v="5"/>
    <x v="2"/>
    <x v="0"/>
    <n v="1100"/>
    <n v="720"/>
    <x v="0"/>
    <n v="1100"/>
    <n v="720"/>
    <n v="380"/>
    <n v="0.34545454545454546"/>
  </r>
  <r>
    <x v="402"/>
    <d v="2025-07-02T00:00:00"/>
    <s v="CUST-0244"/>
    <s v="PROD-011"/>
    <x v="3"/>
    <x v="2"/>
    <n v="1"/>
    <n v="0.2"/>
    <x v="0"/>
    <n v="5"/>
    <n v="4"/>
    <x v="8"/>
    <x v="2"/>
    <n v="85"/>
    <n v="39"/>
    <x v="2"/>
    <n v="68"/>
    <n v="39"/>
    <n v="29"/>
    <n v="0.4264705882352941"/>
  </r>
  <r>
    <x v="403"/>
    <d v="2025-07-24T00:00:00"/>
    <s v="CUST-0121"/>
    <s v="PROD-008"/>
    <x v="0"/>
    <x v="1"/>
    <n v="1"/>
    <n v="0"/>
    <x v="0"/>
    <n v="3"/>
    <n v="1"/>
    <x v="1"/>
    <x v="1"/>
    <n v="255"/>
    <n v="145"/>
    <x v="0"/>
    <n v="255"/>
    <n v="145"/>
    <n v="110"/>
    <n v="0.43137254901960786"/>
  </r>
  <r>
    <x v="404"/>
    <d v="2025-05-03T00:00:00"/>
    <s v="CUST-0041"/>
    <s v="PROD-016"/>
    <x v="1"/>
    <x v="0"/>
    <n v="2"/>
    <n v="0"/>
    <x v="0"/>
    <n v="5"/>
    <n v="4"/>
    <x v="9"/>
    <x v="3"/>
    <n v="28"/>
    <n v="12"/>
    <x v="0"/>
    <n v="56"/>
    <n v="24"/>
    <n v="32"/>
    <n v="0.5714285714285714"/>
  </r>
  <r>
    <x v="405"/>
    <d v="2026-08-12T00:00:00"/>
    <s v="CUST-0141"/>
    <s v="PROD-016"/>
    <x v="2"/>
    <x v="0"/>
    <n v="2"/>
    <n v="0"/>
    <x v="0"/>
    <n v="3"/>
    <n v="5"/>
    <x v="9"/>
    <x v="3"/>
    <n v="28"/>
    <n v="12"/>
    <x v="1"/>
    <n v="56"/>
    <n v="24"/>
    <n v="32"/>
    <n v="0.5714285714285714"/>
  </r>
  <r>
    <x v="406"/>
    <d v="2026-03-10T00:00:00"/>
    <s v="CUST-0245"/>
    <s v="PROD-002"/>
    <x v="4"/>
    <x v="1"/>
    <n v="3"/>
    <n v="0"/>
    <x v="1"/>
    <n v="5"/>
    <n v="7"/>
    <x v="0"/>
    <x v="0"/>
    <n v="310"/>
    <n v="190"/>
    <x v="1"/>
    <n v="930"/>
    <n v="570"/>
    <n v="360"/>
    <n v="0.38709677419354838"/>
  </r>
  <r>
    <x v="407"/>
    <d v="2025-01-09T00:00:00"/>
    <s v="CUST-0007"/>
    <s v="PROD-007"/>
    <x v="3"/>
    <x v="1"/>
    <n v="2"/>
    <n v="0.15"/>
    <x v="0"/>
    <n v="4"/>
    <n v="3"/>
    <x v="6"/>
    <x v="1"/>
    <n v="540"/>
    <n v="320"/>
    <x v="2"/>
    <n v="918"/>
    <n v="640"/>
    <n v="278"/>
    <n v="0.30283224400871461"/>
  </r>
  <r>
    <x v="408"/>
    <d v="2026-04-28T00:00:00"/>
    <s v="CUST-0176"/>
    <s v="PROD-012"/>
    <x v="2"/>
    <x v="1"/>
    <n v="2"/>
    <n v="0.1"/>
    <x v="0"/>
    <n v="4"/>
    <n v="4"/>
    <x v="11"/>
    <x v="2"/>
    <n v="68"/>
    <n v="31"/>
    <x v="1"/>
    <n v="122.4"/>
    <n v="62"/>
    <n v="60.400000000000006"/>
    <n v="0.49346405228758172"/>
  </r>
  <r>
    <x v="409"/>
    <d v="2025-07-04T00:00:00"/>
    <s v="CUST-0293"/>
    <s v="PROD-005"/>
    <x v="0"/>
    <x v="0"/>
    <n v="4"/>
    <n v="0.1"/>
    <x v="0"/>
    <n v="4"/>
    <n v="4"/>
    <x v="15"/>
    <x v="0"/>
    <n v="115"/>
    <n v="58"/>
    <x v="0"/>
    <n v="414"/>
    <n v="232"/>
    <n v="182"/>
    <n v="0.43961352657004832"/>
  </r>
  <r>
    <x v="410"/>
    <d v="2025-07-20T00:00:00"/>
    <s v="CUST-0075"/>
    <s v="PROD-005"/>
    <x v="4"/>
    <x v="1"/>
    <n v="2"/>
    <n v="0"/>
    <x v="0"/>
    <n v="5"/>
    <n v="5"/>
    <x v="15"/>
    <x v="0"/>
    <n v="115"/>
    <n v="58"/>
    <x v="0"/>
    <n v="230"/>
    <n v="116"/>
    <n v="114"/>
    <n v="0.4956521739130435"/>
  </r>
  <r>
    <x v="411"/>
    <d v="2025-11-20T00:00:00"/>
    <s v="CUST-0250"/>
    <s v="PROD-010"/>
    <x v="3"/>
    <x v="2"/>
    <n v="1"/>
    <n v="0"/>
    <x v="0"/>
    <n v="3"/>
    <n v="3"/>
    <x v="13"/>
    <x v="2"/>
    <n v="48"/>
    <n v="22"/>
    <x v="1"/>
    <n v="48"/>
    <n v="22"/>
    <n v="26"/>
    <n v="0.54166666666666663"/>
  </r>
  <r>
    <x v="412"/>
    <d v="2026-05-03T00:00:00"/>
    <s v="CUST-0050"/>
    <s v="PROD-015"/>
    <x v="1"/>
    <x v="1"/>
    <n v="2"/>
    <n v="0.05"/>
    <x v="0"/>
    <n v="4"/>
    <n v="4"/>
    <x v="12"/>
    <x v="3"/>
    <n v="23"/>
    <n v="10"/>
    <x v="1"/>
    <n v="43.699999999999996"/>
    <n v="20"/>
    <n v="23.699999999999996"/>
    <n v="0.54233409610983974"/>
  </r>
  <r>
    <x v="413"/>
    <d v="2025-05-05T00:00:00"/>
    <s v="CUST-0180"/>
    <s v="PROD-007"/>
    <x v="4"/>
    <x v="0"/>
    <n v="2"/>
    <n v="0.2"/>
    <x v="0"/>
    <n v="4"/>
    <n v="5"/>
    <x v="6"/>
    <x v="1"/>
    <n v="540"/>
    <n v="320"/>
    <x v="1"/>
    <n v="864"/>
    <n v="640"/>
    <n v="224"/>
    <n v="0.25925925925925924"/>
  </r>
  <r>
    <x v="414"/>
    <d v="2026-05-15T00:00:00"/>
    <s v="CUST-0229"/>
    <s v="PROD-003"/>
    <x v="3"/>
    <x v="1"/>
    <n v="3"/>
    <n v="0"/>
    <x v="0"/>
    <n v="5"/>
    <n v="3"/>
    <x v="10"/>
    <x v="0"/>
    <n v="75"/>
    <n v="38"/>
    <x v="1"/>
    <n v="225"/>
    <n v="114"/>
    <n v="111"/>
    <n v="0.49333333333333335"/>
  </r>
  <r>
    <x v="415"/>
    <d v="2026-03-08T00:00:00"/>
    <s v="CUST-0293"/>
    <s v="PROD-013"/>
    <x v="0"/>
    <x v="1"/>
    <n v="1"/>
    <n v="0"/>
    <x v="0"/>
    <n v="4"/>
    <n v="3"/>
    <x v="4"/>
    <x v="2"/>
    <n v="32"/>
    <n v="13"/>
    <x v="0"/>
    <n v="32"/>
    <n v="13"/>
    <n v="19"/>
    <n v="0.59375"/>
  </r>
  <r>
    <x v="416"/>
    <d v="2026-02-09T00:00:00"/>
    <s v="CUST-0139"/>
    <s v="PROD-015"/>
    <x v="0"/>
    <x v="2"/>
    <n v="4"/>
    <n v="0.05"/>
    <x v="0"/>
    <n v="3"/>
    <n v="1"/>
    <x v="12"/>
    <x v="3"/>
    <n v="23"/>
    <n v="10"/>
    <x v="0"/>
    <n v="87.399999999999991"/>
    <n v="40"/>
    <n v="47.399999999999991"/>
    <n v="0.54233409610983974"/>
  </r>
  <r>
    <x v="417"/>
    <d v="2025-05-09T00:00:00"/>
    <s v="CUST-0121"/>
    <s v="PROD-009"/>
    <x v="0"/>
    <x v="0"/>
    <n v="1"/>
    <n v="0"/>
    <x v="0"/>
    <n v="2"/>
    <n v="5"/>
    <x v="14"/>
    <x v="1"/>
    <n v="185"/>
    <n v="105"/>
    <x v="0"/>
    <n v="185"/>
    <n v="105"/>
    <n v="80"/>
    <n v="0.43243243243243246"/>
  </r>
  <r>
    <x v="418"/>
    <d v="2025-01-27T00:00:00"/>
    <s v="CUST-0204"/>
    <s v="PROD-003"/>
    <x v="2"/>
    <x v="0"/>
    <n v="1"/>
    <n v="0.15"/>
    <x v="0"/>
    <n v="3"/>
    <n v="3"/>
    <x v="10"/>
    <x v="0"/>
    <n v="75"/>
    <n v="38"/>
    <x v="1"/>
    <n v="63.75"/>
    <n v="38"/>
    <n v="25.75"/>
    <n v="0.40392156862745099"/>
  </r>
  <r>
    <x v="419"/>
    <d v="2026-03-30T00:00:00"/>
    <s v="CUST-0065"/>
    <s v="PROD-005"/>
    <x v="4"/>
    <x v="1"/>
    <n v="1"/>
    <n v="0"/>
    <x v="1"/>
    <n v="5"/>
    <n v="7"/>
    <x v="15"/>
    <x v="0"/>
    <n v="115"/>
    <n v="58"/>
    <x v="2"/>
    <n v="115"/>
    <n v="58"/>
    <n v="57"/>
    <n v="0.4956521739130435"/>
  </r>
  <r>
    <x v="420"/>
    <d v="2026-07-16T00:00:00"/>
    <s v="CUST-0228"/>
    <s v="PROD-005"/>
    <x v="0"/>
    <x v="0"/>
    <n v="1"/>
    <n v="0.05"/>
    <x v="0"/>
    <n v="5"/>
    <n v="5"/>
    <x v="15"/>
    <x v="0"/>
    <n v="115"/>
    <n v="58"/>
    <x v="2"/>
    <n v="109.25"/>
    <n v="58"/>
    <n v="51.25"/>
    <n v="0.46910755148741418"/>
  </r>
  <r>
    <x v="421"/>
    <d v="2026-03-22T00:00:00"/>
    <s v="CUST-0269"/>
    <s v="PROD-010"/>
    <x v="0"/>
    <x v="0"/>
    <n v="1"/>
    <n v="0"/>
    <x v="0"/>
    <n v="4"/>
    <n v="2"/>
    <x v="13"/>
    <x v="2"/>
    <n v="48"/>
    <n v="22"/>
    <x v="0"/>
    <n v="48"/>
    <n v="22"/>
    <n v="26"/>
    <n v="0.54166666666666663"/>
  </r>
  <r>
    <x v="422"/>
    <d v="2025-11-07T00:00:00"/>
    <s v="CUST-0006"/>
    <s v="PROD-001"/>
    <x v="4"/>
    <x v="0"/>
    <n v="1"/>
    <n v="0"/>
    <x v="0"/>
    <n v="5"/>
    <n v="4"/>
    <x v="2"/>
    <x v="0"/>
    <n v="1100"/>
    <n v="720"/>
    <x v="0"/>
    <n v="1100"/>
    <n v="720"/>
    <n v="380"/>
    <n v="0.34545454545454546"/>
  </r>
  <r>
    <x v="423"/>
    <d v="2026-05-04T00:00:00"/>
    <s v="CUST-0154"/>
    <s v="PROD-001"/>
    <x v="1"/>
    <x v="0"/>
    <n v="3"/>
    <n v="0.1"/>
    <x v="0"/>
    <n v="3"/>
    <n v="5"/>
    <x v="2"/>
    <x v="0"/>
    <n v="1100"/>
    <n v="720"/>
    <x v="0"/>
    <n v="2970"/>
    <n v="2160"/>
    <n v="810"/>
    <n v="0.27272727272727271"/>
  </r>
  <r>
    <x v="424"/>
    <d v="2026-03-24T00:00:00"/>
    <s v="CUST-0203"/>
    <s v="PROD-008"/>
    <x v="2"/>
    <x v="0"/>
    <n v="2"/>
    <n v="0"/>
    <x v="0"/>
    <n v="4"/>
    <n v="2"/>
    <x v="1"/>
    <x v="1"/>
    <n v="255"/>
    <n v="145"/>
    <x v="2"/>
    <n v="510"/>
    <n v="290"/>
    <n v="220"/>
    <n v="0.43137254901960786"/>
  </r>
  <r>
    <x v="425"/>
    <d v="2026-06-14T00:00:00"/>
    <s v="CUST-0140"/>
    <s v="PROD-010"/>
    <x v="1"/>
    <x v="0"/>
    <n v="1"/>
    <n v="0"/>
    <x v="0"/>
    <n v="3"/>
    <n v="1"/>
    <x v="13"/>
    <x v="2"/>
    <n v="48"/>
    <n v="22"/>
    <x v="1"/>
    <n v="48"/>
    <n v="22"/>
    <n v="26"/>
    <n v="0.54166666666666663"/>
  </r>
  <r>
    <x v="426"/>
    <d v="2026-04-12T00:00:00"/>
    <s v="CUST-0232"/>
    <s v="PROD-009"/>
    <x v="1"/>
    <x v="0"/>
    <n v="2"/>
    <n v="0"/>
    <x v="1"/>
    <n v="1"/>
    <n v="4"/>
    <x v="14"/>
    <x v="1"/>
    <n v="185"/>
    <n v="105"/>
    <x v="1"/>
    <n v="370"/>
    <n v="210"/>
    <n v="160"/>
    <n v="0.43243243243243246"/>
  </r>
  <r>
    <x v="427"/>
    <d v="2025-10-03T00:00:00"/>
    <s v="CUST-0065"/>
    <s v="PROD-015"/>
    <x v="1"/>
    <x v="1"/>
    <n v="1"/>
    <n v="0.05"/>
    <x v="0"/>
    <n v="4"/>
    <n v="4"/>
    <x v="12"/>
    <x v="3"/>
    <n v="23"/>
    <n v="10"/>
    <x v="2"/>
    <n v="21.849999999999998"/>
    <n v="10"/>
    <n v="11.849999999999998"/>
    <n v="0.54233409610983974"/>
  </r>
  <r>
    <x v="428"/>
    <d v="2026-01-16T00:00:00"/>
    <s v="CUST-0238"/>
    <s v="PROD-002"/>
    <x v="3"/>
    <x v="2"/>
    <n v="7"/>
    <n v="0"/>
    <x v="0"/>
    <n v="2"/>
    <n v="6"/>
    <x v="0"/>
    <x v="0"/>
    <n v="310"/>
    <n v="190"/>
    <x v="1"/>
    <n v="2170"/>
    <n v="1330"/>
    <n v="840"/>
    <n v="0.38709677419354838"/>
  </r>
  <r>
    <x v="429"/>
    <d v="2025-07-16T00:00:00"/>
    <s v="CUST-0129"/>
    <s v="PROD-013"/>
    <x v="0"/>
    <x v="1"/>
    <n v="4"/>
    <n v="0"/>
    <x v="0"/>
    <n v="4"/>
    <n v="1"/>
    <x v="4"/>
    <x v="2"/>
    <n v="32"/>
    <n v="13"/>
    <x v="2"/>
    <n v="128"/>
    <n v="52"/>
    <n v="76"/>
    <n v="0.59375"/>
  </r>
  <r>
    <x v="430"/>
    <d v="2025-07-23T00:00:00"/>
    <s v="CUST-0236"/>
    <s v="PROD-004"/>
    <x v="4"/>
    <x v="2"/>
    <n v="2"/>
    <n v="0.1"/>
    <x v="0"/>
    <n v="4"/>
    <n v="1"/>
    <x v="3"/>
    <x v="0"/>
    <n v="42"/>
    <n v="19"/>
    <x v="1"/>
    <n v="75.600000000000009"/>
    <n v="38"/>
    <n v="37.600000000000009"/>
    <n v="0.49735449735449744"/>
  </r>
  <r>
    <x v="431"/>
    <d v="2026-07-17T00:00:00"/>
    <s v="CUST-0267"/>
    <s v="PROD-004"/>
    <x v="3"/>
    <x v="0"/>
    <n v="1"/>
    <n v="0.15"/>
    <x v="0"/>
    <n v="3"/>
    <n v="1"/>
    <x v="3"/>
    <x v="0"/>
    <n v="42"/>
    <n v="19"/>
    <x v="0"/>
    <n v="35.699999999999996"/>
    <n v="19"/>
    <n v="16.699999999999996"/>
    <n v="0.46778711484593832"/>
  </r>
  <r>
    <x v="432"/>
    <d v="2025-08-30T00:00:00"/>
    <s v="CUST-0223"/>
    <s v="PROD-011"/>
    <x v="2"/>
    <x v="0"/>
    <n v="3"/>
    <n v="0"/>
    <x v="0"/>
    <n v="5"/>
    <n v="5"/>
    <x v="8"/>
    <x v="2"/>
    <n v="85"/>
    <n v="39"/>
    <x v="0"/>
    <n v="255"/>
    <n v="117"/>
    <n v="138"/>
    <n v="0.54117647058823526"/>
  </r>
  <r>
    <x v="433"/>
    <d v="2026-05-02T00:00:00"/>
    <s v="CUST-0080"/>
    <s v="PROD-012"/>
    <x v="0"/>
    <x v="1"/>
    <n v="2"/>
    <n v="0.1"/>
    <x v="0"/>
    <n v="5"/>
    <n v="1"/>
    <x v="11"/>
    <x v="2"/>
    <n v="68"/>
    <n v="31"/>
    <x v="1"/>
    <n v="122.4"/>
    <n v="62"/>
    <n v="60.400000000000006"/>
    <n v="0.49346405228758172"/>
  </r>
  <r>
    <x v="434"/>
    <d v="2025-03-03T00:00:00"/>
    <s v="CUST-0183"/>
    <s v="PROD-005"/>
    <x v="1"/>
    <x v="0"/>
    <n v="1"/>
    <n v="0"/>
    <x v="1"/>
    <n v="5"/>
    <n v="7"/>
    <x v="15"/>
    <x v="0"/>
    <n v="115"/>
    <n v="58"/>
    <x v="2"/>
    <n v="115"/>
    <n v="58"/>
    <n v="57"/>
    <n v="0.4956521739130435"/>
  </r>
  <r>
    <x v="435"/>
    <d v="2025-07-17T00:00:00"/>
    <s v="CUST-0011"/>
    <s v="PROD-013"/>
    <x v="3"/>
    <x v="1"/>
    <n v="6"/>
    <n v="0.05"/>
    <x v="0"/>
    <n v="4"/>
    <n v="4"/>
    <x v="4"/>
    <x v="2"/>
    <n v="32"/>
    <n v="13"/>
    <x v="1"/>
    <n v="182.39999999999998"/>
    <n v="78"/>
    <n v="104.39999999999998"/>
    <n v="0.57236842105263153"/>
  </r>
  <r>
    <x v="436"/>
    <d v="2025-07-14T00:00:00"/>
    <s v="CUST-0291"/>
    <s v="PROD-006"/>
    <x v="4"/>
    <x v="1"/>
    <n v="2"/>
    <n v="0.15"/>
    <x v="0"/>
    <n v="5"/>
    <n v="2"/>
    <x v="7"/>
    <x v="0"/>
    <n v="98"/>
    <n v="46"/>
    <x v="1"/>
    <n v="166.6"/>
    <n v="92"/>
    <n v="74.599999999999994"/>
    <n v="0.44777911164465783"/>
  </r>
  <r>
    <x v="437"/>
    <d v="2025-03-12T00:00:00"/>
    <s v="CUST-0272"/>
    <s v="PROD-005"/>
    <x v="4"/>
    <x v="0"/>
    <n v="2"/>
    <n v="0"/>
    <x v="0"/>
    <n v="4"/>
    <n v="2"/>
    <x v="15"/>
    <x v="0"/>
    <n v="115"/>
    <n v="58"/>
    <x v="1"/>
    <n v="230"/>
    <n v="116"/>
    <n v="114"/>
    <n v="0.4956521739130435"/>
  </r>
  <r>
    <x v="438"/>
    <d v="2025-01-20T00:00:00"/>
    <s v="CUST-0187"/>
    <s v="PROD-008"/>
    <x v="3"/>
    <x v="1"/>
    <n v="7"/>
    <n v="0.1"/>
    <x v="0"/>
    <n v="5"/>
    <n v="5"/>
    <x v="1"/>
    <x v="1"/>
    <n v="255"/>
    <n v="145"/>
    <x v="2"/>
    <n v="1606.5"/>
    <n v="1015"/>
    <n v="591.5"/>
    <n v="0.36819172113289761"/>
  </r>
  <r>
    <x v="439"/>
    <d v="2025-06-07T00:00:00"/>
    <s v="CUST-0145"/>
    <s v="PROD-011"/>
    <x v="3"/>
    <x v="1"/>
    <n v="1"/>
    <n v="0.05"/>
    <x v="0"/>
    <n v="5"/>
    <n v="2"/>
    <x v="8"/>
    <x v="2"/>
    <n v="85"/>
    <n v="39"/>
    <x v="1"/>
    <n v="80.75"/>
    <n v="39"/>
    <n v="41.75"/>
    <n v="0.51702786377708976"/>
  </r>
  <r>
    <x v="440"/>
    <d v="2025-02-02T00:00:00"/>
    <s v="CUST-0104"/>
    <s v="PROD-004"/>
    <x v="4"/>
    <x v="1"/>
    <n v="3"/>
    <n v="0.15"/>
    <x v="0"/>
    <n v="4"/>
    <n v="5"/>
    <x v="3"/>
    <x v="0"/>
    <n v="42"/>
    <n v="19"/>
    <x v="0"/>
    <n v="107.1"/>
    <n v="57"/>
    <n v="50.099999999999994"/>
    <n v="0.46778711484593832"/>
  </r>
  <r>
    <x v="441"/>
    <d v="2025-09-20T00:00:00"/>
    <s v="CUST-0026"/>
    <s v="PROD-012"/>
    <x v="3"/>
    <x v="0"/>
    <n v="1"/>
    <n v="0.15"/>
    <x v="0"/>
    <n v="5"/>
    <n v="1"/>
    <x v="11"/>
    <x v="2"/>
    <n v="68"/>
    <n v="31"/>
    <x v="1"/>
    <n v="57.8"/>
    <n v="31"/>
    <n v="26.799999999999997"/>
    <n v="0.46366782006920415"/>
  </r>
  <r>
    <x v="442"/>
    <d v="2026-04-25T00:00:00"/>
    <s v="CUST-0032"/>
    <s v="PROD-012"/>
    <x v="4"/>
    <x v="2"/>
    <n v="2"/>
    <n v="0"/>
    <x v="0"/>
    <n v="5"/>
    <n v="3"/>
    <x v="11"/>
    <x v="2"/>
    <n v="68"/>
    <n v="31"/>
    <x v="0"/>
    <n v="136"/>
    <n v="62"/>
    <n v="74"/>
    <n v="0.54411764705882348"/>
  </r>
  <r>
    <x v="443"/>
    <d v="2026-06-26T00:00:00"/>
    <s v="CUST-0021"/>
    <s v="PROD-003"/>
    <x v="0"/>
    <x v="1"/>
    <n v="1"/>
    <n v="0.05"/>
    <x v="0"/>
    <n v="3"/>
    <n v="4"/>
    <x v="10"/>
    <x v="0"/>
    <n v="75"/>
    <n v="38"/>
    <x v="2"/>
    <n v="71.25"/>
    <n v="38"/>
    <n v="33.25"/>
    <n v="0.46666666666666667"/>
  </r>
  <r>
    <x v="444"/>
    <d v="2025-07-14T00:00:00"/>
    <s v="CUST-0099"/>
    <s v="PROD-008"/>
    <x v="4"/>
    <x v="2"/>
    <n v="3"/>
    <n v="0.05"/>
    <x v="0"/>
    <n v="5"/>
    <n v="5"/>
    <x v="1"/>
    <x v="1"/>
    <n v="255"/>
    <n v="145"/>
    <x v="2"/>
    <n v="726.75"/>
    <n v="435"/>
    <n v="291.75"/>
    <n v="0.40144478844169246"/>
  </r>
  <r>
    <x v="445"/>
    <d v="2026-01-02T00:00:00"/>
    <s v="CUST-0235"/>
    <s v="PROD-014"/>
    <x v="0"/>
    <x v="1"/>
    <n v="1"/>
    <n v="0"/>
    <x v="0"/>
    <n v="3"/>
    <n v="5"/>
    <x v="5"/>
    <x v="3"/>
    <n v="17"/>
    <n v="8"/>
    <x v="1"/>
    <n v="17"/>
    <n v="8"/>
    <n v="9"/>
    <n v="0.52941176470588236"/>
  </r>
  <r>
    <x v="446"/>
    <d v="2026-03-30T00:00:00"/>
    <s v="CUST-0181"/>
    <s v="PROD-011"/>
    <x v="4"/>
    <x v="2"/>
    <n v="5"/>
    <n v="0"/>
    <x v="0"/>
    <n v="5"/>
    <n v="3"/>
    <x v="8"/>
    <x v="2"/>
    <n v="85"/>
    <n v="39"/>
    <x v="0"/>
    <n v="425"/>
    <n v="195"/>
    <n v="230"/>
    <n v="0.54117647058823526"/>
  </r>
  <r>
    <x v="447"/>
    <d v="2025-09-04T00:00:00"/>
    <s v="CUST-0289"/>
    <s v="PROD-007"/>
    <x v="3"/>
    <x v="0"/>
    <n v="4"/>
    <n v="0"/>
    <x v="0"/>
    <n v="5"/>
    <n v="1"/>
    <x v="6"/>
    <x v="1"/>
    <n v="540"/>
    <n v="320"/>
    <x v="1"/>
    <n v="2160"/>
    <n v="1280"/>
    <n v="880"/>
    <n v="0.40740740740740738"/>
  </r>
  <r>
    <x v="448"/>
    <d v="2025-02-05T00:00:00"/>
    <s v="CUST-0146"/>
    <s v="PROD-001"/>
    <x v="4"/>
    <x v="2"/>
    <n v="1"/>
    <n v="0"/>
    <x v="0"/>
    <n v="5"/>
    <n v="1"/>
    <x v="2"/>
    <x v="0"/>
    <n v="1100"/>
    <n v="720"/>
    <x v="1"/>
    <n v="1100"/>
    <n v="720"/>
    <n v="380"/>
    <n v="0.34545454545454546"/>
  </r>
  <r>
    <x v="449"/>
    <d v="2025-10-10T00:00:00"/>
    <s v="CUST-0284"/>
    <s v="PROD-005"/>
    <x v="2"/>
    <x v="1"/>
    <n v="1"/>
    <n v="0"/>
    <x v="0"/>
    <n v="3"/>
    <n v="3"/>
    <x v="15"/>
    <x v="0"/>
    <n v="115"/>
    <n v="58"/>
    <x v="1"/>
    <n v="115"/>
    <n v="58"/>
    <n v="57"/>
    <n v="0.4956521739130435"/>
  </r>
  <r>
    <x v="450"/>
    <d v="2025-11-04T00:00:00"/>
    <s v="CUST-0048"/>
    <s v="PROD-013"/>
    <x v="4"/>
    <x v="1"/>
    <n v="1"/>
    <n v="0"/>
    <x v="0"/>
    <n v="4"/>
    <n v="5"/>
    <x v="4"/>
    <x v="2"/>
    <n v="32"/>
    <n v="13"/>
    <x v="1"/>
    <n v="32"/>
    <n v="13"/>
    <n v="19"/>
    <n v="0.59375"/>
  </r>
  <r>
    <x v="451"/>
    <d v="2025-04-08T00:00:00"/>
    <s v="CUST-0154"/>
    <s v="PROD-002"/>
    <x v="1"/>
    <x v="0"/>
    <n v="1"/>
    <n v="0"/>
    <x v="0"/>
    <n v="4"/>
    <n v="4"/>
    <x v="0"/>
    <x v="0"/>
    <n v="310"/>
    <n v="190"/>
    <x v="0"/>
    <n v="310"/>
    <n v="190"/>
    <n v="120"/>
    <n v="0.38709677419354838"/>
  </r>
  <r>
    <x v="452"/>
    <d v="2026-03-03T00:00:00"/>
    <s v="CUST-0062"/>
    <s v="PROD-008"/>
    <x v="1"/>
    <x v="2"/>
    <n v="6"/>
    <n v="0.05"/>
    <x v="0"/>
    <n v="2"/>
    <n v="6"/>
    <x v="1"/>
    <x v="1"/>
    <n v="255"/>
    <n v="145"/>
    <x v="0"/>
    <n v="1453.5"/>
    <n v="870"/>
    <n v="583.5"/>
    <n v="0.40144478844169246"/>
  </r>
  <r>
    <x v="453"/>
    <d v="2025-11-23T00:00:00"/>
    <s v="CUST-0277"/>
    <s v="PROD-005"/>
    <x v="3"/>
    <x v="0"/>
    <n v="1"/>
    <n v="0.1"/>
    <x v="1"/>
    <n v="5"/>
    <n v="6"/>
    <x v="15"/>
    <x v="0"/>
    <n v="115"/>
    <n v="58"/>
    <x v="1"/>
    <n v="103.5"/>
    <n v="58"/>
    <n v="45.5"/>
    <n v="0.43961352657004832"/>
  </r>
  <r>
    <x v="454"/>
    <d v="2025-08-16T00:00:00"/>
    <s v="CUST-0222"/>
    <s v="PROD-010"/>
    <x v="0"/>
    <x v="1"/>
    <n v="2"/>
    <n v="0.05"/>
    <x v="0"/>
    <n v="4"/>
    <n v="3"/>
    <x v="13"/>
    <x v="2"/>
    <n v="48"/>
    <n v="22"/>
    <x v="0"/>
    <n v="91.199999999999989"/>
    <n v="44"/>
    <n v="47.199999999999989"/>
    <n v="0.51754385964912275"/>
  </r>
  <r>
    <x v="455"/>
    <d v="2025-03-29T00:00:00"/>
    <s v="CUST-0205"/>
    <s v="PROD-014"/>
    <x v="0"/>
    <x v="1"/>
    <n v="1"/>
    <n v="0.05"/>
    <x v="0"/>
    <n v="5"/>
    <n v="2"/>
    <x v="5"/>
    <x v="3"/>
    <n v="17"/>
    <n v="8"/>
    <x v="1"/>
    <n v="16.149999999999999"/>
    <n v="8"/>
    <n v="8.1499999999999986"/>
    <n v="0.50464396284829716"/>
  </r>
  <r>
    <x v="456"/>
    <d v="2026-07-29T00:00:00"/>
    <s v="CUST-0269"/>
    <s v="PROD-008"/>
    <x v="3"/>
    <x v="1"/>
    <n v="2"/>
    <n v="0.1"/>
    <x v="0"/>
    <n v="3"/>
    <n v="4"/>
    <x v="1"/>
    <x v="1"/>
    <n v="255"/>
    <n v="145"/>
    <x v="0"/>
    <n v="459"/>
    <n v="290"/>
    <n v="169"/>
    <n v="0.36819172113289761"/>
  </r>
  <r>
    <x v="457"/>
    <d v="2026-03-10T00:00:00"/>
    <s v="CUST-0188"/>
    <s v="PROD-012"/>
    <x v="2"/>
    <x v="1"/>
    <n v="3"/>
    <n v="0.1"/>
    <x v="0"/>
    <n v="4"/>
    <n v="4"/>
    <x v="11"/>
    <x v="2"/>
    <n v="68"/>
    <n v="31"/>
    <x v="1"/>
    <n v="183.6"/>
    <n v="93"/>
    <n v="90.6"/>
    <n v="0.49346405228758167"/>
  </r>
  <r>
    <x v="458"/>
    <d v="2025-05-30T00:00:00"/>
    <s v="CUST-0226"/>
    <s v="PROD-002"/>
    <x v="0"/>
    <x v="1"/>
    <n v="3"/>
    <n v="0"/>
    <x v="0"/>
    <n v="2"/>
    <n v="3"/>
    <x v="0"/>
    <x v="0"/>
    <n v="310"/>
    <n v="190"/>
    <x v="0"/>
    <n v="930"/>
    <n v="570"/>
    <n v="360"/>
    <n v="0.38709677419354838"/>
  </r>
  <r>
    <x v="459"/>
    <d v="2025-06-01T00:00:00"/>
    <s v="CUST-0148"/>
    <s v="PROD-001"/>
    <x v="3"/>
    <x v="0"/>
    <n v="1"/>
    <n v="0.05"/>
    <x v="0"/>
    <n v="5"/>
    <n v="2"/>
    <x v="2"/>
    <x v="0"/>
    <n v="1100"/>
    <n v="720"/>
    <x v="0"/>
    <n v="1045"/>
    <n v="720"/>
    <n v="325"/>
    <n v="0.31100478468899523"/>
  </r>
  <r>
    <x v="460"/>
    <d v="2025-07-28T00:00:00"/>
    <s v="CUST-0280"/>
    <s v="PROD-009"/>
    <x v="4"/>
    <x v="0"/>
    <n v="8"/>
    <n v="0.1"/>
    <x v="0"/>
    <n v="4"/>
    <n v="5"/>
    <x v="14"/>
    <x v="1"/>
    <n v="185"/>
    <n v="105"/>
    <x v="0"/>
    <n v="1332"/>
    <n v="840"/>
    <n v="492"/>
    <n v="0.36936936936936937"/>
  </r>
  <r>
    <x v="461"/>
    <d v="2025-02-14T00:00:00"/>
    <s v="CUST-0131"/>
    <s v="PROD-006"/>
    <x v="2"/>
    <x v="1"/>
    <n v="3"/>
    <n v="0"/>
    <x v="0"/>
    <n v="5"/>
    <n v="1"/>
    <x v="7"/>
    <x v="0"/>
    <n v="98"/>
    <n v="46"/>
    <x v="1"/>
    <n v="294"/>
    <n v="138"/>
    <n v="156"/>
    <n v="0.53061224489795922"/>
  </r>
  <r>
    <x v="462"/>
    <d v="2026-02-02T00:00:00"/>
    <s v="CUST-0139"/>
    <s v="PROD-012"/>
    <x v="0"/>
    <x v="1"/>
    <n v="5"/>
    <n v="0.05"/>
    <x v="0"/>
    <n v="4"/>
    <n v="1"/>
    <x v="11"/>
    <x v="2"/>
    <n v="68"/>
    <n v="31"/>
    <x v="0"/>
    <n v="323"/>
    <n v="155"/>
    <n v="168"/>
    <n v="0.52012383900928794"/>
  </r>
  <r>
    <x v="463"/>
    <d v="2025-11-20T00:00:00"/>
    <s v="CUST-0249"/>
    <s v="PROD-003"/>
    <x v="2"/>
    <x v="0"/>
    <n v="2"/>
    <n v="0.15"/>
    <x v="0"/>
    <n v="3"/>
    <n v="5"/>
    <x v="10"/>
    <x v="0"/>
    <n v="75"/>
    <n v="38"/>
    <x v="0"/>
    <n v="127.5"/>
    <n v="76"/>
    <n v="51.5"/>
    <n v="0.40392156862745099"/>
  </r>
  <r>
    <x v="464"/>
    <d v="2025-11-09T00:00:00"/>
    <s v="CUST-0171"/>
    <s v="PROD-016"/>
    <x v="3"/>
    <x v="1"/>
    <n v="2"/>
    <n v="0"/>
    <x v="0"/>
    <n v="3"/>
    <n v="5"/>
    <x v="9"/>
    <x v="3"/>
    <n v="28"/>
    <n v="12"/>
    <x v="2"/>
    <n v="56"/>
    <n v="24"/>
    <n v="32"/>
    <n v="0.5714285714285714"/>
  </r>
  <r>
    <x v="465"/>
    <d v="2025-10-10T00:00:00"/>
    <s v="CUST-0032"/>
    <s v="PROD-009"/>
    <x v="0"/>
    <x v="2"/>
    <n v="4"/>
    <n v="0"/>
    <x v="0"/>
    <n v="4"/>
    <n v="2"/>
    <x v="14"/>
    <x v="1"/>
    <n v="185"/>
    <n v="105"/>
    <x v="0"/>
    <n v="740"/>
    <n v="420"/>
    <n v="320"/>
    <n v="0.43243243243243246"/>
  </r>
  <r>
    <x v="466"/>
    <d v="2025-12-16T00:00:00"/>
    <s v="CUST-0202"/>
    <s v="PROD-005"/>
    <x v="2"/>
    <x v="1"/>
    <n v="7"/>
    <n v="0.05"/>
    <x v="0"/>
    <n v="3"/>
    <n v="2"/>
    <x v="15"/>
    <x v="0"/>
    <n v="115"/>
    <n v="58"/>
    <x v="2"/>
    <n v="764.75"/>
    <n v="406"/>
    <n v="358.75"/>
    <n v="0.46910755148741418"/>
  </r>
  <r>
    <x v="467"/>
    <d v="2026-08-10T00:00:00"/>
    <s v="CUST-0079"/>
    <s v="PROD-014"/>
    <x v="0"/>
    <x v="2"/>
    <n v="2"/>
    <n v="0.05"/>
    <x v="0"/>
    <n v="3"/>
    <n v="5"/>
    <x v="5"/>
    <x v="3"/>
    <n v="17"/>
    <n v="8"/>
    <x v="1"/>
    <n v="32.299999999999997"/>
    <n v="16"/>
    <n v="16.299999999999997"/>
    <n v="0.50464396284829716"/>
  </r>
  <r>
    <x v="468"/>
    <d v="2025-07-27T00:00:00"/>
    <s v="CUST-0071"/>
    <s v="PROD-010"/>
    <x v="1"/>
    <x v="2"/>
    <n v="6"/>
    <n v="0"/>
    <x v="0"/>
    <n v="5"/>
    <n v="5"/>
    <x v="13"/>
    <x v="2"/>
    <n v="48"/>
    <n v="22"/>
    <x v="1"/>
    <n v="288"/>
    <n v="132"/>
    <n v="156"/>
    <n v="0.54166666666666663"/>
  </r>
  <r>
    <x v="469"/>
    <d v="2025-06-11T00:00:00"/>
    <s v="CUST-0163"/>
    <s v="PROD-003"/>
    <x v="4"/>
    <x v="2"/>
    <n v="1"/>
    <n v="0"/>
    <x v="0"/>
    <n v="5"/>
    <n v="3"/>
    <x v="10"/>
    <x v="0"/>
    <n v="75"/>
    <n v="38"/>
    <x v="1"/>
    <n v="75"/>
    <n v="38"/>
    <n v="37"/>
    <n v="0.49333333333333335"/>
  </r>
  <r>
    <x v="470"/>
    <d v="2026-02-28T00:00:00"/>
    <s v="CUST-0211"/>
    <s v="PROD-010"/>
    <x v="4"/>
    <x v="2"/>
    <n v="6"/>
    <n v="0.15"/>
    <x v="0"/>
    <n v="5"/>
    <n v="1"/>
    <x v="13"/>
    <x v="2"/>
    <n v="48"/>
    <n v="22"/>
    <x v="1"/>
    <n v="244.79999999999998"/>
    <n v="132"/>
    <n v="112.79999999999998"/>
    <n v="0.46078431372549017"/>
  </r>
  <r>
    <x v="471"/>
    <d v="2025-05-15T00:00:00"/>
    <s v="CUST-0095"/>
    <s v="PROD-001"/>
    <x v="1"/>
    <x v="0"/>
    <n v="1"/>
    <n v="0.05"/>
    <x v="0"/>
    <n v="3"/>
    <n v="1"/>
    <x v="2"/>
    <x v="0"/>
    <n v="1100"/>
    <n v="720"/>
    <x v="1"/>
    <n v="1045"/>
    <n v="720"/>
    <n v="325"/>
    <n v="0.31100478468899523"/>
  </r>
  <r>
    <x v="472"/>
    <d v="2026-01-03T00:00:00"/>
    <s v="CUST-0041"/>
    <s v="PROD-016"/>
    <x v="2"/>
    <x v="2"/>
    <n v="2"/>
    <n v="0.05"/>
    <x v="0"/>
    <n v="4"/>
    <n v="4"/>
    <x v="9"/>
    <x v="3"/>
    <n v="28"/>
    <n v="12"/>
    <x v="0"/>
    <n v="53.199999999999996"/>
    <n v="24"/>
    <n v="29.199999999999996"/>
    <n v="0.54887218045112773"/>
  </r>
  <r>
    <x v="473"/>
    <d v="2025-05-21T00:00:00"/>
    <s v="CUST-0084"/>
    <s v="PROD-007"/>
    <x v="3"/>
    <x v="1"/>
    <n v="7"/>
    <n v="0.15"/>
    <x v="1"/>
    <n v="3"/>
    <n v="4"/>
    <x v="6"/>
    <x v="1"/>
    <n v="540"/>
    <n v="320"/>
    <x v="2"/>
    <n v="3213"/>
    <n v="2240"/>
    <n v="973"/>
    <n v="0.30283224400871461"/>
  </r>
  <r>
    <x v="474"/>
    <d v="2025-03-09T00:00:00"/>
    <s v="CUST-0091"/>
    <s v="PROD-015"/>
    <x v="0"/>
    <x v="0"/>
    <n v="2"/>
    <n v="0"/>
    <x v="0"/>
    <n v="4"/>
    <n v="1"/>
    <x v="12"/>
    <x v="3"/>
    <n v="23"/>
    <n v="10"/>
    <x v="1"/>
    <n v="46"/>
    <n v="20"/>
    <n v="26"/>
    <n v="0.56521739130434778"/>
  </r>
  <r>
    <x v="475"/>
    <d v="2026-01-25T00:00:00"/>
    <s v="CUST-0161"/>
    <s v="PROD-013"/>
    <x v="1"/>
    <x v="0"/>
    <n v="3"/>
    <n v="0.05"/>
    <x v="0"/>
    <n v="5"/>
    <n v="5"/>
    <x v="4"/>
    <x v="2"/>
    <n v="32"/>
    <n v="13"/>
    <x v="1"/>
    <n v="91.199999999999989"/>
    <n v="39"/>
    <n v="52.199999999999989"/>
    <n v="0.57236842105263153"/>
  </r>
  <r>
    <x v="476"/>
    <d v="2025-04-22T00:00:00"/>
    <s v="CUST-0232"/>
    <s v="PROD-015"/>
    <x v="0"/>
    <x v="1"/>
    <n v="8"/>
    <n v="0.05"/>
    <x v="0"/>
    <n v="5"/>
    <n v="5"/>
    <x v="12"/>
    <x v="3"/>
    <n v="23"/>
    <n v="10"/>
    <x v="1"/>
    <n v="174.79999999999998"/>
    <n v="80"/>
    <n v="94.799999999999983"/>
    <n v="0.54233409610983974"/>
  </r>
  <r>
    <x v="477"/>
    <d v="2026-02-01T00:00:00"/>
    <s v="CUST-0265"/>
    <s v="PROD-002"/>
    <x v="2"/>
    <x v="1"/>
    <n v="5"/>
    <n v="0.1"/>
    <x v="0"/>
    <n v="3"/>
    <n v="3"/>
    <x v="0"/>
    <x v="0"/>
    <n v="310"/>
    <n v="190"/>
    <x v="2"/>
    <n v="1395"/>
    <n v="950"/>
    <n v="445"/>
    <n v="0.31899641577060933"/>
  </r>
  <r>
    <x v="478"/>
    <d v="2025-02-25T00:00:00"/>
    <s v="CUST-0265"/>
    <s v="PROD-005"/>
    <x v="4"/>
    <x v="0"/>
    <n v="1"/>
    <n v="0.05"/>
    <x v="0"/>
    <n v="4"/>
    <n v="5"/>
    <x v="15"/>
    <x v="0"/>
    <n v="115"/>
    <n v="58"/>
    <x v="2"/>
    <n v="109.25"/>
    <n v="58"/>
    <n v="51.25"/>
    <n v="0.46910755148741418"/>
  </r>
  <r>
    <x v="479"/>
    <d v="2025-05-19T00:00:00"/>
    <s v="CUST-0202"/>
    <s v="PROD-014"/>
    <x v="3"/>
    <x v="1"/>
    <n v="2"/>
    <n v="0.15"/>
    <x v="0"/>
    <n v="5"/>
    <n v="1"/>
    <x v="5"/>
    <x v="3"/>
    <n v="17"/>
    <n v="8"/>
    <x v="2"/>
    <n v="28.9"/>
    <n v="16"/>
    <n v="12.899999999999999"/>
    <n v="0.44636678200692037"/>
  </r>
  <r>
    <x v="480"/>
    <d v="2025-09-14T00:00:00"/>
    <s v="CUST-0166"/>
    <s v="PROD-006"/>
    <x v="1"/>
    <x v="1"/>
    <n v="1"/>
    <n v="0"/>
    <x v="0"/>
    <n v="4"/>
    <n v="4"/>
    <x v="7"/>
    <x v="0"/>
    <n v="98"/>
    <n v="46"/>
    <x v="1"/>
    <n v="98"/>
    <n v="46"/>
    <n v="52"/>
    <n v="0.53061224489795922"/>
  </r>
  <r>
    <x v="481"/>
    <d v="2026-06-08T00:00:00"/>
    <s v="CUST-0082"/>
    <s v="PROD-013"/>
    <x v="4"/>
    <x v="1"/>
    <n v="1"/>
    <n v="0"/>
    <x v="0"/>
    <n v="5"/>
    <n v="2"/>
    <x v="4"/>
    <x v="2"/>
    <n v="32"/>
    <n v="13"/>
    <x v="1"/>
    <n v="32"/>
    <n v="13"/>
    <n v="19"/>
    <n v="0.59375"/>
  </r>
  <r>
    <x v="482"/>
    <d v="2025-05-29T00:00:00"/>
    <s v="CUST-0092"/>
    <s v="PROD-002"/>
    <x v="3"/>
    <x v="1"/>
    <n v="4"/>
    <n v="0"/>
    <x v="0"/>
    <n v="3"/>
    <n v="2"/>
    <x v="0"/>
    <x v="0"/>
    <n v="310"/>
    <n v="190"/>
    <x v="0"/>
    <n v="1240"/>
    <n v="760"/>
    <n v="480"/>
    <n v="0.38709677419354838"/>
  </r>
  <r>
    <x v="483"/>
    <d v="2025-07-27T00:00:00"/>
    <s v="CUST-0002"/>
    <s v="PROD-009"/>
    <x v="2"/>
    <x v="0"/>
    <n v="2"/>
    <n v="0.1"/>
    <x v="0"/>
    <n v="4"/>
    <n v="2"/>
    <x v="14"/>
    <x v="1"/>
    <n v="185"/>
    <n v="105"/>
    <x v="1"/>
    <n v="333"/>
    <n v="210"/>
    <n v="123"/>
    <n v="0.36936936936936937"/>
  </r>
  <r>
    <x v="484"/>
    <d v="2026-08-26T00:00:00"/>
    <s v="CUST-0244"/>
    <s v="PROD-015"/>
    <x v="3"/>
    <x v="1"/>
    <n v="3"/>
    <n v="0"/>
    <x v="0"/>
    <n v="5"/>
    <n v="5"/>
    <x v="12"/>
    <x v="3"/>
    <n v="23"/>
    <n v="10"/>
    <x v="2"/>
    <n v="69"/>
    <n v="30"/>
    <n v="39"/>
    <n v="0.56521739130434778"/>
  </r>
  <r>
    <x v="485"/>
    <d v="2025-08-01T00:00:00"/>
    <s v="CUST-0026"/>
    <s v="PROD-006"/>
    <x v="2"/>
    <x v="0"/>
    <n v="1"/>
    <n v="0.15"/>
    <x v="0"/>
    <n v="5"/>
    <n v="3"/>
    <x v="7"/>
    <x v="0"/>
    <n v="98"/>
    <n v="46"/>
    <x v="1"/>
    <n v="83.3"/>
    <n v="46"/>
    <n v="37.299999999999997"/>
    <n v="0.44777911164465783"/>
  </r>
  <r>
    <x v="486"/>
    <d v="2025-12-06T00:00:00"/>
    <s v="CUST-0045"/>
    <s v="PROD-002"/>
    <x v="2"/>
    <x v="2"/>
    <n v="1"/>
    <n v="0"/>
    <x v="0"/>
    <n v="5"/>
    <n v="5"/>
    <x v="0"/>
    <x v="0"/>
    <n v="310"/>
    <n v="190"/>
    <x v="1"/>
    <n v="310"/>
    <n v="190"/>
    <n v="120"/>
    <n v="0.38709677419354838"/>
  </r>
  <r>
    <x v="487"/>
    <d v="2026-07-30T00:00:00"/>
    <s v="CUST-0091"/>
    <s v="PROD-015"/>
    <x v="1"/>
    <x v="1"/>
    <n v="1"/>
    <n v="0.1"/>
    <x v="0"/>
    <n v="5"/>
    <n v="1"/>
    <x v="12"/>
    <x v="3"/>
    <n v="23"/>
    <n v="10"/>
    <x v="1"/>
    <n v="20.7"/>
    <n v="10"/>
    <n v="10.7"/>
    <n v="0.51690821256038644"/>
  </r>
  <r>
    <x v="488"/>
    <d v="2026-03-14T00:00:00"/>
    <s v="CUST-0282"/>
    <s v="PROD-003"/>
    <x v="3"/>
    <x v="1"/>
    <n v="3"/>
    <n v="0"/>
    <x v="0"/>
    <n v="4"/>
    <n v="2"/>
    <x v="10"/>
    <x v="0"/>
    <n v="75"/>
    <n v="38"/>
    <x v="1"/>
    <n v="225"/>
    <n v="114"/>
    <n v="111"/>
    <n v="0.49333333333333335"/>
  </r>
  <r>
    <x v="489"/>
    <d v="2025-03-01T00:00:00"/>
    <s v="CUST-0056"/>
    <s v="PROD-003"/>
    <x v="4"/>
    <x v="0"/>
    <n v="6"/>
    <n v="0.2"/>
    <x v="0"/>
    <n v="4"/>
    <n v="3"/>
    <x v="10"/>
    <x v="0"/>
    <n v="75"/>
    <n v="38"/>
    <x v="0"/>
    <n v="360"/>
    <n v="228"/>
    <n v="132"/>
    <n v="0.36666666666666664"/>
  </r>
  <r>
    <x v="490"/>
    <d v="2025-09-23T00:00:00"/>
    <s v="CUST-0270"/>
    <s v="PROD-012"/>
    <x v="0"/>
    <x v="0"/>
    <n v="2"/>
    <n v="0.1"/>
    <x v="0"/>
    <n v="5"/>
    <n v="5"/>
    <x v="11"/>
    <x v="2"/>
    <n v="68"/>
    <n v="31"/>
    <x v="1"/>
    <n v="122.4"/>
    <n v="62"/>
    <n v="60.400000000000006"/>
    <n v="0.49346405228758172"/>
  </r>
  <r>
    <x v="491"/>
    <d v="2025-08-27T00:00:00"/>
    <s v="CUST-0149"/>
    <s v="PROD-007"/>
    <x v="2"/>
    <x v="1"/>
    <n v="3"/>
    <n v="0"/>
    <x v="0"/>
    <n v="5"/>
    <n v="4"/>
    <x v="6"/>
    <x v="1"/>
    <n v="540"/>
    <n v="320"/>
    <x v="1"/>
    <n v="1620"/>
    <n v="960"/>
    <n v="660"/>
    <n v="0.40740740740740738"/>
  </r>
  <r>
    <x v="492"/>
    <d v="2026-02-28T00:00:00"/>
    <s v="CUST-0024"/>
    <s v="PROD-011"/>
    <x v="3"/>
    <x v="0"/>
    <n v="1"/>
    <n v="0.05"/>
    <x v="0"/>
    <n v="4"/>
    <n v="1"/>
    <x v="8"/>
    <x v="2"/>
    <n v="85"/>
    <n v="39"/>
    <x v="1"/>
    <n v="80.75"/>
    <n v="39"/>
    <n v="41.75"/>
    <n v="0.51702786377708976"/>
  </r>
  <r>
    <x v="493"/>
    <d v="2025-11-12T00:00:00"/>
    <s v="CUST-0154"/>
    <s v="PROD-011"/>
    <x v="1"/>
    <x v="1"/>
    <n v="2"/>
    <n v="0"/>
    <x v="0"/>
    <n v="5"/>
    <n v="2"/>
    <x v="8"/>
    <x v="2"/>
    <n v="85"/>
    <n v="39"/>
    <x v="0"/>
    <n v="170"/>
    <n v="78"/>
    <n v="92"/>
    <n v="0.54117647058823526"/>
  </r>
  <r>
    <x v="494"/>
    <d v="2025-07-18T00:00:00"/>
    <s v="CUST-0170"/>
    <s v="PROD-011"/>
    <x v="0"/>
    <x v="1"/>
    <n v="2"/>
    <n v="0"/>
    <x v="0"/>
    <n v="3"/>
    <n v="4"/>
    <x v="8"/>
    <x v="2"/>
    <n v="85"/>
    <n v="39"/>
    <x v="1"/>
    <n v="170"/>
    <n v="78"/>
    <n v="92"/>
    <n v="0.54117647058823526"/>
  </r>
  <r>
    <x v="495"/>
    <d v="2026-07-04T00:00:00"/>
    <s v="CUST-0172"/>
    <s v="PROD-015"/>
    <x v="0"/>
    <x v="1"/>
    <n v="4"/>
    <n v="0.15"/>
    <x v="0"/>
    <n v="5"/>
    <n v="3"/>
    <x v="12"/>
    <x v="3"/>
    <n v="23"/>
    <n v="10"/>
    <x v="0"/>
    <n v="78.2"/>
    <n v="40"/>
    <n v="38.200000000000003"/>
    <n v="0.48849104859335041"/>
  </r>
  <r>
    <x v="496"/>
    <d v="2026-07-23T00:00:00"/>
    <s v="CUST-0275"/>
    <s v="PROD-001"/>
    <x v="2"/>
    <x v="0"/>
    <n v="4"/>
    <n v="0.15"/>
    <x v="0"/>
    <n v="5"/>
    <n v="3"/>
    <x v="2"/>
    <x v="0"/>
    <n v="1100"/>
    <n v="720"/>
    <x v="1"/>
    <n v="3740"/>
    <n v="2880"/>
    <n v="860"/>
    <n v="0.22994652406417113"/>
  </r>
  <r>
    <x v="497"/>
    <d v="2025-02-01T00:00:00"/>
    <s v="CUST-0174"/>
    <s v="PROD-013"/>
    <x v="1"/>
    <x v="2"/>
    <n v="3"/>
    <n v="0"/>
    <x v="0"/>
    <n v="5"/>
    <n v="3"/>
    <x v="4"/>
    <x v="2"/>
    <n v="32"/>
    <n v="13"/>
    <x v="0"/>
    <n v="96"/>
    <n v="39"/>
    <n v="57"/>
    <n v="0.59375"/>
  </r>
  <r>
    <x v="498"/>
    <d v="2025-11-19T00:00:00"/>
    <s v="CUST-0017"/>
    <s v="PROD-009"/>
    <x v="3"/>
    <x v="0"/>
    <n v="1"/>
    <n v="0"/>
    <x v="1"/>
    <n v="3"/>
    <n v="5"/>
    <x v="14"/>
    <x v="1"/>
    <n v="185"/>
    <n v="105"/>
    <x v="1"/>
    <n v="185"/>
    <n v="105"/>
    <n v="80"/>
    <n v="0.43243243243243246"/>
  </r>
  <r>
    <x v="499"/>
    <d v="2025-04-25T00:00:00"/>
    <s v="CUST-0192"/>
    <s v="PROD-002"/>
    <x v="0"/>
    <x v="2"/>
    <n v="2"/>
    <n v="0"/>
    <x v="0"/>
    <n v="4"/>
    <n v="2"/>
    <x v="0"/>
    <x v="0"/>
    <n v="310"/>
    <n v="190"/>
    <x v="1"/>
    <n v="620"/>
    <n v="380"/>
    <n v="240"/>
    <n v="0.38709677419354838"/>
  </r>
  <r>
    <x v="500"/>
    <d v="2025-12-15T00:00:00"/>
    <s v="CUST-0248"/>
    <s v="PROD-010"/>
    <x v="0"/>
    <x v="1"/>
    <n v="5"/>
    <n v="0.1"/>
    <x v="1"/>
    <n v="5"/>
    <n v="4"/>
    <x v="13"/>
    <x v="2"/>
    <n v="48"/>
    <n v="22"/>
    <x v="1"/>
    <n v="216"/>
    <n v="110"/>
    <n v="106"/>
    <n v="0.49074074074074076"/>
  </r>
  <r>
    <x v="501"/>
    <d v="2025-02-07T00:00:00"/>
    <s v="CUST-0236"/>
    <s v="PROD-013"/>
    <x v="1"/>
    <x v="0"/>
    <n v="1"/>
    <n v="0.15"/>
    <x v="0"/>
    <n v="4"/>
    <n v="1"/>
    <x v="4"/>
    <x v="2"/>
    <n v="32"/>
    <n v="13"/>
    <x v="1"/>
    <n v="27.2"/>
    <n v="13"/>
    <n v="14.2"/>
    <n v="0.5220588235294118"/>
  </r>
  <r>
    <x v="502"/>
    <d v="2025-12-08T00:00:00"/>
    <s v="CUST-0240"/>
    <s v="PROD-002"/>
    <x v="2"/>
    <x v="0"/>
    <n v="4"/>
    <n v="0"/>
    <x v="0"/>
    <n v="5"/>
    <n v="2"/>
    <x v="0"/>
    <x v="0"/>
    <n v="310"/>
    <n v="190"/>
    <x v="0"/>
    <n v="1240"/>
    <n v="760"/>
    <n v="480"/>
    <n v="0.38709677419354838"/>
  </r>
  <r>
    <x v="503"/>
    <d v="2025-11-25T00:00:00"/>
    <s v="CUST-0103"/>
    <s v="PROD-007"/>
    <x v="3"/>
    <x v="0"/>
    <n v="4"/>
    <n v="0.1"/>
    <x v="0"/>
    <n v="3"/>
    <n v="1"/>
    <x v="6"/>
    <x v="1"/>
    <n v="540"/>
    <n v="320"/>
    <x v="0"/>
    <n v="1944"/>
    <n v="1280"/>
    <n v="664"/>
    <n v="0.34156378600823045"/>
  </r>
  <r>
    <x v="504"/>
    <d v="2025-01-16T00:00:00"/>
    <s v="CUST-0287"/>
    <s v="PROD-004"/>
    <x v="2"/>
    <x v="1"/>
    <n v="1"/>
    <n v="0"/>
    <x v="0"/>
    <n v="4"/>
    <n v="2"/>
    <x v="3"/>
    <x v="0"/>
    <n v="42"/>
    <n v="19"/>
    <x v="2"/>
    <n v="42"/>
    <n v="19"/>
    <n v="23"/>
    <n v="0.54761904761904767"/>
  </r>
  <r>
    <x v="505"/>
    <d v="2025-06-25T00:00:00"/>
    <s v="CUST-0037"/>
    <s v="PROD-010"/>
    <x v="1"/>
    <x v="1"/>
    <n v="2"/>
    <n v="0"/>
    <x v="0"/>
    <n v="5"/>
    <n v="1"/>
    <x v="13"/>
    <x v="2"/>
    <n v="48"/>
    <n v="22"/>
    <x v="2"/>
    <n v="96"/>
    <n v="44"/>
    <n v="52"/>
    <n v="0.54166666666666663"/>
  </r>
  <r>
    <x v="506"/>
    <d v="2026-01-28T00:00:00"/>
    <s v="CUST-0028"/>
    <s v="PROD-003"/>
    <x v="4"/>
    <x v="1"/>
    <n v="3"/>
    <n v="0.05"/>
    <x v="0"/>
    <n v="5"/>
    <n v="5"/>
    <x v="10"/>
    <x v="0"/>
    <n v="75"/>
    <n v="38"/>
    <x v="1"/>
    <n v="213.75"/>
    <n v="114"/>
    <n v="99.75"/>
    <n v="0.46666666666666667"/>
  </r>
  <r>
    <x v="507"/>
    <d v="2025-12-31T00:00:00"/>
    <s v="CUST-0160"/>
    <s v="PROD-011"/>
    <x v="0"/>
    <x v="0"/>
    <n v="3"/>
    <n v="0.05"/>
    <x v="1"/>
    <n v="5"/>
    <n v="6"/>
    <x v="8"/>
    <x v="2"/>
    <n v="85"/>
    <n v="39"/>
    <x v="1"/>
    <n v="242.25"/>
    <n v="117"/>
    <n v="125.25"/>
    <n v="0.51702786377708976"/>
  </r>
  <r>
    <x v="508"/>
    <d v="2025-04-06T00:00:00"/>
    <s v="CUST-0240"/>
    <s v="PROD-004"/>
    <x v="4"/>
    <x v="0"/>
    <n v="4"/>
    <n v="0.05"/>
    <x v="0"/>
    <n v="3"/>
    <n v="5"/>
    <x v="3"/>
    <x v="0"/>
    <n v="42"/>
    <n v="19"/>
    <x v="0"/>
    <n v="159.6"/>
    <n v="76"/>
    <n v="83.6"/>
    <n v="0.52380952380952384"/>
  </r>
  <r>
    <x v="509"/>
    <d v="2025-09-22T00:00:00"/>
    <s v="CUST-0187"/>
    <s v="PROD-013"/>
    <x v="2"/>
    <x v="2"/>
    <n v="2"/>
    <n v="0.15"/>
    <x v="0"/>
    <n v="4"/>
    <n v="1"/>
    <x v="4"/>
    <x v="2"/>
    <n v="32"/>
    <n v="13"/>
    <x v="2"/>
    <n v="54.4"/>
    <n v="26"/>
    <n v="28.4"/>
    <n v="0.5220588235294118"/>
  </r>
  <r>
    <x v="510"/>
    <d v="2026-05-02T00:00:00"/>
    <s v="CUST-0058"/>
    <s v="PROD-012"/>
    <x v="4"/>
    <x v="2"/>
    <n v="1"/>
    <n v="0"/>
    <x v="0"/>
    <n v="4"/>
    <n v="4"/>
    <x v="11"/>
    <x v="2"/>
    <n v="68"/>
    <n v="31"/>
    <x v="0"/>
    <n v="68"/>
    <n v="31"/>
    <n v="37"/>
    <n v="0.54411764705882348"/>
  </r>
  <r>
    <x v="511"/>
    <d v="2025-04-20T00:00:00"/>
    <s v="CUST-0167"/>
    <s v="PROD-003"/>
    <x v="0"/>
    <x v="0"/>
    <n v="2"/>
    <n v="0"/>
    <x v="0"/>
    <n v="4"/>
    <n v="4"/>
    <x v="10"/>
    <x v="0"/>
    <n v="75"/>
    <n v="38"/>
    <x v="1"/>
    <n v="150"/>
    <n v="76"/>
    <n v="74"/>
    <n v="0.49333333333333335"/>
  </r>
  <r>
    <x v="512"/>
    <d v="2026-01-29T00:00:00"/>
    <s v="CUST-0034"/>
    <s v="PROD-011"/>
    <x v="2"/>
    <x v="0"/>
    <n v="2"/>
    <n v="0.2"/>
    <x v="0"/>
    <n v="4"/>
    <n v="2"/>
    <x v="8"/>
    <x v="2"/>
    <n v="85"/>
    <n v="39"/>
    <x v="2"/>
    <n v="136"/>
    <n v="78"/>
    <n v="58"/>
    <n v="0.4264705882352941"/>
  </r>
  <r>
    <x v="513"/>
    <d v="2025-06-27T00:00:00"/>
    <s v="CUST-0040"/>
    <s v="PROD-016"/>
    <x v="2"/>
    <x v="0"/>
    <n v="2"/>
    <n v="0"/>
    <x v="0"/>
    <n v="4"/>
    <n v="4"/>
    <x v="9"/>
    <x v="3"/>
    <n v="28"/>
    <n v="12"/>
    <x v="0"/>
    <n v="56"/>
    <n v="24"/>
    <n v="32"/>
    <n v="0.5714285714285714"/>
  </r>
  <r>
    <x v="514"/>
    <d v="2025-03-13T00:00:00"/>
    <s v="CUST-0056"/>
    <s v="PROD-013"/>
    <x v="3"/>
    <x v="0"/>
    <n v="1"/>
    <n v="0"/>
    <x v="0"/>
    <n v="4"/>
    <n v="1"/>
    <x v="4"/>
    <x v="2"/>
    <n v="32"/>
    <n v="13"/>
    <x v="0"/>
    <n v="32"/>
    <n v="13"/>
    <n v="19"/>
    <n v="0.59375"/>
  </r>
  <r>
    <x v="515"/>
    <d v="2025-05-31T00:00:00"/>
    <s v="CUST-0077"/>
    <s v="PROD-015"/>
    <x v="4"/>
    <x v="1"/>
    <n v="3"/>
    <n v="0"/>
    <x v="0"/>
    <n v="4"/>
    <n v="5"/>
    <x v="12"/>
    <x v="3"/>
    <n v="23"/>
    <n v="10"/>
    <x v="2"/>
    <n v="69"/>
    <n v="30"/>
    <n v="39"/>
    <n v="0.56521739130434778"/>
  </r>
  <r>
    <x v="516"/>
    <d v="2025-11-08T00:00:00"/>
    <s v="CUST-0223"/>
    <s v="PROD-012"/>
    <x v="0"/>
    <x v="0"/>
    <n v="3"/>
    <n v="0.05"/>
    <x v="0"/>
    <n v="5"/>
    <n v="1"/>
    <x v="11"/>
    <x v="2"/>
    <n v="68"/>
    <n v="31"/>
    <x v="0"/>
    <n v="193.79999999999998"/>
    <n v="93"/>
    <n v="100.79999999999998"/>
    <n v="0.52012383900928794"/>
  </r>
  <r>
    <x v="517"/>
    <d v="2026-01-14T00:00:00"/>
    <s v="CUST-0282"/>
    <s v="PROD-002"/>
    <x v="2"/>
    <x v="0"/>
    <n v="8"/>
    <n v="0"/>
    <x v="0"/>
    <n v="1"/>
    <n v="8"/>
    <x v="0"/>
    <x v="0"/>
    <n v="310"/>
    <n v="190"/>
    <x v="1"/>
    <n v="2480"/>
    <n v="1520"/>
    <n v="960"/>
    <n v="0.38709677419354838"/>
  </r>
  <r>
    <x v="518"/>
    <d v="2025-11-22T00:00:00"/>
    <s v="CUST-0196"/>
    <s v="PROD-013"/>
    <x v="3"/>
    <x v="0"/>
    <n v="3"/>
    <n v="0.05"/>
    <x v="0"/>
    <n v="4"/>
    <n v="3"/>
    <x v="4"/>
    <x v="2"/>
    <n v="32"/>
    <n v="13"/>
    <x v="2"/>
    <n v="91.199999999999989"/>
    <n v="39"/>
    <n v="52.199999999999989"/>
    <n v="0.57236842105263153"/>
  </r>
  <r>
    <x v="519"/>
    <d v="2026-03-04T00:00:00"/>
    <s v="CUST-0079"/>
    <s v="PROD-010"/>
    <x v="0"/>
    <x v="0"/>
    <n v="1"/>
    <n v="0"/>
    <x v="0"/>
    <n v="5"/>
    <n v="4"/>
    <x v="13"/>
    <x v="2"/>
    <n v="48"/>
    <n v="22"/>
    <x v="1"/>
    <n v="48"/>
    <n v="22"/>
    <n v="26"/>
    <n v="0.54166666666666663"/>
  </r>
  <r>
    <x v="520"/>
    <d v="2026-03-24T00:00:00"/>
    <s v="CUST-0070"/>
    <s v="PROD-003"/>
    <x v="2"/>
    <x v="0"/>
    <n v="5"/>
    <n v="0.15"/>
    <x v="0"/>
    <n v="5"/>
    <n v="5"/>
    <x v="10"/>
    <x v="0"/>
    <n v="75"/>
    <n v="38"/>
    <x v="1"/>
    <n v="318.75"/>
    <n v="190"/>
    <n v="128.75"/>
    <n v="0.40392156862745099"/>
  </r>
  <r>
    <x v="521"/>
    <d v="2025-07-04T00:00:00"/>
    <s v="CUST-0233"/>
    <s v="PROD-014"/>
    <x v="4"/>
    <x v="1"/>
    <n v="2"/>
    <n v="0"/>
    <x v="0"/>
    <n v="4"/>
    <n v="2"/>
    <x v="5"/>
    <x v="3"/>
    <n v="17"/>
    <n v="8"/>
    <x v="0"/>
    <n v="34"/>
    <n v="16"/>
    <n v="18"/>
    <n v="0.52941176470588236"/>
  </r>
  <r>
    <x v="522"/>
    <d v="2026-05-29T00:00:00"/>
    <s v="CUST-0138"/>
    <s v="PROD-014"/>
    <x v="0"/>
    <x v="0"/>
    <n v="1"/>
    <n v="0"/>
    <x v="0"/>
    <n v="4"/>
    <n v="5"/>
    <x v="5"/>
    <x v="3"/>
    <n v="17"/>
    <n v="8"/>
    <x v="0"/>
    <n v="17"/>
    <n v="8"/>
    <n v="9"/>
    <n v="0.52941176470588236"/>
  </r>
  <r>
    <x v="523"/>
    <d v="2026-05-09T00:00:00"/>
    <s v="CUST-0041"/>
    <s v="PROD-005"/>
    <x v="1"/>
    <x v="0"/>
    <n v="5"/>
    <n v="0.1"/>
    <x v="0"/>
    <n v="4"/>
    <n v="5"/>
    <x v="15"/>
    <x v="0"/>
    <n v="115"/>
    <n v="58"/>
    <x v="0"/>
    <n v="517.5"/>
    <n v="290"/>
    <n v="227.5"/>
    <n v="0.43961352657004832"/>
  </r>
  <r>
    <x v="524"/>
    <d v="2025-04-01T00:00:00"/>
    <s v="CUST-0126"/>
    <s v="PROD-016"/>
    <x v="1"/>
    <x v="0"/>
    <n v="3"/>
    <n v="0.1"/>
    <x v="0"/>
    <n v="4"/>
    <n v="5"/>
    <x v="9"/>
    <x v="3"/>
    <n v="28"/>
    <n v="12"/>
    <x v="1"/>
    <n v="75.600000000000009"/>
    <n v="36"/>
    <n v="39.600000000000009"/>
    <n v="0.52380952380952384"/>
  </r>
  <r>
    <x v="525"/>
    <d v="2025-02-24T00:00:00"/>
    <s v="CUST-0176"/>
    <s v="PROD-001"/>
    <x v="4"/>
    <x v="0"/>
    <n v="2"/>
    <n v="0.1"/>
    <x v="0"/>
    <n v="5"/>
    <n v="3"/>
    <x v="2"/>
    <x v="0"/>
    <n v="1100"/>
    <n v="720"/>
    <x v="1"/>
    <n v="1980"/>
    <n v="1440"/>
    <n v="540"/>
    <n v="0.27272727272727271"/>
  </r>
  <r>
    <x v="526"/>
    <d v="2025-10-24T00:00:00"/>
    <s v="CUST-0086"/>
    <s v="PROD-002"/>
    <x v="1"/>
    <x v="0"/>
    <n v="1"/>
    <n v="0.1"/>
    <x v="0"/>
    <n v="5"/>
    <n v="5"/>
    <x v="0"/>
    <x v="0"/>
    <n v="310"/>
    <n v="190"/>
    <x v="1"/>
    <n v="279"/>
    <n v="190"/>
    <n v="89"/>
    <n v="0.31899641577060933"/>
  </r>
  <r>
    <x v="527"/>
    <d v="2025-06-23T00:00:00"/>
    <s v="CUST-0294"/>
    <s v="PROD-002"/>
    <x v="1"/>
    <x v="1"/>
    <n v="4"/>
    <n v="0"/>
    <x v="0"/>
    <n v="3"/>
    <n v="1"/>
    <x v="0"/>
    <x v="0"/>
    <n v="310"/>
    <n v="190"/>
    <x v="1"/>
    <n v="1240"/>
    <n v="760"/>
    <n v="480"/>
    <n v="0.38709677419354838"/>
  </r>
  <r>
    <x v="528"/>
    <d v="2025-10-12T00:00:00"/>
    <s v="CUST-0130"/>
    <s v="PROD-005"/>
    <x v="1"/>
    <x v="1"/>
    <n v="1"/>
    <n v="0.1"/>
    <x v="0"/>
    <n v="5"/>
    <n v="2"/>
    <x v="15"/>
    <x v="0"/>
    <n v="115"/>
    <n v="58"/>
    <x v="2"/>
    <n v="103.5"/>
    <n v="58"/>
    <n v="45.5"/>
    <n v="0.43961352657004832"/>
  </r>
  <r>
    <x v="529"/>
    <d v="2026-04-03T00:00:00"/>
    <s v="CUST-0190"/>
    <s v="PROD-006"/>
    <x v="3"/>
    <x v="0"/>
    <n v="2"/>
    <n v="0.1"/>
    <x v="0"/>
    <n v="4"/>
    <n v="1"/>
    <x v="7"/>
    <x v="0"/>
    <n v="98"/>
    <n v="46"/>
    <x v="1"/>
    <n v="176.4"/>
    <n v="92"/>
    <n v="84.4"/>
    <n v="0.47845804988662133"/>
  </r>
  <r>
    <x v="530"/>
    <d v="2025-05-29T00:00:00"/>
    <s v="CUST-0079"/>
    <s v="PROD-016"/>
    <x v="1"/>
    <x v="1"/>
    <n v="2"/>
    <n v="0.1"/>
    <x v="0"/>
    <n v="3"/>
    <n v="5"/>
    <x v="9"/>
    <x v="3"/>
    <n v="28"/>
    <n v="12"/>
    <x v="1"/>
    <n v="50.4"/>
    <n v="24"/>
    <n v="26.4"/>
    <n v="0.52380952380952384"/>
  </r>
  <r>
    <x v="531"/>
    <d v="2025-12-20T00:00:00"/>
    <s v="CUST-0028"/>
    <s v="PROD-009"/>
    <x v="1"/>
    <x v="1"/>
    <n v="1"/>
    <n v="0"/>
    <x v="0"/>
    <n v="5"/>
    <n v="5"/>
    <x v="14"/>
    <x v="1"/>
    <n v="185"/>
    <n v="105"/>
    <x v="1"/>
    <n v="185"/>
    <n v="105"/>
    <n v="80"/>
    <n v="0.43243243243243246"/>
  </r>
  <r>
    <x v="532"/>
    <d v="2025-08-28T00:00:00"/>
    <s v="CUST-0195"/>
    <s v="PROD-013"/>
    <x v="4"/>
    <x v="1"/>
    <n v="5"/>
    <n v="0"/>
    <x v="1"/>
    <n v="4"/>
    <n v="4"/>
    <x v="4"/>
    <x v="2"/>
    <n v="32"/>
    <n v="13"/>
    <x v="1"/>
    <n v="160"/>
    <n v="65"/>
    <n v="95"/>
    <n v="0.59375"/>
  </r>
  <r>
    <x v="533"/>
    <d v="2025-04-10T00:00:00"/>
    <s v="CUST-0273"/>
    <s v="PROD-012"/>
    <x v="0"/>
    <x v="1"/>
    <n v="6"/>
    <n v="0.15"/>
    <x v="0"/>
    <n v="4"/>
    <n v="1"/>
    <x v="11"/>
    <x v="2"/>
    <n v="68"/>
    <n v="31"/>
    <x v="0"/>
    <n v="346.8"/>
    <n v="186"/>
    <n v="160.80000000000001"/>
    <n v="0.46366782006920415"/>
  </r>
  <r>
    <x v="534"/>
    <d v="2025-09-19T00:00:00"/>
    <s v="CUST-0300"/>
    <s v="PROD-013"/>
    <x v="4"/>
    <x v="0"/>
    <n v="1"/>
    <n v="0.1"/>
    <x v="0"/>
    <n v="4"/>
    <n v="2"/>
    <x v="4"/>
    <x v="2"/>
    <n v="32"/>
    <n v="13"/>
    <x v="2"/>
    <n v="28.8"/>
    <n v="13"/>
    <n v="15.8"/>
    <n v="0.54861111111111116"/>
  </r>
  <r>
    <x v="535"/>
    <d v="2025-11-17T00:00:00"/>
    <s v="CUST-0281"/>
    <s v="PROD-001"/>
    <x v="1"/>
    <x v="2"/>
    <n v="1"/>
    <n v="0"/>
    <x v="0"/>
    <n v="4"/>
    <n v="2"/>
    <x v="2"/>
    <x v="0"/>
    <n v="1100"/>
    <n v="720"/>
    <x v="0"/>
    <n v="1100"/>
    <n v="720"/>
    <n v="380"/>
    <n v="0.34545454545454546"/>
  </r>
  <r>
    <x v="536"/>
    <d v="2025-10-18T00:00:00"/>
    <s v="CUST-0129"/>
    <s v="PROD-007"/>
    <x v="2"/>
    <x v="0"/>
    <n v="1"/>
    <n v="0.05"/>
    <x v="0"/>
    <n v="3"/>
    <n v="5"/>
    <x v="6"/>
    <x v="1"/>
    <n v="540"/>
    <n v="320"/>
    <x v="2"/>
    <n v="513"/>
    <n v="320"/>
    <n v="193"/>
    <n v="0.37621832358674462"/>
  </r>
  <r>
    <x v="537"/>
    <d v="2025-05-05T00:00:00"/>
    <s v="CUST-0062"/>
    <s v="PROD-003"/>
    <x v="0"/>
    <x v="1"/>
    <n v="3"/>
    <n v="0.15"/>
    <x v="0"/>
    <n v="5"/>
    <n v="1"/>
    <x v="10"/>
    <x v="0"/>
    <n v="75"/>
    <n v="38"/>
    <x v="0"/>
    <n v="191.25"/>
    <n v="114"/>
    <n v="77.25"/>
    <n v="0.40392156862745099"/>
  </r>
  <r>
    <x v="538"/>
    <d v="2025-07-08T00:00:00"/>
    <s v="CUST-0130"/>
    <s v="PROD-010"/>
    <x v="4"/>
    <x v="2"/>
    <n v="3"/>
    <n v="0.15"/>
    <x v="0"/>
    <n v="4"/>
    <n v="3"/>
    <x v="13"/>
    <x v="2"/>
    <n v="48"/>
    <n v="22"/>
    <x v="2"/>
    <n v="122.39999999999999"/>
    <n v="66"/>
    <n v="56.399999999999991"/>
    <n v="0.46078431372549017"/>
  </r>
  <r>
    <x v="539"/>
    <d v="2025-09-21T00:00:00"/>
    <s v="CUST-0083"/>
    <s v="PROD-003"/>
    <x v="3"/>
    <x v="1"/>
    <n v="2"/>
    <n v="0.2"/>
    <x v="0"/>
    <n v="5"/>
    <n v="2"/>
    <x v="10"/>
    <x v="0"/>
    <n v="75"/>
    <n v="38"/>
    <x v="0"/>
    <n v="120"/>
    <n v="76"/>
    <n v="44"/>
    <n v="0.36666666666666664"/>
  </r>
  <r>
    <x v="540"/>
    <d v="2026-03-28T00:00:00"/>
    <s v="CUST-0036"/>
    <s v="PROD-016"/>
    <x v="0"/>
    <x v="1"/>
    <n v="2"/>
    <n v="0.05"/>
    <x v="0"/>
    <n v="4"/>
    <n v="4"/>
    <x v="9"/>
    <x v="3"/>
    <n v="28"/>
    <n v="12"/>
    <x v="0"/>
    <n v="53.199999999999996"/>
    <n v="24"/>
    <n v="29.199999999999996"/>
    <n v="0.54887218045112773"/>
  </r>
  <r>
    <x v="541"/>
    <d v="2025-08-12T00:00:00"/>
    <s v="CUST-0055"/>
    <s v="PROD-015"/>
    <x v="1"/>
    <x v="1"/>
    <n v="1"/>
    <n v="0.05"/>
    <x v="0"/>
    <n v="4"/>
    <n v="4"/>
    <x v="12"/>
    <x v="3"/>
    <n v="23"/>
    <n v="10"/>
    <x v="0"/>
    <n v="21.849999999999998"/>
    <n v="10"/>
    <n v="11.849999999999998"/>
    <n v="0.54233409610983974"/>
  </r>
  <r>
    <x v="542"/>
    <d v="2025-06-02T00:00:00"/>
    <s v="CUST-0001"/>
    <s v="PROD-002"/>
    <x v="1"/>
    <x v="1"/>
    <n v="3"/>
    <n v="0.15"/>
    <x v="0"/>
    <n v="4"/>
    <n v="4"/>
    <x v="0"/>
    <x v="0"/>
    <n v="310"/>
    <n v="190"/>
    <x v="0"/>
    <n v="790.5"/>
    <n v="570"/>
    <n v="220.5"/>
    <n v="0.27893738140417457"/>
  </r>
  <r>
    <x v="543"/>
    <d v="2026-05-05T00:00:00"/>
    <s v="CUST-0224"/>
    <s v="PROD-013"/>
    <x v="0"/>
    <x v="0"/>
    <n v="4"/>
    <n v="0.05"/>
    <x v="0"/>
    <n v="5"/>
    <n v="4"/>
    <x v="4"/>
    <x v="2"/>
    <n v="32"/>
    <n v="13"/>
    <x v="0"/>
    <n v="121.6"/>
    <n v="52"/>
    <n v="69.599999999999994"/>
    <n v="0.57236842105263153"/>
  </r>
  <r>
    <x v="544"/>
    <d v="2025-05-05T00:00:00"/>
    <s v="CUST-0291"/>
    <s v="PROD-012"/>
    <x v="3"/>
    <x v="1"/>
    <n v="1"/>
    <n v="0.2"/>
    <x v="0"/>
    <n v="4"/>
    <n v="3"/>
    <x v="11"/>
    <x v="2"/>
    <n v="68"/>
    <n v="31"/>
    <x v="1"/>
    <n v="54.400000000000006"/>
    <n v="31"/>
    <n v="23.400000000000006"/>
    <n v="0.43014705882352949"/>
  </r>
  <r>
    <x v="545"/>
    <d v="2025-03-24T00:00:00"/>
    <s v="CUST-0236"/>
    <s v="PROD-010"/>
    <x v="1"/>
    <x v="1"/>
    <n v="1"/>
    <n v="0"/>
    <x v="0"/>
    <n v="5"/>
    <n v="1"/>
    <x v="13"/>
    <x v="2"/>
    <n v="48"/>
    <n v="22"/>
    <x v="1"/>
    <n v="48"/>
    <n v="22"/>
    <n v="26"/>
    <n v="0.54166666666666663"/>
  </r>
  <r>
    <x v="546"/>
    <d v="2026-01-03T00:00:00"/>
    <s v="CUST-0250"/>
    <s v="PROD-003"/>
    <x v="0"/>
    <x v="1"/>
    <n v="1"/>
    <n v="0"/>
    <x v="0"/>
    <n v="5"/>
    <n v="2"/>
    <x v="10"/>
    <x v="0"/>
    <n v="75"/>
    <n v="38"/>
    <x v="1"/>
    <n v="75"/>
    <n v="38"/>
    <n v="37"/>
    <n v="0.49333333333333335"/>
  </r>
  <r>
    <x v="547"/>
    <d v="2026-05-16T00:00:00"/>
    <s v="CUST-0200"/>
    <s v="PROD-003"/>
    <x v="0"/>
    <x v="0"/>
    <n v="2"/>
    <n v="0.2"/>
    <x v="0"/>
    <n v="5"/>
    <n v="1"/>
    <x v="10"/>
    <x v="0"/>
    <n v="75"/>
    <n v="38"/>
    <x v="2"/>
    <n v="120"/>
    <n v="76"/>
    <n v="44"/>
    <n v="0.36666666666666664"/>
  </r>
  <r>
    <x v="548"/>
    <d v="2025-02-07T00:00:00"/>
    <s v="CUST-0174"/>
    <s v="PROD-002"/>
    <x v="3"/>
    <x v="0"/>
    <n v="2"/>
    <n v="0"/>
    <x v="0"/>
    <n v="4"/>
    <n v="5"/>
    <x v="0"/>
    <x v="0"/>
    <n v="310"/>
    <n v="190"/>
    <x v="0"/>
    <n v="620"/>
    <n v="380"/>
    <n v="240"/>
    <n v="0.38709677419354838"/>
  </r>
  <r>
    <x v="549"/>
    <d v="2025-06-02T00:00:00"/>
    <s v="CUST-0297"/>
    <s v="PROD-008"/>
    <x v="0"/>
    <x v="1"/>
    <n v="1"/>
    <n v="0.05"/>
    <x v="0"/>
    <n v="5"/>
    <n v="1"/>
    <x v="1"/>
    <x v="1"/>
    <n v="255"/>
    <n v="145"/>
    <x v="1"/>
    <n v="242.25"/>
    <n v="145"/>
    <n v="97.25"/>
    <n v="0.40144478844169246"/>
  </r>
  <r>
    <x v="550"/>
    <d v="2025-09-06T00:00:00"/>
    <s v="CUST-0067"/>
    <s v="PROD-001"/>
    <x v="2"/>
    <x v="1"/>
    <n v="1"/>
    <n v="0.1"/>
    <x v="0"/>
    <n v="3"/>
    <n v="5"/>
    <x v="2"/>
    <x v="0"/>
    <n v="1100"/>
    <n v="720"/>
    <x v="1"/>
    <n v="990"/>
    <n v="720"/>
    <n v="270"/>
    <n v="0.27272727272727271"/>
  </r>
  <r>
    <x v="551"/>
    <d v="2025-03-07T00:00:00"/>
    <s v="CUST-0055"/>
    <s v="PROD-004"/>
    <x v="4"/>
    <x v="0"/>
    <n v="1"/>
    <n v="0.1"/>
    <x v="0"/>
    <n v="5"/>
    <n v="4"/>
    <x v="3"/>
    <x v="0"/>
    <n v="42"/>
    <n v="19"/>
    <x v="0"/>
    <n v="37.800000000000004"/>
    <n v="19"/>
    <n v="18.800000000000004"/>
    <n v="0.49735449735449744"/>
  </r>
  <r>
    <x v="552"/>
    <d v="2025-11-29T00:00:00"/>
    <s v="CUST-0062"/>
    <s v="PROD-005"/>
    <x v="3"/>
    <x v="2"/>
    <n v="1"/>
    <n v="0"/>
    <x v="0"/>
    <n v="2"/>
    <n v="5"/>
    <x v="15"/>
    <x v="0"/>
    <n v="115"/>
    <n v="58"/>
    <x v="0"/>
    <n v="115"/>
    <n v="58"/>
    <n v="57"/>
    <n v="0.4956521739130435"/>
  </r>
  <r>
    <x v="553"/>
    <d v="2026-03-02T00:00:00"/>
    <s v="CUST-0087"/>
    <s v="PROD-012"/>
    <x v="4"/>
    <x v="1"/>
    <n v="6"/>
    <n v="0"/>
    <x v="0"/>
    <n v="5"/>
    <n v="5"/>
    <x v="11"/>
    <x v="2"/>
    <n v="68"/>
    <n v="31"/>
    <x v="2"/>
    <n v="408"/>
    <n v="186"/>
    <n v="222"/>
    <n v="0.54411764705882348"/>
  </r>
  <r>
    <x v="554"/>
    <d v="2026-01-21T00:00:00"/>
    <s v="CUST-0081"/>
    <s v="PROD-001"/>
    <x v="0"/>
    <x v="1"/>
    <n v="1"/>
    <n v="0.15"/>
    <x v="0"/>
    <n v="4"/>
    <n v="3"/>
    <x v="2"/>
    <x v="0"/>
    <n v="1100"/>
    <n v="720"/>
    <x v="0"/>
    <n v="935"/>
    <n v="720"/>
    <n v="215"/>
    <n v="0.22994652406417113"/>
  </r>
  <r>
    <x v="555"/>
    <d v="2026-03-03T00:00:00"/>
    <s v="CUST-0244"/>
    <s v="PROD-005"/>
    <x v="2"/>
    <x v="0"/>
    <n v="2"/>
    <n v="0"/>
    <x v="1"/>
    <n v="5"/>
    <n v="3"/>
    <x v="15"/>
    <x v="0"/>
    <n v="115"/>
    <n v="58"/>
    <x v="2"/>
    <n v="230"/>
    <n v="116"/>
    <n v="114"/>
    <n v="0.4956521739130435"/>
  </r>
  <r>
    <x v="556"/>
    <d v="2026-05-27T00:00:00"/>
    <s v="CUST-0046"/>
    <s v="PROD-010"/>
    <x v="3"/>
    <x v="1"/>
    <n v="1"/>
    <n v="0"/>
    <x v="0"/>
    <n v="2"/>
    <n v="5"/>
    <x v="13"/>
    <x v="2"/>
    <n v="48"/>
    <n v="22"/>
    <x v="1"/>
    <n v="48"/>
    <n v="22"/>
    <n v="26"/>
    <n v="0.54166666666666663"/>
  </r>
  <r>
    <x v="557"/>
    <d v="2026-04-21T00:00:00"/>
    <s v="CUST-0107"/>
    <s v="PROD-009"/>
    <x v="2"/>
    <x v="1"/>
    <n v="1"/>
    <n v="0.15"/>
    <x v="1"/>
    <n v="4"/>
    <n v="3"/>
    <x v="14"/>
    <x v="1"/>
    <n v="185"/>
    <n v="105"/>
    <x v="1"/>
    <n v="157.25"/>
    <n v="105"/>
    <n v="52.25"/>
    <n v="0.33227344992050872"/>
  </r>
  <r>
    <x v="558"/>
    <d v="2025-02-25T00:00:00"/>
    <s v="CUST-0187"/>
    <s v="PROD-010"/>
    <x v="2"/>
    <x v="1"/>
    <n v="3"/>
    <n v="0.15"/>
    <x v="0"/>
    <n v="2"/>
    <n v="3"/>
    <x v="13"/>
    <x v="2"/>
    <n v="48"/>
    <n v="22"/>
    <x v="2"/>
    <n v="122.39999999999999"/>
    <n v="66"/>
    <n v="56.399999999999991"/>
    <n v="0.46078431372549017"/>
  </r>
  <r>
    <x v="559"/>
    <d v="2025-06-11T00:00:00"/>
    <s v="CUST-0015"/>
    <s v="PROD-016"/>
    <x v="4"/>
    <x v="1"/>
    <n v="1"/>
    <n v="0"/>
    <x v="0"/>
    <n v="4"/>
    <n v="3"/>
    <x v="9"/>
    <x v="3"/>
    <n v="28"/>
    <n v="12"/>
    <x v="0"/>
    <n v="28"/>
    <n v="12"/>
    <n v="16"/>
    <n v="0.5714285714285714"/>
  </r>
  <r>
    <x v="560"/>
    <d v="2025-08-24T00:00:00"/>
    <s v="CUST-0057"/>
    <s v="PROD-011"/>
    <x v="3"/>
    <x v="1"/>
    <n v="2"/>
    <n v="0"/>
    <x v="0"/>
    <n v="2"/>
    <n v="9"/>
    <x v="8"/>
    <x v="2"/>
    <n v="85"/>
    <n v="39"/>
    <x v="1"/>
    <n v="170"/>
    <n v="78"/>
    <n v="92"/>
    <n v="0.54117647058823526"/>
  </r>
  <r>
    <x v="561"/>
    <d v="2025-02-25T00:00:00"/>
    <s v="CUST-0224"/>
    <s v="PROD-005"/>
    <x v="2"/>
    <x v="0"/>
    <n v="1"/>
    <n v="0"/>
    <x v="0"/>
    <n v="3"/>
    <n v="3"/>
    <x v="15"/>
    <x v="0"/>
    <n v="115"/>
    <n v="58"/>
    <x v="0"/>
    <n v="115"/>
    <n v="58"/>
    <n v="57"/>
    <n v="0.4956521739130435"/>
  </r>
  <r>
    <x v="562"/>
    <d v="2025-10-04T00:00:00"/>
    <s v="CUST-0104"/>
    <s v="PROD-011"/>
    <x v="2"/>
    <x v="0"/>
    <n v="1"/>
    <n v="0"/>
    <x v="0"/>
    <n v="4"/>
    <n v="2"/>
    <x v="8"/>
    <x v="2"/>
    <n v="85"/>
    <n v="39"/>
    <x v="0"/>
    <n v="85"/>
    <n v="39"/>
    <n v="46"/>
    <n v="0.54117647058823526"/>
  </r>
  <r>
    <x v="563"/>
    <d v="2025-12-18T00:00:00"/>
    <s v="CUST-0113"/>
    <s v="PROD-010"/>
    <x v="1"/>
    <x v="0"/>
    <n v="3"/>
    <n v="0.05"/>
    <x v="0"/>
    <n v="5"/>
    <n v="2"/>
    <x v="13"/>
    <x v="2"/>
    <n v="48"/>
    <n v="22"/>
    <x v="0"/>
    <n v="136.79999999999998"/>
    <n v="66"/>
    <n v="70.799999999999983"/>
    <n v="0.51754385964912275"/>
  </r>
  <r>
    <x v="564"/>
    <d v="2025-03-30T00:00:00"/>
    <s v="CUST-0211"/>
    <s v="PROD-016"/>
    <x v="0"/>
    <x v="1"/>
    <n v="2"/>
    <n v="0.05"/>
    <x v="0"/>
    <n v="4"/>
    <n v="2"/>
    <x v="9"/>
    <x v="3"/>
    <n v="28"/>
    <n v="12"/>
    <x v="1"/>
    <n v="53.199999999999996"/>
    <n v="24"/>
    <n v="29.199999999999996"/>
    <n v="0.54887218045112773"/>
  </r>
  <r>
    <x v="565"/>
    <d v="2025-09-11T00:00:00"/>
    <s v="CUST-0168"/>
    <s v="PROD-014"/>
    <x v="4"/>
    <x v="2"/>
    <n v="3"/>
    <n v="0"/>
    <x v="0"/>
    <n v="1"/>
    <n v="2"/>
    <x v="5"/>
    <x v="3"/>
    <n v="17"/>
    <n v="8"/>
    <x v="0"/>
    <n v="51"/>
    <n v="24"/>
    <n v="27"/>
    <n v="0.52941176470588236"/>
  </r>
  <r>
    <x v="566"/>
    <d v="2026-04-27T00:00:00"/>
    <s v="CUST-0259"/>
    <s v="PROD-002"/>
    <x v="4"/>
    <x v="1"/>
    <n v="4"/>
    <n v="0.1"/>
    <x v="0"/>
    <n v="4"/>
    <n v="1"/>
    <x v="0"/>
    <x v="0"/>
    <n v="310"/>
    <n v="190"/>
    <x v="1"/>
    <n v="1116"/>
    <n v="760"/>
    <n v="356"/>
    <n v="0.31899641577060933"/>
  </r>
  <r>
    <x v="567"/>
    <d v="2026-07-26T00:00:00"/>
    <s v="CUST-0007"/>
    <s v="PROD-014"/>
    <x v="0"/>
    <x v="1"/>
    <n v="1"/>
    <n v="0.05"/>
    <x v="0"/>
    <n v="4"/>
    <n v="3"/>
    <x v="5"/>
    <x v="3"/>
    <n v="17"/>
    <n v="8"/>
    <x v="2"/>
    <n v="16.149999999999999"/>
    <n v="8"/>
    <n v="8.1499999999999986"/>
    <n v="0.50464396284829716"/>
  </r>
  <r>
    <x v="568"/>
    <d v="2025-06-15T00:00:00"/>
    <s v="CUST-0236"/>
    <s v="PROD-001"/>
    <x v="0"/>
    <x v="1"/>
    <n v="1"/>
    <n v="0.1"/>
    <x v="0"/>
    <n v="5"/>
    <n v="4"/>
    <x v="2"/>
    <x v="0"/>
    <n v="1100"/>
    <n v="720"/>
    <x v="1"/>
    <n v="990"/>
    <n v="720"/>
    <n v="270"/>
    <n v="0.27272727272727271"/>
  </r>
  <r>
    <x v="569"/>
    <d v="2025-01-02T00:00:00"/>
    <s v="CUST-0037"/>
    <s v="PROD-013"/>
    <x v="0"/>
    <x v="1"/>
    <n v="1"/>
    <n v="0"/>
    <x v="0"/>
    <n v="5"/>
    <n v="5"/>
    <x v="4"/>
    <x v="2"/>
    <n v="32"/>
    <n v="13"/>
    <x v="2"/>
    <n v="32"/>
    <n v="13"/>
    <n v="19"/>
    <n v="0.59375"/>
  </r>
  <r>
    <x v="570"/>
    <d v="2026-08-13T00:00:00"/>
    <s v="CUST-0107"/>
    <s v="PROD-003"/>
    <x v="1"/>
    <x v="1"/>
    <n v="6"/>
    <n v="0.05"/>
    <x v="1"/>
    <n v="4"/>
    <n v="2"/>
    <x v="10"/>
    <x v="0"/>
    <n v="75"/>
    <n v="38"/>
    <x v="1"/>
    <n v="427.5"/>
    <n v="228"/>
    <n v="199.5"/>
    <n v="0.46666666666666667"/>
  </r>
  <r>
    <x v="571"/>
    <d v="2026-01-28T00:00:00"/>
    <s v="CUST-0188"/>
    <s v="PROD-015"/>
    <x v="1"/>
    <x v="1"/>
    <n v="1"/>
    <n v="0.05"/>
    <x v="0"/>
    <n v="5"/>
    <n v="2"/>
    <x v="12"/>
    <x v="3"/>
    <n v="23"/>
    <n v="10"/>
    <x v="1"/>
    <n v="21.849999999999998"/>
    <n v="10"/>
    <n v="11.849999999999998"/>
    <n v="0.54233409610983974"/>
  </r>
  <r>
    <x v="572"/>
    <d v="2025-05-22T00:00:00"/>
    <s v="CUST-0172"/>
    <s v="PROD-008"/>
    <x v="4"/>
    <x v="0"/>
    <n v="4"/>
    <n v="0.1"/>
    <x v="0"/>
    <n v="5"/>
    <n v="2"/>
    <x v="1"/>
    <x v="1"/>
    <n v="255"/>
    <n v="145"/>
    <x v="0"/>
    <n v="918"/>
    <n v="580"/>
    <n v="338"/>
    <n v="0.36819172113289761"/>
  </r>
  <r>
    <x v="573"/>
    <d v="2025-11-25T00:00:00"/>
    <s v="CUST-0181"/>
    <s v="PROD-009"/>
    <x v="4"/>
    <x v="1"/>
    <n v="1"/>
    <n v="0"/>
    <x v="0"/>
    <n v="4"/>
    <n v="1"/>
    <x v="14"/>
    <x v="1"/>
    <n v="185"/>
    <n v="105"/>
    <x v="0"/>
    <n v="185"/>
    <n v="105"/>
    <n v="80"/>
    <n v="0.43243243243243246"/>
  </r>
  <r>
    <x v="574"/>
    <d v="2026-04-27T00:00:00"/>
    <s v="CUST-0273"/>
    <s v="PROD-010"/>
    <x v="4"/>
    <x v="1"/>
    <n v="3"/>
    <n v="0.1"/>
    <x v="1"/>
    <n v="5"/>
    <n v="6"/>
    <x v="13"/>
    <x v="2"/>
    <n v="48"/>
    <n v="22"/>
    <x v="0"/>
    <n v="129.6"/>
    <n v="66"/>
    <n v="63.599999999999994"/>
    <n v="0.4907407407407407"/>
  </r>
  <r>
    <x v="575"/>
    <d v="2025-03-31T00:00:00"/>
    <s v="CUST-0042"/>
    <s v="PROD-013"/>
    <x v="0"/>
    <x v="1"/>
    <n v="7"/>
    <n v="0"/>
    <x v="0"/>
    <n v="5"/>
    <n v="4"/>
    <x v="4"/>
    <x v="2"/>
    <n v="32"/>
    <n v="13"/>
    <x v="1"/>
    <n v="224"/>
    <n v="91"/>
    <n v="133"/>
    <n v="0.59375"/>
  </r>
  <r>
    <x v="576"/>
    <d v="2025-06-04T00:00:00"/>
    <s v="CUST-0105"/>
    <s v="PROD-001"/>
    <x v="3"/>
    <x v="2"/>
    <n v="2"/>
    <n v="0"/>
    <x v="0"/>
    <n v="4"/>
    <n v="1"/>
    <x v="2"/>
    <x v="0"/>
    <n v="1100"/>
    <n v="720"/>
    <x v="1"/>
    <n v="2200"/>
    <n v="1440"/>
    <n v="760"/>
    <n v="0.34545454545454546"/>
  </r>
  <r>
    <x v="577"/>
    <d v="2025-10-26T00:00:00"/>
    <s v="CUST-0097"/>
    <s v="PROD-003"/>
    <x v="2"/>
    <x v="0"/>
    <n v="5"/>
    <n v="0.05"/>
    <x v="0"/>
    <n v="4"/>
    <n v="3"/>
    <x v="10"/>
    <x v="0"/>
    <n v="75"/>
    <n v="38"/>
    <x v="2"/>
    <n v="356.25"/>
    <n v="190"/>
    <n v="166.25"/>
    <n v="0.46666666666666667"/>
  </r>
  <r>
    <x v="578"/>
    <d v="2026-05-13T00:00:00"/>
    <s v="CUST-0272"/>
    <s v="PROD-015"/>
    <x v="4"/>
    <x v="0"/>
    <n v="6"/>
    <n v="0"/>
    <x v="0"/>
    <n v="3"/>
    <n v="3"/>
    <x v="12"/>
    <x v="3"/>
    <n v="23"/>
    <n v="10"/>
    <x v="1"/>
    <n v="138"/>
    <n v="60"/>
    <n v="78"/>
    <n v="0.56521739130434778"/>
  </r>
  <r>
    <x v="579"/>
    <d v="2025-10-23T00:00:00"/>
    <s v="CUST-0025"/>
    <s v="PROD-005"/>
    <x v="3"/>
    <x v="1"/>
    <n v="1"/>
    <n v="0.15"/>
    <x v="0"/>
    <n v="4"/>
    <n v="2"/>
    <x v="15"/>
    <x v="0"/>
    <n v="115"/>
    <n v="58"/>
    <x v="2"/>
    <n v="97.75"/>
    <n v="58"/>
    <n v="39.75"/>
    <n v="0.40664961636828645"/>
  </r>
  <r>
    <x v="580"/>
    <d v="2025-06-07T00:00:00"/>
    <s v="CUST-0083"/>
    <s v="PROD-008"/>
    <x v="2"/>
    <x v="2"/>
    <n v="3"/>
    <n v="0"/>
    <x v="0"/>
    <n v="3"/>
    <n v="1"/>
    <x v="1"/>
    <x v="1"/>
    <n v="255"/>
    <n v="145"/>
    <x v="0"/>
    <n v="765"/>
    <n v="435"/>
    <n v="330"/>
    <n v="0.43137254901960786"/>
  </r>
  <r>
    <x v="581"/>
    <d v="2025-11-21T00:00:00"/>
    <s v="CUST-0177"/>
    <s v="PROD-005"/>
    <x v="3"/>
    <x v="0"/>
    <n v="1"/>
    <n v="0"/>
    <x v="1"/>
    <n v="4"/>
    <n v="6"/>
    <x v="15"/>
    <x v="0"/>
    <n v="115"/>
    <n v="58"/>
    <x v="1"/>
    <n v="115"/>
    <n v="58"/>
    <n v="57"/>
    <n v="0.4956521739130435"/>
  </r>
  <r>
    <x v="582"/>
    <d v="2026-04-15T00:00:00"/>
    <s v="CUST-0164"/>
    <s v="PROD-005"/>
    <x v="2"/>
    <x v="0"/>
    <n v="8"/>
    <n v="0"/>
    <x v="0"/>
    <n v="4"/>
    <n v="3"/>
    <x v="15"/>
    <x v="0"/>
    <n v="115"/>
    <n v="58"/>
    <x v="2"/>
    <n v="920"/>
    <n v="464"/>
    <n v="456"/>
    <n v="0.4956521739130435"/>
  </r>
  <r>
    <x v="583"/>
    <d v="2026-08-11T00:00:00"/>
    <s v="CUST-0076"/>
    <s v="PROD-015"/>
    <x v="3"/>
    <x v="1"/>
    <n v="2"/>
    <n v="0"/>
    <x v="0"/>
    <n v="3"/>
    <n v="1"/>
    <x v="12"/>
    <x v="3"/>
    <n v="23"/>
    <n v="10"/>
    <x v="1"/>
    <n v="46"/>
    <n v="20"/>
    <n v="26"/>
    <n v="0.56521739130434778"/>
  </r>
  <r>
    <x v="584"/>
    <d v="2026-02-16T00:00:00"/>
    <s v="CUST-0113"/>
    <s v="PROD-015"/>
    <x v="3"/>
    <x v="1"/>
    <n v="3"/>
    <n v="0"/>
    <x v="0"/>
    <n v="5"/>
    <n v="3"/>
    <x v="12"/>
    <x v="3"/>
    <n v="23"/>
    <n v="10"/>
    <x v="0"/>
    <n v="69"/>
    <n v="30"/>
    <n v="39"/>
    <n v="0.56521739130434778"/>
  </r>
  <r>
    <x v="585"/>
    <d v="2025-07-20T00:00:00"/>
    <s v="CUST-0012"/>
    <s v="PROD-003"/>
    <x v="4"/>
    <x v="1"/>
    <n v="3"/>
    <n v="0"/>
    <x v="0"/>
    <n v="3"/>
    <n v="3"/>
    <x v="10"/>
    <x v="0"/>
    <n v="75"/>
    <n v="38"/>
    <x v="0"/>
    <n v="225"/>
    <n v="114"/>
    <n v="111"/>
    <n v="0.49333333333333335"/>
  </r>
  <r>
    <x v="586"/>
    <d v="2026-06-08T00:00:00"/>
    <s v="CUST-0029"/>
    <s v="PROD-012"/>
    <x v="3"/>
    <x v="0"/>
    <n v="2"/>
    <n v="0"/>
    <x v="0"/>
    <n v="4"/>
    <n v="3"/>
    <x v="11"/>
    <x v="2"/>
    <n v="68"/>
    <n v="31"/>
    <x v="2"/>
    <n v="136"/>
    <n v="62"/>
    <n v="74"/>
    <n v="0.54411764705882348"/>
  </r>
  <r>
    <x v="587"/>
    <d v="2026-04-02T00:00:00"/>
    <s v="CUST-0288"/>
    <s v="PROD-003"/>
    <x v="2"/>
    <x v="2"/>
    <n v="4"/>
    <n v="0"/>
    <x v="0"/>
    <n v="3"/>
    <n v="4"/>
    <x v="10"/>
    <x v="0"/>
    <n v="75"/>
    <n v="38"/>
    <x v="1"/>
    <n v="300"/>
    <n v="152"/>
    <n v="148"/>
    <n v="0.49333333333333335"/>
  </r>
  <r>
    <x v="588"/>
    <d v="2026-03-01T00:00:00"/>
    <s v="CUST-0072"/>
    <s v="PROD-003"/>
    <x v="2"/>
    <x v="1"/>
    <n v="8"/>
    <n v="0.05"/>
    <x v="0"/>
    <n v="5"/>
    <n v="5"/>
    <x v="10"/>
    <x v="0"/>
    <n v="75"/>
    <n v="38"/>
    <x v="2"/>
    <n v="570"/>
    <n v="304"/>
    <n v="266"/>
    <n v="0.46666666666666667"/>
  </r>
  <r>
    <x v="589"/>
    <d v="2026-01-20T00:00:00"/>
    <s v="CUST-0046"/>
    <s v="PROD-001"/>
    <x v="3"/>
    <x v="2"/>
    <n v="2"/>
    <n v="0.05"/>
    <x v="0"/>
    <n v="5"/>
    <n v="2"/>
    <x v="2"/>
    <x v="0"/>
    <n v="1100"/>
    <n v="720"/>
    <x v="1"/>
    <n v="2090"/>
    <n v="1440"/>
    <n v="650"/>
    <n v="0.31100478468899523"/>
  </r>
  <r>
    <x v="590"/>
    <d v="2025-07-24T00:00:00"/>
    <s v="CUST-0096"/>
    <s v="PROD-013"/>
    <x v="3"/>
    <x v="0"/>
    <n v="5"/>
    <n v="0"/>
    <x v="0"/>
    <n v="4"/>
    <n v="4"/>
    <x v="4"/>
    <x v="2"/>
    <n v="32"/>
    <n v="13"/>
    <x v="1"/>
    <n v="160"/>
    <n v="65"/>
    <n v="95"/>
    <n v="0.59375"/>
  </r>
  <r>
    <x v="591"/>
    <d v="2025-08-18T00:00:00"/>
    <s v="CUST-0014"/>
    <s v="PROD-001"/>
    <x v="2"/>
    <x v="1"/>
    <n v="3"/>
    <n v="0.05"/>
    <x v="0"/>
    <n v="5"/>
    <n v="3"/>
    <x v="2"/>
    <x v="0"/>
    <n v="1100"/>
    <n v="720"/>
    <x v="1"/>
    <n v="3135"/>
    <n v="2160"/>
    <n v="975"/>
    <n v="0.31100478468899523"/>
  </r>
  <r>
    <x v="592"/>
    <d v="2026-03-04T00:00:00"/>
    <s v="CUST-0092"/>
    <s v="PROD-016"/>
    <x v="0"/>
    <x v="0"/>
    <n v="1"/>
    <n v="0.1"/>
    <x v="0"/>
    <n v="5"/>
    <n v="5"/>
    <x v="9"/>
    <x v="3"/>
    <n v="28"/>
    <n v="12"/>
    <x v="0"/>
    <n v="25.2"/>
    <n v="12"/>
    <n v="13.2"/>
    <n v="0.52380952380952384"/>
  </r>
  <r>
    <x v="593"/>
    <d v="2026-01-06T00:00:00"/>
    <s v="CUST-0298"/>
    <s v="PROD-016"/>
    <x v="4"/>
    <x v="2"/>
    <n v="3"/>
    <n v="0.05"/>
    <x v="0"/>
    <n v="3"/>
    <n v="5"/>
    <x v="9"/>
    <x v="3"/>
    <n v="28"/>
    <n v="12"/>
    <x v="1"/>
    <n v="79.8"/>
    <n v="36"/>
    <n v="43.8"/>
    <n v="0.54887218045112784"/>
  </r>
  <r>
    <x v="594"/>
    <d v="2026-08-13T00:00:00"/>
    <s v="CUST-0009"/>
    <s v="PROD-009"/>
    <x v="2"/>
    <x v="1"/>
    <n v="1"/>
    <n v="0.15"/>
    <x v="0"/>
    <n v="3"/>
    <n v="3"/>
    <x v="14"/>
    <x v="1"/>
    <n v="185"/>
    <n v="105"/>
    <x v="1"/>
    <n v="157.25"/>
    <n v="105"/>
    <n v="52.25"/>
    <n v="0.33227344992050872"/>
  </r>
  <r>
    <x v="595"/>
    <d v="2026-01-05T00:00:00"/>
    <s v="CUST-0215"/>
    <s v="PROD-012"/>
    <x v="2"/>
    <x v="1"/>
    <n v="3"/>
    <n v="0"/>
    <x v="0"/>
    <n v="5"/>
    <n v="1"/>
    <x v="11"/>
    <x v="2"/>
    <n v="68"/>
    <n v="31"/>
    <x v="2"/>
    <n v="204"/>
    <n v="93"/>
    <n v="111"/>
    <n v="0.54411764705882348"/>
  </r>
  <r>
    <x v="596"/>
    <d v="2025-06-21T00:00:00"/>
    <s v="CUST-0279"/>
    <s v="PROD-011"/>
    <x v="0"/>
    <x v="0"/>
    <n v="3"/>
    <n v="0"/>
    <x v="0"/>
    <n v="5"/>
    <n v="1"/>
    <x v="8"/>
    <x v="2"/>
    <n v="85"/>
    <n v="39"/>
    <x v="1"/>
    <n v="255"/>
    <n v="117"/>
    <n v="138"/>
    <n v="0.54117647058823526"/>
  </r>
  <r>
    <x v="597"/>
    <d v="2026-07-02T00:00:00"/>
    <s v="CUST-0297"/>
    <s v="PROD-012"/>
    <x v="0"/>
    <x v="1"/>
    <n v="2"/>
    <n v="0"/>
    <x v="0"/>
    <n v="4"/>
    <n v="2"/>
    <x v="11"/>
    <x v="2"/>
    <n v="68"/>
    <n v="31"/>
    <x v="1"/>
    <n v="136"/>
    <n v="62"/>
    <n v="74"/>
    <n v="0.54411764705882348"/>
  </r>
  <r>
    <x v="598"/>
    <d v="2025-04-15T00:00:00"/>
    <s v="CUST-0112"/>
    <s v="PROD-005"/>
    <x v="4"/>
    <x v="2"/>
    <n v="4"/>
    <n v="0.05"/>
    <x v="0"/>
    <n v="5"/>
    <n v="5"/>
    <x v="15"/>
    <x v="0"/>
    <n v="115"/>
    <n v="58"/>
    <x v="1"/>
    <n v="437"/>
    <n v="232"/>
    <n v="205"/>
    <n v="0.46910755148741418"/>
  </r>
  <r>
    <x v="599"/>
    <d v="2026-07-19T00:00:00"/>
    <s v="CUST-0059"/>
    <s v="PROD-014"/>
    <x v="4"/>
    <x v="1"/>
    <n v="4"/>
    <n v="0.15"/>
    <x v="0"/>
    <n v="4"/>
    <n v="3"/>
    <x v="5"/>
    <x v="3"/>
    <n v="17"/>
    <n v="8"/>
    <x v="1"/>
    <n v="57.8"/>
    <n v="32"/>
    <n v="25.799999999999997"/>
    <n v="0.44636678200692037"/>
  </r>
  <r>
    <x v="600"/>
    <d v="2025-05-23T00:00:00"/>
    <s v="CUST-0227"/>
    <s v="PROD-011"/>
    <x v="2"/>
    <x v="1"/>
    <n v="4"/>
    <n v="0"/>
    <x v="0"/>
    <n v="5"/>
    <n v="2"/>
    <x v="8"/>
    <x v="2"/>
    <n v="85"/>
    <n v="39"/>
    <x v="0"/>
    <n v="340"/>
    <n v="156"/>
    <n v="184"/>
    <n v="0.54117647058823526"/>
  </r>
  <r>
    <x v="601"/>
    <d v="2025-11-11T00:00:00"/>
    <s v="CUST-0065"/>
    <s v="PROD-007"/>
    <x v="2"/>
    <x v="1"/>
    <n v="3"/>
    <n v="0.1"/>
    <x v="0"/>
    <n v="5"/>
    <n v="4"/>
    <x v="6"/>
    <x v="1"/>
    <n v="540"/>
    <n v="320"/>
    <x v="2"/>
    <n v="1458"/>
    <n v="960"/>
    <n v="498"/>
    <n v="0.34156378600823045"/>
  </r>
  <r>
    <x v="602"/>
    <d v="2025-02-13T00:00:00"/>
    <s v="CUST-0101"/>
    <s v="PROD-004"/>
    <x v="2"/>
    <x v="0"/>
    <n v="3"/>
    <n v="0.05"/>
    <x v="0"/>
    <n v="2"/>
    <n v="4"/>
    <x v="3"/>
    <x v="0"/>
    <n v="42"/>
    <n v="19"/>
    <x v="1"/>
    <n v="119.69999999999999"/>
    <n v="57"/>
    <n v="62.699999999999989"/>
    <n v="0.52380952380952372"/>
  </r>
  <r>
    <x v="603"/>
    <d v="2025-04-09T00:00:00"/>
    <s v="CUST-0064"/>
    <s v="PROD-007"/>
    <x v="4"/>
    <x v="1"/>
    <n v="3"/>
    <n v="0"/>
    <x v="0"/>
    <n v="5"/>
    <n v="3"/>
    <x v="6"/>
    <x v="1"/>
    <n v="540"/>
    <n v="320"/>
    <x v="0"/>
    <n v="1620"/>
    <n v="960"/>
    <n v="660"/>
    <n v="0.40740740740740738"/>
  </r>
  <r>
    <x v="604"/>
    <d v="2026-08-17T00:00:00"/>
    <s v="CUST-0179"/>
    <s v="PROD-012"/>
    <x v="2"/>
    <x v="0"/>
    <n v="4"/>
    <n v="0"/>
    <x v="0"/>
    <n v="2"/>
    <n v="6"/>
    <x v="11"/>
    <x v="2"/>
    <n v="68"/>
    <n v="31"/>
    <x v="1"/>
    <n v="272"/>
    <n v="124"/>
    <n v="148"/>
    <n v="0.54411764705882348"/>
  </r>
  <r>
    <x v="605"/>
    <d v="2026-06-26T00:00:00"/>
    <s v="CUST-0112"/>
    <s v="PROD-007"/>
    <x v="0"/>
    <x v="1"/>
    <n v="4"/>
    <n v="0"/>
    <x v="0"/>
    <n v="5"/>
    <n v="5"/>
    <x v="6"/>
    <x v="1"/>
    <n v="540"/>
    <n v="320"/>
    <x v="1"/>
    <n v="2160"/>
    <n v="1280"/>
    <n v="880"/>
    <n v="0.40740740740740738"/>
  </r>
  <r>
    <x v="606"/>
    <d v="2026-05-02T00:00:00"/>
    <s v="CUST-0188"/>
    <s v="PROD-006"/>
    <x v="4"/>
    <x v="2"/>
    <n v="1"/>
    <n v="0"/>
    <x v="0"/>
    <n v="3"/>
    <n v="2"/>
    <x v="7"/>
    <x v="0"/>
    <n v="98"/>
    <n v="46"/>
    <x v="1"/>
    <n v="98"/>
    <n v="46"/>
    <n v="52"/>
    <n v="0.53061224489795922"/>
  </r>
  <r>
    <x v="607"/>
    <d v="2026-02-22T00:00:00"/>
    <s v="CUST-0058"/>
    <s v="PROD-011"/>
    <x v="2"/>
    <x v="1"/>
    <n v="1"/>
    <n v="0.1"/>
    <x v="0"/>
    <n v="4"/>
    <n v="1"/>
    <x v="8"/>
    <x v="2"/>
    <n v="85"/>
    <n v="39"/>
    <x v="0"/>
    <n v="76.5"/>
    <n v="39"/>
    <n v="37.5"/>
    <n v="0.49019607843137253"/>
  </r>
  <r>
    <x v="608"/>
    <d v="2025-03-26T00:00:00"/>
    <s v="CUST-0168"/>
    <s v="PROD-016"/>
    <x v="2"/>
    <x v="1"/>
    <n v="3"/>
    <n v="0"/>
    <x v="1"/>
    <n v="4"/>
    <n v="9"/>
    <x v="9"/>
    <x v="3"/>
    <n v="28"/>
    <n v="12"/>
    <x v="0"/>
    <n v="84"/>
    <n v="36"/>
    <n v="48"/>
    <n v="0.5714285714285714"/>
  </r>
  <r>
    <x v="609"/>
    <d v="2025-10-25T00:00:00"/>
    <s v="CUST-0220"/>
    <s v="PROD-007"/>
    <x v="0"/>
    <x v="2"/>
    <n v="4"/>
    <n v="0.15"/>
    <x v="0"/>
    <n v="1"/>
    <n v="5"/>
    <x v="6"/>
    <x v="1"/>
    <n v="540"/>
    <n v="320"/>
    <x v="1"/>
    <n v="1836"/>
    <n v="1280"/>
    <n v="556"/>
    <n v="0.30283224400871461"/>
  </r>
  <r>
    <x v="610"/>
    <d v="2026-02-10T00:00:00"/>
    <s v="CUST-0225"/>
    <s v="PROD-003"/>
    <x v="2"/>
    <x v="1"/>
    <n v="3"/>
    <n v="0.2"/>
    <x v="0"/>
    <n v="5"/>
    <n v="2"/>
    <x v="10"/>
    <x v="0"/>
    <n v="75"/>
    <n v="38"/>
    <x v="1"/>
    <n v="180"/>
    <n v="114"/>
    <n v="66"/>
    <n v="0.36666666666666664"/>
  </r>
  <r>
    <x v="611"/>
    <d v="2025-03-08T00:00:00"/>
    <s v="CUST-0187"/>
    <s v="PROD-007"/>
    <x v="3"/>
    <x v="0"/>
    <n v="8"/>
    <n v="0"/>
    <x v="0"/>
    <n v="5"/>
    <n v="3"/>
    <x v="6"/>
    <x v="1"/>
    <n v="540"/>
    <n v="320"/>
    <x v="2"/>
    <n v="4320"/>
    <n v="2560"/>
    <n v="1760"/>
    <n v="0.40740740740740738"/>
  </r>
  <r>
    <x v="612"/>
    <d v="2026-08-19T00:00:00"/>
    <s v="CUST-0140"/>
    <s v="PROD-013"/>
    <x v="3"/>
    <x v="0"/>
    <n v="7"/>
    <n v="0.2"/>
    <x v="0"/>
    <n v="3"/>
    <n v="4"/>
    <x v="4"/>
    <x v="2"/>
    <n v="32"/>
    <n v="13"/>
    <x v="1"/>
    <n v="179.20000000000002"/>
    <n v="91"/>
    <n v="88.200000000000017"/>
    <n v="0.49218750000000006"/>
  </r>
  <r>
    <x v="613"/>
    <d v="2025-04-21T00:00:00"/>
    <s v="CUST-0063"/>
    <s v="PROD-009"/>
    <x v="4"/>
    <x v="1"/>
    <n v="7"/>
    <n v="0"/>
    <x v="0"/>
    <n v="5"/>
    <n v="4"/>
    <x v="14"/>
    <x v="1"/>
    <n v="185"/>
    <n v="105"/>
    <x v="0"/>
    <n v="1295"/>
    <n v="735"/>
    <n v="560"/>
    <n v="0.43243243243243246"/>
  </r>
  <r>
    <x v="614"/>
    <d v="2025-01-28T00:00:00"/>
    <s v="CUST-0092"/>
    <s v="PROD-013"/>
    <x v="1"/>
    <x v="1"/>
    <n v="1"/>
    <n v="0.05"/>
    <x v="0"/>
    <n v="5"/>
    <n v="5"/>
    <x v="4"/>
    <x v="2"/>
    <n v="32"/>
    <n v="13"/>
    <x v="0"/>
    <n v="30.4"/>
    <n v="13"/>
    <n v="17.399999999999999"/>
    <n v="0.57236842105263153"/>
  </r>
  <r>
    <x v="615"/>
    <d v="2026-05-20T00:00:00"/>
    <s v="CUST-0239"/>
    <s v="PROD-007"/>
    <x v="3"/>
    <x v="0"/>
    <n v="2"/>
    <n v="0.05"/>
    <x v="0"/>
    <n v="4"/>
    <n v="1"/>
    <x v="6"/>
    <x v="1"/>
    <n v="540"/>
    <n v="320"/>
    <x v="0"/>
    <n v="1026"/>
    <n v="640"/>
    <n v="386"/>
    <n v="0.37621832358674462"/>
  </r>
  <r>
    <x v="616"/>
    <d v="2025-02-02T00:00:00"/>
    <s v="CUST-0221"/>
    <s v="PROD-004"/>
    <x v="3"/>
    <x v="1"/>
    <n v="2"/>
    <n v="0"/>
    <x v="0"/>
    <n v="4"/>
    <n v="3"/>
    <x v="3"/>
    <x v="0"/>
    <n v="42"/>
    <n v="19"/>
    <x v="2"/>
    <n v="84"/>
    <n v="38"/>
    <n v="46"/>
    <n v="0.54761904761904767"/>
  </r>
  <r>
    <x v="617"/>
    <d v="2025-06-18T00:00:00"/>
    <s v="CUST-0252"/>
    <s v="PROD-014"/>
    <x v="2"/>
    <x v="0"/>
    <n v="2"/>
    <n v="0"/>
    <x v="0"/>
    <n v="5"/>
    <n v="5"/>
    <x v="5"/>
    <x v="3"/>
    <n v="17"/>
    <n v="8"/>
    <x v="0"/>
    <n v="34"/>
    <n v="16"/>
    <n v="18"/>
    <n v="0.52941176470588236"/>
  </r>
  <r>
    <x v="618"/>
    <d v="2026-08-09T00:00:00"/>
    <s v="CUST-0241"/>
    <s v="PROD-016"/>
    <x v="4"/>
    <x v="1"/>
    <n v="1"/>
    <n v="0"/>
    <x v="0"/>
    <n v="4"/>
    <n v="3"/>
    <x v="9"/>
    <x v="3"/>
    <n v="28"/>
    <n v="12"/>
    <x v="1"/>
    <n v="28"/>
    <n v="12"/>
    <n v="16"/>
    <n v="0.5714285714285714"/>
  </r>
  <r>
    <x v="619"/>
    <d v="2025-10-19T00:00:00"/>
    <s v="CUST-0165"/>
    <s v="PROD-002"/>
    <x v="2"/>
    <x v="1"/>
    <n v="5"/>
    <n v="0"/>
    <x v="0"/>
    <n v="1"/>
    <n v="7"/>
    <x v="0"/>
    <x v="0"/>
    <n v="310"/>
    <n v="190"/>
    <x v="2"/>
    <n v="1550"/>
    <n v="950"/>
    <n v="600"/>
    <n v="0.38709677419354838"/>
  </r>
  <r>
    <x v="620"/>
    <d v="2025-04-10T00:00:00"/>
    <s v="CUST-0220"/>
    <s v="PROD-012"/>
    <x v="0"/>
    <x v="1"/>
    <n v="1"/>
    <n v="0"/>
    <x v="0"/>
    <n v="4"/>
    <n v="1"/>
    <x v="11"/>
    <x v="2"/>
    <n v="68"/>
    <n v="31"/>
    <x v="1"/>
    <n v="68"/>
    <n v="31"/>
    <n v="37"/>
    <n v="0.54411764705882348"/>
  </r>
  <r>
    <x v="621"/>
    <d v="2025-03-09T00:00:00"/>
    <s v="CUST-0157"/>
    <s v="PROD-004"/>
    <x v="3"/>
    <x v="1"/>
    <n v="2"/>
    <n v="0.05"/>
    <x v="0"/>
    <n v="4"/>
    <n v="4"/>
    <x v="3"/>
    <x v="0"/>
    <n v="42"/>
    <n v="19"/>
    <x v="1"/>
    <n v="79.8"/>
    <n v="38"/>
    <n v="41.8"/>
    <n v="0.52380952380952384"/>
  </r>
  <r>
    <x v="622"/>
    <d v="2025-10-01T00:00:00"/>
    <s v="CUST-0011"/>
    <s v="PROD-016"/>
    <x v="4"/>
    <x v="2"/>
    <n v="2"/>
    <n v="0"/>
    <x v="0"/>
    <n v="5"/>
    <n v="1"/>
    <x v="9"/>
    <x v="3"/>
    <n v="28"/>
    <n v="12"/>
    <x v="1"/>
    <n v="56"/>
    <n v="24"/>
    <n v="32"/>
    <n v="0.5714285714285714"/>
  </r>
  <r>
    <x v="623"/>
    <d v="2025-07-30T00:00:00"/>
    <s v="CUST-0173"/>
    <s v="PROD-016"/>
    <x v="4"/>
    <x v="0"/>
    <n v="2"/>
    <n v="0.05"/>
    <x v="0"/>
    <n v="4"/>
    <n v="4"/>
    <x v="9"/>
    <x v="3"/>
    <n v="28"/>
    <n v="12"/>
    <x v="1"/>
    <n v="53.199999999999996"/>
    <n v="24"/>
    <n v="29.199999999999996"/>
    <n v="0.54887218045112773"/>
  </r>
  <r>
    <x v="624"/>
    <d v="2025-03-19T00:00:00"/>
    <s v="CUST-0275"/>
    <s v="PROD-007"/>
    <x v="3"/>
    <x v="1"/>
    <n v="8"/>
    <n v="0"/>
    <x v="0"/>
    <n v="5"/>
    <n v="1"/>
    <x v="6"/>
    <x v="1"/>
    <n v="540"/>
    <n v="320"/>
    <x v="1"/>
    <n v="4320"/>
    <n v="2560"/>
    <n v="1760"/>
    <n v="0.40740740740740738"/>
  </r>
  <r>
    <x v="625"/>
    <d v="2026-08-16T00:00:00"/>
    <s v="CUST-0049"/>
    <s v="PROD-011"/>
    <x v="3"/>
    <x v="0"/>
    <n v="2"/>
    <n v="0"/>
    <x v="0"/>
    <n v="2"/>
    <n v="6"/>
    <x v="8"/>
    <x v="2"/>
    <n v="85"/>
    <n v="39"/>
    <x v="0"/>
    <n v="170"/>
    <n v="78"/>
    <n v="92"/>
    <n v="0.54117647058823526"/>
  </r>
  <r>
    <x v="626"/>
    <d v="2026-03-20T00:00:00"/>
    <s v="CUST-0277"/>
    <s v="PROD-011"/>
    <x v="2"/>
    <x v="1"/>
    <n v="3"/>
    <n v="0"/>
    <x v="0"/>
    <n v="3"/>
    <n v="1"/>
    <x v="8"/>
    <x v="2"/>
    <n v="85"/>
    <n v="39"/>
    <x v="1"/>
    <n v="255"/>
    <n v="117"/>
    <n v="138"/>
    <n v="0.54117647058823526"/>
  </r>
  <r>
    <x v="627"/>
    <d v="2026-06-13T00:00:00"/>
    <s v="CUST-0096"/>
    <s v="PROD-016"/>
    <x v="2"/>
    <x v="2"/>
    <n v="4"/>
    <n v="0.05"/>
    <x v="1"/>
    <n v="4"/>
    <n v="9"/>
    <x v="9"/>
    <x v="3"/>
    <n v="28"/>
    <n v="12"/>
    <x v="1"/>
    <n v="106.39999999999999"/>
    <n v="48"/>
    <n v="58.399999999999991"/>
    <n v="0.54887218045112773"/>
  </r>
  <r>
    <x v="628"/>
    <d v="2026-08-03T00:00:00"/>
    <s v="CUST-0031"/>
    <s v="PROD-007"/>
    <x v="3"/>
    <x v="1"/>
    <n v="1"/>
    <n v="0.1"/>
    <x v="0"/>
    <n v="4"/>
    <n v="3"/>
    <x v="6"/>
    <x v="1"/>
    <n v="540"/>
    <n v="320"/>
    <x v="2"/>
    <n v="486"/>
    <n v="320"/>
    <n v="166"/>
    <n v="0.34156378600823045"/>
  </r>
  <r>
    <x v="629"/>
    <d v="2025-03-07T00:00:00"/>
    <s v="CUST-0105"/>
    <s v="PROD-014"/>
    <x v="3"/>
    <x v="1"/>
    <n v="1"/>
    <n v="0.1"/>
    <x v="0"/>
    <n v="3"/>
    <n v="2"/>
    <x v="5"/>
    <x v="3"/>
    <n v="17"/>
    <n v="8"/>
    <x v="1"/>
    <n v="15.3"/>
    <n v="8"/>
    <n v="7.3000000000000007"/>
    <n v="0.47712418300653597"/>
  </r>
  <r>
    <x v="630"/>
    <d v="2025-07-16T00:00:00"/>
    <s v="CUST-0015"/>
    <s v="PROD-008"/>
    <x v="0"/>
    <x v="1"/>
    <n v="2"/>
    <n v="0.2"/>
    <x v="0"/>
    <n v="5"/>
    <n v="2"/>
    <x v="1"/>
    <x v="1"/>
    <n v="255"/>
    <n v="145"/>
    <x v="0"/>
    <n v="408"/>
    <n v="290"/>
    <n v="118"/>
    <n v="0.28921568627450983"/>
  </r>
  <r>
    <x v="631"/>
    <d v="2025-06-13T00:00:00"/>
    <s v="CUST-0140"/>
    <s v="PROD-005"/>
    <x v="2"/>
    <x v="0"/>
    <n v="1"/>
    <n v="0.05"/>
    <x v="0"/>
    <n v="2"/>
    <n v="5"/>
    <x v="15"/>
    <x v="0"/>
    <n v="115"/>
    <n v="58"/>
    <x v="1"/>
    <n v="109.25"/>
    <n v="58"/>
    <n v="51.25"/>
    <n v="0.46910755148741418"/>
  </r>
  <r>
    <x v="632"/>
    <d v="2025-02-26T00:00:00"/>
    <s v="CUST-0043"/>
    <s v="PROD-011"/>
    <x v="1"/>
    <x v="2"/>
    <n v="6"/>
    <n v="0"/>
    <x v="0"/>
    <n v="5"/>
    <n v="1"/>
    <x v="8"/>
    <x v="2"/>
    <n v="85"/>
    <n v="39"/>
    <x v="1"/>
    <n v="510"/>
    <n v="234"/>
    <n v="276"/>
    <n v="0.54117647058823526"/>
  </r>
  <r>
    <x v="633"/>
    <d v="2026-02-11T00:00:00"/>
    <s v="CUST-0072"/>
    <s v="PROD-008"/>
    <x v="2"/>
    <x v="0"/>
    <n v="6"/>
    <n v="0.05"/>
    <x v="0"/>
    <n v="5"/>
    <n v="5"/>
    <x v="1"/>
    <x v="1"/>
    <n v="255"/>
    <n v="145"/>
    <x v="2"/>
    <n v="1453.5"/>
    <n v="870"/>
    <n v="583.5"/>
    <n v="0.40144478844169246"/>
  </r>
  <r>
    <x v="634"/>
    <d v="2025-09-15T00:00:00"/>
    <s v="CUST-0255"/>
    <s v="PROD-003"/>
    <x v="3"/>
    <x v="1"/>
    <n v="4"/>
    <n v="0"/>
    <x v="0"/>
    <n v="4"/>
    <n v="2"/>
    <x v="10"/>
    <x v="0"/>
    <n v="75"/>
    <n v="38"/>
    <x v="2"/>
    <n v="300"/>
    <n v="152"/>
    <n v="148"/>
    <n v="0.49333333333333335"/>
  </r>
  <r>
    <x v="635"/>
    <d v="2026-03-10T00:00:00"/>
    <s v="CUST-0112"/>
    <s v="PROD-005"/>
    <x v="2"/>
    <x v="1"/>
    <n v="1"/>
    <n v="0"/>
    <x v="0"/>
    <n v="2"/>
    <n v="8"/>
    <x v="15"/>
    <x v="0"/>
    <n v="115"/>
    <n v="58"/>
    <x v="1"/>
    <n v="115"/>
    <n v="58"/>
    <n v="57"/>
    <n v="0.4956521739130435"/>
  </r>
  <r>
    <x v="636"/>
    <d v="2025-04-26T00:00:00"/>
    <s v="CUST-0163"/>
    <s v="PROD-014"/>
    <x v="4"/>
    <x v="1"/>
    <n v="1"/>
    <n v="0.1"/>
    <x v="0"/>
    <n v="4"/>
    <n v="3"/>
    <x v="5"/>
    <x v="3"/>
    <n v="17"/>
    <n v="8"/>
    <x v="1"/>
    <n v="15.3"/>
    <n v="8"/>
    <n v="7.3000000000000007"/>
    <n v="0.47712418300653597"/>
  </r>
  <r>
    <x v="637"/>
    <d v="2025-11-12T00:00:00"/>
    <s v="CUST-0011"/>
    <s v="PROD-002"/>
    <x v="0"/>
    <x v="0"/>
    <n v="7"/>
    <n v="0.1"/>
    <x v="0"/>
    <n v="3"/>
    <n v="5"/>
    <x v="0"/>
    <x v="0"/>
    <n v="310"/>
    <n v="190"/>
    <x v="1"/>
    <n v="1953"/>
    <n v="1330"/>
    <n v="623"/>
    <n v="0.31899641577060933"/>
  </r>
  <r>
    <x v="638"/>
    <d v="2026-01-29T00:00:00"/>
    <s v="CUST-0159"/>
    <s v="PROD-012"/>
    <x v="0"/>
    <x v="0"/>
    <n v="2"/>
    <n v="0"/>
    <x v="0"/>
    <n v="1"/>
    <n v="7"/>
    <x v="11"/>
    <x v="2"/>
    <n v="68"/>
    <n v="31"/>
    <x v="1"/>
    <n v="136"/>
    <n v="62"/>
    <n v="74"/>
    <n v="0.54411764705882348"/>
  </r>
  <r>
    <x v="639"/>
    <d v="2025-11-05T00:00:00"/>
    <s v="CUST-0047"/>
    <s v="PROD-008"/>
    <x v="3"/>
    <x v="2"/>
    <n v="1"/>
    <n v="0"/>
    <x v="0"/>
    <n v="5"/>
    <n v="4"/>
    <x v="1"/>
    <x v="1"/>
    <n v="255"/>
    <n v="145"/>
    <x v="1"/>
    <n v="255"/>
    <n v="145"/>
    <n v="110"/>
    <n v="0.43137254901960786"/>
  </r>
  <r>
    <x v="640"/>
    <d v="2025-02-04T00:00:00"/>
    <s v="CUST-0141"/>
    <s v="PROD-003"/>
    <x v="0"/>
    <x v="2"/>
    <n v="2"/>
    <n v="0"/>
    <x v="0"/>
    <n v="5"/>
    <n v="1"/>
    <x v="10"/>
    <x v="0"/>
    <n v="75"/>
    <n v="38"/>
    <x v="1"/>
    <n v="150"/>
    <n v="76"/>
    <n v="74"/>
    <n v="0.49333333333333335"/>
  </r>
  <r>
    <x v="641"/>
    <d v="2025-06-14T00:00:00"/>
    <s v="CUST-0134"/>
    <s v="PROD-003"/>
    <x v="3"/>
    <x v="0"/>
    <n v="4"/>
    <n v="0.1"/>
    <x v="0"/>
    <n v="1"/>
    <n v="3"/>
    <x v="10"/>
    <x v="0"/>
    <n v="75"/>
    <n v="38"/>
    <x v="2"/>
    <n v="270"/>
    <n v="152"/>
    <n v="118"/>
    <n v="0.43703703703703706"/>
  </r>
  <r>
    <x v="642"/>
    <d v="2026-03-31T00:00:00"/>
    <s v="CUST-0070"/>
    <s v="PROD-001"/>
    <x v="3"/>
    <x v="0"/>
    <n v="1"/>
    <n v="0"/>
    <x v="0"/>
    <n v="4"/>
    <n v="2"/>
    <x v="2"/>
    <x v="0"/>
    <n v="1100"/>
    <n v="720"/>
    <x v="1"/>
    <n v="1100"/>
    <n v="720"/>
    <n v="380"/>
    <n v="0.34545454545454546"/>
  </r>
  <r>
    <x v="643"/>
    <d v="2026-02-25T00:00:00"/>
    <s v="CUST-0164"/>
    <s v="PROD-015"/>
    <x v="4"/>
    <x v="0"/>
    <n v="1"/>
    <n v="0.1"/>
    <x v="0"/>
    <n v="5"/>
    <n v="2"/>
    <x v="12"/>
    <x v="3"/>
    <n v="23"/>
    <n v="10"/>
    <x v="2"/>
    <n v="20.7"/>
    <n v="10"/>
    <n v="10.7"/>
    <n v="0.51690821256038644"/>
  </r>
  <r>
    <x v="644"/>
    <d v="2025-03-28T00:00:00"/>
    <s v="CUST-0213"/>
    <s v="PROD-012"/>
    <x v="2"/>
    <x v="2"/>
    <n v="7"/>
    <n v="0.15"/>
    <x v="0"/>
    <n v="5"/>
    <n v="5"/>
    <x v="11"/>
    <x v="2"/>
    <n v="68"/>
    <n v="31"/>
    <x v="1"/>
    <n v="404.59999999999997"/>
    <n v="217"/>
    <n v="187.59999999999997"/>
    <n v="0.4636678200692041"/>
  </r>
  <r>
    <x v="645"/>
    <d v="2025-08-23T00:00:00"/>
    <s v="CUST-0046"/>
    <s v="PROD-015"/>
    <x v="2"/>
    <x v="0"/>
    <n v="1"/>
    <n v="0"/>
    <x v="0"/>
    <n v="4"/>
    <n v="1"/>
    <x v="12"/>
    <x v="3"/>
    <n v="23"/>
    <n v="10"/>
    <x v="1"/>
    <n v="23"/>
    <n v="10"/>
    <n v="13"/>
    <n v="0.56521739130434778"/>
  </r>
  <r>
    <x v="646"/>
    <d v="2026-01-12T00:00:00"/>
    <s v="CUST-0088"/>
    <s v="PROD-004"/>
    <x v="2"/>
    <x v="0"/>
    <n v="4"/>
    <n v="0.15"/>
    <x v="0"/>
    <n v="4"/>
    <n v="2"/>
    <x v="3"/>
    <x v="0"/>
    <n v="42"/>
    <n v="19"/>
    <x v="0"/>
    <n v="142.79999999999998"/>
    <n v="76"/>
    <n v="66.799999999999983"/>
    <n v="0.46778711484593832"/>
  </r>
  <r>
    <x v="647"/>
    <d v="2025-07-28T00:00:00"/>
    <s v="CUST-0098"/>
    <s v="PROD-009"/>
    <x v="3"/>
    <x v="0"/>
    <n v="1"/>
    <n v="0.15"/>
    <x v="0"/>
    <n v="5"/>
    <n v="3"/>
    <x v="14"/>
    <x v="1"/>
    <n v="185"/>
    <n v="105"/>
    <x v="0"/>
    <n v="157.25"/>
    <n v="105"/>
    <n v="52.25"/>
    <n v="0.33227344992050872"/>
  </r>
  <r>
    <x v="648"/>
    <d v="2025-07-13T00:00:00"/>
    <s v="CUST-0215"/>
    <s v="PROD-006"/>
    <x v="3"/>
    <x v="1"/>
    <n v="1"/>
    <n v="0"/>
    <x v="0"/>
    <n v="5"/>
    <n v="3"/>
    <x v="7"/>
    <x v="0"/>
    <n v="98"/>
    <n v="46"/>
    <x v="2"/>
    <n v="98"/>
    <n v="46"/>
    <n v="52"/>
    <n v="0.53061224489795922"/>
  </r>
  <r>
    <x v="649"/>
    <d v="2026-08-20T00:00:00"/>
    <s v="CUST-0235"/>
    <s v="PROD-003"/>
    <x v="2"/>
    <x v="1"/>
    <n v="2"/>
    <n v="0.1"/>
    <x v="0"/>
    <n v="5"/>
    <n v="4"/>
    <x v="10"/>
    <x v="0"/>
    <n v="75"/>
    <n v="38"/>
    <x v="1"/>
    <n v="135"/>
    <n v="76"/>
    <n v="59"/>
    <n v="0.43703703703703706"/>
  </r>
  <r>
    <x v="650"/>
    <d v="2025-09-20T00:00:00"/>
    <s v="CUST-0038"/>
    <s v="PROD-004"/>
    <x v="4"/>
    <x v="1"/>
    <n v="6"/>
    <n v="0.05"/>
    <x v="0"/>
    <n v="4"/>
    <n v="5"/>
    <x v="3"/>
    <x v="0"/>
    <n v="42"/>
    <n v="19"/>
    <x v="0"/>
    <n v="239.39999999999998"/>
    <n v="114"/>
    <n v="125.39999999999998"/>
    <n v="0.52380952380952372"/>
  </r>
  <r>
    <x v="651"/>
    <d v="2025-02-16T00:00:00"/>
    <s v="CUST-0003"/>
    <s v="PROD-009"/>
    <x v="4"/>
    <x v="1"/>
    <n v="8"/>
    <n v="0.1"/>
    <x v="0"/>
    <n v="5"/>
    <n v="1"/>
    <x v="14"/>
    <x v="1"/>
    <n v="185"/>
    <n v="105"/>
    <x v="1"/>
    <n v="1332"/>
    <n v="840"/>
    <n v="492"/>
    <n v="0.36936936936936937"/>
  </r>
  <r>
    <x v="652"/>
    <d v="2026-08-18T00:00:00"/>
    <s v="CUST-0092"/>
    <s v="PROD-009"/>
    <x v="2"/>
    <x v="0"/>
    <n v="2"/>
    <n v="0.05"/>
    <x v="0"/>
    <n v="5"/>
    <n v="4"/>
    <x v="14"/>
    <x v="1"/>
    <n v="185"/>
    <n v="105"/>
    <x v="0"/>
    <n v="351.5"/>
    <n v="210"/>
    <n v="141.5"/>
    <n v="0.40256045519203415"/>
  </r>
  <r>
    <x v="653"/>
    <d v="2025-05-26T00:00:00"/>
    <s v="CUST-0134"/>
    <s v="PROD-004"/>
    <x v="3"/>
    <x v="2"/>
    <n v="2"/>
    <n v="0.2"/>
    <x v="0"/>
    <n v="4"/>
    <n v="4"/>
    <x v="3"/>
    <x v="0"/>
    <n v="42"/>
    <n v="19"/>
    <x v="2"/>
    <n v="67.2"/>
    <n v="38"/>
    <n v="29.200000000000003"/>
    <n v="0.43452380952380953"/>
  </r>
  <r>
    <x v="654"/>
    <d v="2025-10-17T00:00:00"/>
    <s v="CUST-0135"/>
    <s v="PROD-009"/>
    <x v="4"/>
    <x v="1"/>
    <n v="1"/>
    <n v="0.1"/>
    <x v="0"/>
    <n v="5"/>
    <n v="5"/>
    <x v="14"/>
    <x v="1"/>
    <n v="185"/>
    <n v="105"/>
    <x v="1"/>
    <n v="166.5"/>
    <n v="105"/>
    <n v="61.5"/>
    <n v="0.36936936936936937"/>
  </r>
  <r>
    <x v="655"/>
    <d v="2026-03-27T00:00:00"/>
    <s v="CUST-0028"/>
    <s v="PROD-007"/>
    <x v="2"/>
    <x v="1"/>
    <n v="1"/>
    <n v="0"/>
    <x v="0"/>
    <n v="4"/>
    <n v="4"/>
    <x v="6"/>
    <x v="1"/>
    <n v="540"/>
    <n v="320"/>
    <x v="1"/>
    <n v="540"/>
    <n v="320"/>
    <n v="220"/>
    <n v="0.40740740740740738"/>
  </r>
  <r>
    <x v="656"/>
    <d v="2025-02-11T00:00:00"/>
    <s v="CUST-0227"/>
    <s v="PROD-012"/>
    <x v="0"/>
    <x v="0"/>
    <n v="2"/>
    <n v="0"/>
    <x v="0"/>
    <n v="3"/>
    <n v="3"/>
    <x v="11"/>
    <x v="2"/>
    <n v="68"/>
    <n v="31"/>
    <x v="0"/>
    <n v="136"/>
    <n v="62"/>
    <n v="74"/>
    <n v="0.54411764705882348"/>
  </r>
  <r>
    <x v="657"/>
    <d v="2025-04-06T00:00:00"/>
    <s v="CUST-0105"/>
    <s v="PROD-010"/>
    <x v="2"/>
    <x v="1"/>
    <n v="2"/>
    <n v="0"/>
    <x v="0"/>
    <n v="4"/>
    <n v="5"/>
    <x v="13"/>
    <x v="2"/>
    <n v="48"/>
    <n v="22"/>
    <x v="1"/>
    <n v="96"/>
    <n v="44"/>
    <n v="52"/>
    <n v="0.54166666666666663"/>
  </r>
  <r>
    <x v="658"/>
    <d v="2025-01-05T00:00:00"/>
    <s v="CUST-0270"/>
    <s v="PROD-006"/>
    <x v="3"/>
    <x v="1"/>
    <n v="4"/>
    <n v="0.1"/>
    <x v="0"/>
    <n v="1"/>
    <n v="5"/>
    <x v="7"/>
    <x v="0"/>
    <n v="98"/>
    <n v="46"/>
    <x v="1"/>
    <n v="352.8"/>
    <n v="184"/>
    <n v="168.8"/>
    <n v="0.47845804988662133"/>
  </r>
  <r>
    <x v="659"/>
    <d v="2026-01-18T00:00:00"/>
    <s v="CUST-0055"/>
    <s v="PROD-011"/>
    <x v="2"/>
    <x v="1"/>
    <n v="5"/>
    <n v="0.05"/>
    <x v="0"/>
    <n v="5"/>
    <n v="5"/>
    <x v="8"/>
    <x v="2"/>
    <n v="85"/>
    <n v="39"/>
    <x v="0"/>
    <n v="403.75"/>
    <n v="195"/>
    <n v="208.75"/>
    <n v="0.51702786377708976"/>
  </r>
  <r>
    <x v="660"/>
    <d v="2025-01-06T00:00:00"/>
    <s v="CUST-0169"/>
    <s v="PROD-002"/>
    <x v="1"/>
    <x v="2"/>
    <n v="2"/>
    <n v="0.1"/>
    <x v="0"/>
    <n v="5"/>
    <n v="5"/>
    <x v="0"/>
    <x v="0"/>
    <n v="310"/>
    <n v="190"/>
    <x v="1"/>
    <n v="558"/>
    <n v="380"/>
    <n v="178"/>
    <n v="0.31899641577060933"/>
  </r>
  <r>
    <x v="661"/>
    <d v="2025-05-13T00:00:00"/>
    <s v="CUST-0109"/>
    <s v="PROD-002"/>
    <x v="0"/>
    <x v="1"/>
    <n v="4"/>
    <n v="0.1"/>
    <x v="0"/>
    <n v="4"/>
    <n v="1"/>
    <x v="0"/>
    <x v="0"/>
    <n v="310"/>
    <n v="190"/>
    <x v="1"/>
    <n v="1116"/>
    <n v="760"/>
    <n v="356"/>
    <n v="0.31899641577060933"/>
  </r>
  <r>
    <x v="662"/>
    <d v="2026-02-13T00:00:00"/>
    <s v="CUST-0131"/>
    <s v="PROD-006"/>
    <x v="3"/>
    <x v="0"/>
    <n v="2"/>
    <n v="0"/>
    <x v="0"/>
    <n v="4"/>
    <n v="4"/>
    <x v="7"/>
    <x v="0"/>
    <n v="98"/>
    <n v="46"/>
    <x v="1"/>
    <n v="196"/>
    <n v="92"/>
    <n v="104"/>
    <n v="0.53061224489795922"/>
  </r>
  <r>
    <x v="663"/>
    <d v="2025-10-19T00:00:00"/>
    <s v="CUST-0079"/>
    <s v="PROD-004"/>
    <x v="3"/>
    <x v="0"/>
    <n v="4"/>
    <n v="0.15"/>
    <x v="0"/>
    <n v="4"/>
    <n v="3"/>
    <x v="3"/>
    <x v="0"/>
    <n v="42"/>
    <n v="19"/>
    <x v="1"/>
    <n v="142.79999999999998"/>
    <n v="76"/>
    <n v="66.799999999999983"/>
    <n v="0.46778711484593832"/>
  </r>
  <r>
    <x v="664"/>
    <d v="2025-04-09T00:00:00"/>
    <s v="CUST-0189"/>
    <s v="PROD-007"/>
    <x v="4"/>
    <x v="2"/>
    <n v="2"/>
    <n v="0.05"/>
    <x v="0"/>
    <n v="5"/>
    <n v="3"/>
    <x v="6"/>
    <x v="1"/>
    <n v="540"/>
    <n v="320"/>
    <x v="1"/>
    <n v="1026"/>
    <n v="640"/>
    <n v="386"/>
    <n v="0.37621832358674462"/>
  </r>
  <r>
    <x v="665"/>
    <d v="2025-07-10T00:00:00"/>
    <s v="CUST-0223"/>
    <s v="PROD-014"/>
    <x v="2"/>
    <x v="0"/>
    <n v="8"/>
    <n v="0.1"/>
    <x v="0"/>
    <n v="5"/>
    <n v="4"/>
    <x v="5"/>
    <x v="3"/>
    <n v="17"/>
    <n v="8"/>
    <x v="0"/>
    <n v="122.4"/>
    <n v="64"/>
    <n v="58.400000000000006"/>
    <n v="0.47712418300653597"/>
  </r>
  <r>
    <x v="666"/>
    <d v="2026-06-24T00:00:00"/>
    <s v="CUST-0269"/>
    <s v="PROD-003"/>
    <x v="3"/>
    <x v="1"/>
    <n v="6"/>
    <n v="0.05"/>
    <x v="0"/>
    <n v="3"/>
    <n v="3"/>
    <x v="10"/>
    <x v="0"/>
    <n v="75"/>
    <n v="38"/>
    <x v="0"/>
    <n v="427.5"/>
    <n v="228"/>
    <n v="199.5"/>
    <n v="0.46666666666666667"/>
  </r>
  <r>
    <x v="667"/>
    <d v="2025-09-12T00:00:00"/>
    <s v="CUST-0268"/>
    <s v="PROD-014"/>
    <x v="3"/>
    <x v="1"/>
    <n v="1"/>
    <n v="0"/>
    <x v="0"/>
    <n v="4"/>
    <n v="1"/>
    <x v="5"/>
    <x v="3"/>
    <n v="17"/>
    <n v="8"/>
    <x v="2"/>
    <n v="17"/>
    <n v="8"/>
    <n v="9"/>
    <n v="0.52941176470588236"/>
  </r>
  <r>
    <x v="668"/>
    <d v="2026-04-21T00:00:00"/>
    <s v="CUST-0292"/>
    <s v="PROD-009"/>
    <x v="3"/>
    <x v="0"/>
    <n v="4"/>
    <n v="0"/>
    <x v="0"/>
    <n v="4"/>
    <n v="2"/>
    <x v="14"/>
    <x v="1"/>
    <n v="185"/>
    <n v="105"/>
    <x v="0"/>
    <n v="740"/>
    <n v="420"/>
    <n v="320"/>
    <n v="0.43243243243243246"/>
  </r>
  <r>
    <x v="669"/>
    <d v="2026-02-07T00:00:00"/>
    <s v="CUST-0024"/>
    <s v="PROD-003"/>
    <x v="3"/>
    <x v="0"/>
    <n v="1"/>
    <n v="0.1"/>
    <x v="0"/>
    <n v="4"/>
    <n v="3"/>
    <x v="10"/>
    <x v="0"/>
    <n v="75"/>
    <n v="38"/>
    <x v="1"/>
    <n v="67.5"/>
    <n v="38"/>
    <n v="29.5"/>
    <n v="0.43703703703703706"/>
  </r>
  <r>
    <x v="670"/>
    <d v="2025-12-16T00:00:00"/>
    <s v="CUST-0096"/>
    <s v="PROD-007"/>
    <x v="2"/>
    <x v="0"/>
    <n v="3"/>
    <n v="0.15"/>
    <x v="0"/>
    <n v="4"/>
    <n v="1"/>
    <x v="6"/>
    <x v="1"/>
    <n v="540"/>
    <n v="320"/>
    <x v="1"/>
    <n v="1377"/>
    <n v="960"/>
    <n v="417"/>
    <n v="0.30283224400871461"/>
  </r>
  <r>
    <x v="671"/>
    <d v="2026-02-09T00:00:00"/>
    <s v="CUST-0060"/>
    <s v="PROD-001"/>
    <x v="2"/>
    <x v="1"/>
    <n v="3"/>
    <n v="0.15"/>
    <x v="1"/>
    <n v="4"/>
    <n v="7"/>
    <x v="2"/>
    <x v="0"/>
    <n v="1100"/>
    <n v="720"/>
    <x v="1"/>
    <n v="2805"/>
    <n v="2160"/>
    <n v="645"/>
    <n v="0.22994652406417113"/>
  </r>
  <r>
    <x v="672"/>
    <d v="2026-01-05T00:00:00"/>
    <s v="CUST-0203"/>
    <s v="PROD-010"/>
    <x v="2"/>
    <x v="1"/>
    <n v="1"/>
    <n v="0.1"/>
    <x v="0"/>
    <n v="3"/>
    <n v="1"/>
    <x v="13"/>
    <x v="2"/>
    <n v="48"/>
    <n v="22"/>
    <x v="2"/>
    <n v="43.2"/>
    <n v="22"/>
    <n v="21.200000000000003"/>
    <n v="0.49074074074074076"/>
  </r>
  <r>
    <x v="673"/>
    <d v="2025-08-03T00:00:00"/>
    <s v="CUST-0247"/>
    <s v="PROD-005"/>
    <x v="1"/>
    <x v="1"/>
    <n v="3"/>
    <n v="0.1"/>
    <x v="0"/>
    <n v="4"/>
    <n v="4"/>
    <x v="15"/>
    <x v="0"/>
    <n v="115"/>
    <n v="58"/>
    <x v="1"/>
    <n v="310.5"/>
    <n v="174"/>
    <n v="136.5"/>
    <n v="0.43961352657004832"/>
  </r>
  <r>
    <x v="674"/>
    <d v="2025-06-01T00:00:00"/>
    <s v="CUST-0243"/>
    <s v="PROD-014"/>
    <x v="2"/>
    <x v="1"/>
    <n v="1"/>
    <n v="0.1"/>
    <x v="1"/>
    <n v="4"/>
    <n v="6"/>
    <x v="5"/>
    <x v="3"/>
    <n v="17"/>
    <n v="8"/>
    <x v="0"/>
    <n v="15.3"/>
    <n v="8"/>
    <n v="7.3000000000000007"/>
    <n v="0.47712418300653597"/>
  </r>
  <r>
    <x v="675"/>
    <d v="2025-07-26T00:00:00"/>
    <s v="CUST-0151"/>
    <s v="PROD-013"/>
    <x v="2"/>
    <x v="1"/>
    <n v="3"/>
    <n v="0.1"/>
    <x v="1"/>
    <n v="5"/>
    <n v="8"/>
    <x v="4"/>
    <x v="2"/>
    <n v="32"/>
    <n v="13"/>
    <x v="2"/>
    <n v="86.4"/>
    <n v="39"/>
    <n v="47.400000000000006"/>
    <n v="0.54861111111111116"/>
  </r>
  <r>
    <x v="676"/>
    <d v="2025-02-07T00:00:00"/>
    <s v="CUST-0250"/>
    <s v="PROD-013"/>
    <x v="4"/>
    <x v="0"/>
    <n v="3"/>
    <n v="0.1"/>
    <x v="0"/>
    <n v="4"/>
    <n v="1"/>
    <x v="4"/>
    <x v="2"/>
    <n v="32"/>
    <n v="13"/>
    <x v="1"/>
    <n v="86.4"/>
    <n v="39"/>
    <n v="47.400000000000006"/>
    <n v="0.54861111111111116"/>
  </r>
  <r>
    <x v="677"/>
    <d v="2026-06-25T00:00:00"/>
    <s v="CUST-0010"/>
    <s v="PROD-014"/>
    <x v="4"/>
    <x v="0"/>
    <n v="1"/>
    <n v="0.05"/>
    <x v="0"/>
    <n v="3"/>
    <n v="5"/>
    <x v="5"/>
    <x v="3"/>
    <n v="17"/>
    <n v="8"/>
    <x v="1"/>
    <n v="16.149999999999999"/>
    <n v="8"/>
    <n v="8.1499999999999986"/>
    <n v="0.50464396284829716"/>
  </r>
  <r>
    <x v="678"/>
    <d v="2025-12-22T00:00:00"/>
    <s v="CUST-0230"/>
    <s v="PROD-014"/>
    <x v="2"/>
    <x v="1"/>
    <n v="1"/>
    <n v="0"/>
    <x v="0"/>
    <n v="3"/>
    <n v="3"/>
    <x v="5"/>
    <x v="3"/>
    <n v="17"/>
    <n v="8"/>
    <x v="2"/>
    <n v="17"/>
    <n v="8"/>
    <n v="9"/>
    <n v="0.52941176470588236"/>
  </r>
  <r>
    <x v="679"/>
    <d v="2026-04-25T00:00:00"/>
    <s v="CUST-0068"/>
    <s v="PROD-010"/>
    <x v="1"/>
    <x v="1"/>
    <n v="2"/>
    <n v="0.2"/>
    <x v="0"/>
    <n v="4"/>
    <n v="4"/>
    <x v="13"/>
    <x v="2"/>
    <n v="48"/>
    <n v="22"/>
    <x v="1"/>
    <n v="76.800000000000011"/>
    <n v="44"/>
    <n v="32.800000000000011"/>
    <n v="0.42708333333333343"/>
  </r>
  <r>
    <x v="680"/>
    <d v="2025-06-15T00:00:00"/>
    <s v="CUST-0107"/>
    <s v="PROD-010"/>
    <x v="1"/>
    <x v="1"/>
    <n v="2"/>
    <n v="0"/>
    <x v="0"/>
    <n v="4"/>
    <n v="4"/>
    <x v="13"/>
    <x v="2"/>
    <n v="48"/>
    <n v="22"/>
    <x v="1"/>
    <n v="96"/>
    <n v="44"/>
    <n v="52"/>
    <n v="0.54166666666666663"/>
  </r>
  <r>
    <x v="681"/>
    <d v="2026-05-21T00:00:00"/>
    <s v="CUST-0156"/>
    <s v="PROD-008"/>
    <x v="2"/>
    <x v="1"/>
    <n v="1"/>
    <n v="0.15"/>
    <x v="0"/>
    <n v="3"/>
    <n v="5"/>
    <x v="1"/>
    <x v="1"/>
    <n v="255"/>
    <n v="145"/>
    <x v="1"/>
    <n v="216.75"/>
    <n v="145"/>
    <n v="71.75"/>
    <n v="0.33102652825836215"/>
  </r>
  <r>
    <x v="682"/>
    <d v="2025-02-02T00:00:00"/>
    <s v="CUST-0033"/>
    <s v="PROD-011"/>
    <x v="4"/>
    <x v="0"/>
    <n v="1"/>
    <n v="0"/>
    <x v="0"/>
    <n v="4"/>
    <n v="3"/>
    <x v="8"/>
    <x v="2"/>
    <n v="85"/>
    <n v="39"/>
    <x v="0"/>
    <n v="85"/>
    <n v="39"/>
    <n v="46"/>
    <n v="0.54117647058823526"/>
  </r>
  <r>
    <x v="683"/>
    <d v="2025-02-17T00:00:00"/>
    <s v="CUST-0286"/>
    <s v="PROD-009"/>
    <x v="0"/>
    <x v="2"/>
    <n v="5"/>
    <n v="0.05"/>
    <x v="0"/>
    <n v="2"/>
    <n v="8"/>
    <x v="14"/>
    <x v="1"/>
    <n v="185"/>
    <n v="105"/>
    <x v="2"/>
    <n v="878.75"/>
    <n v="525"/>
    <n v="353.75"/>
    <n v="0.40256045519203415"/>
  </r>
  <r>
    <x v="684"/>
    <d v="2025-04-24T00:00:00"/>
    <s v="CUST-0055"/>
    <s v="PROD-004"/>
    <x v="0"/>
    <x v="1"/>
    <n v="1"/>
    <n v="0.05"/>
    <x v="0"/>
    <n v="5"/>
    <n v="2"/>
    <x v="3"/>
    <x v="0"/>
    <n v="42"/>
    <n v="19"/>
    <x v="0"/>
    <n v="39.9"/>
    <n v="19"/>
    <n v="20.9"/>
    <n v="0.52380952380952384"/>
  </r>
  <r>
    <x v="685"/>
    <d v="2025-10-27T00:00:00"/>
    <s v="CUST-0227"/>
    <s v="PROD-016"/>
    <x v="1"/>
    <x v="1"/>
    <n v="3"/>
    <n v="0"/>
    <x v="0"/>
    <n v="5"/>
    <n v="4"/>
    <x v="9"/>
    <x v="3"/>
    <n v="28"/>
    <n v="12"/>
    <x v="0"/>
    <n v="84"/>
    <n v="36"/>
    <n v="48"/>
    <n v="0.5714285714285714"/>
  </r>
  <r>
    <x v="686"/>
    <d v="2026-03-02T00:00:00"/>
    <s v="CUST-0004"/>
    <s v="PROD-008"/>
    <x v="0"/>
    <x v="1"/>
    <n v="1"/>
    <n v="0"/>
    <x v="0"/>
    <n v="5"/>
    <n v="4"/>
    <x v="1"/>
    <x v="1"/>
    <n v="255"/>
    <n v="145"/>
    <x v="1"/>
    <n v="255"/>
    <n v="145"/>
    <n v="110"/>
    <n v="0.43137254901960786"/>
  </r>
  <r>
    <x v="687"/>
    <d v="2026-01-05T00:00:00"/>
    <s v="CUST-0126"/>
    <s v="PROD-005"/>
    <x v="1"/>
    <x v="0"/>
    <n v="4"/>
    <n v="0"/>
    <x v="0"/>
    <n v="5"/>
    <n v="4"/>
    <x v="15"/>
    <x v="0"/>
    <n v="115"/>
    <n v="58"/>
    <x v="1"/>
    <n v="460"/>
    <n v="232"/>
    <n v="228"/>
    <n v="0.4956521739130435"/>
  </r>
  <r>
    <x v="688"/>
    <d v="2026-06-13T00:00:00"/>
    <s v="CUST-0186"/>
    <s v="PROD-001"/>
    <x v="4"/>
    <x v="0"/>
    <n v="4"/>
    <n v="0.05"/>
    <x v="0"/>
    <n v="4"/>
    <n v="4"/>
    <x v="2"/>
    <x v="0"/>
    <n v="1100"/>
    <n v="720"/>
    <x v="1"/>
    <n v="4180"/>
    <n v="2880"/>
    <n v="1300"/>
    <n v="0.31100478468899523"/>
  </r>
  <r>
    <x v="689"/>
    <d v="2025-06-18T00:00:00"/>
    <s v="CUST-0223"/>
    <s v="PROD-002"/>
    <x v="3"/>
    <x v="1"/>
    <n v="6"/>
    <n v="0"/>
    <x v="0"/>
    <n v="5"/>
    <n v="5"/>
    <x v="0"/>
    <x v="0"/>
    <n v="310"/>
    <n v="190"/>
    <x v="0"/>
    <n v="1860"/>
    <n v="1140"/>
    <n v="720"/>
    <n v="0.38709677419354838"/>
  </r>
  <r>
    <x v="690"/>
    <d v="2025-10-30T00:00:00"/>
    <s v="CUST-0215"/>
    <s v="PROD-013"/>
    <x v="0"/>
    <x v="0"/>
    <n v="5"/>
    <n v="0.1"/>
    <x v="0"/>
    <n v="4"/>
    <n v="3"/>
    <x v="4"/>
    <x v="2"/>
    <n v="32"/>
    <n v="13"/>
    <x v="2"/>
    <n v="144"/>
    <n v="65"/>
    <n v="79"/>
    <n v="0.54861111111111116"/>
  </r>
  <r>
    <x v="691"/>
    <d v="2026-06-25T00:00:00"/>
    <s v="CUST-0076"/>
    <s v="PROD-013"/>
    <x v="4"/>
    <x v="1"/>
    <n v="2"/>
    <n v="0.1"/>
    <x v="0"/>
    <n v="5"/>
    <n v="4"/>
    <x v="4"/>
    <x v="2"/>
    <n v="32"/>
    <n v="13"/>
    <x v="1"/>
    <n v="57.6"/>
    <n v="26"/>
    <n v="31.6"/>
    <n v="0.54861111111111116"/>
  </r>
  <r>
    <x v="692"/>
    <d v="2025-07-22T00:00:00"/>
    <s v="CUST-0155"/>
    <s v="PROD-003"/>
    <x v="2"/>
    <x v="1"/>
    <n v="4"/>
    <n v="0.1"/>
    <x v="0"/>
    <n v="5"/>
    <n v="3"/>
    <x v="10"/>
    <x v="0"/>
    <n v="75"/>
    <n v="38"/>
    <x v="1"/>
    <n v="270"/>
    <n v="152"/>
    <n v="118"/>
    <n v="0.43703703703703706"/>
  </r>
  <r>
    <x v="693"/>
    <d v="2025-08-07T00:00:00"/>
    <s v="CUST-0048"/>
    <s v="PROD-010"/>
    <x v="4"/>
    <x v="0"/>
    <n v="1"/>
    <n v="0"/>
    <x v="0"/>
    <n v="4"/>
    <n v="2"/>
    <x v="13"/>
    <x v="2"/>
    <n v="48"/>
    <n v="22"/>
    <x v="1"/>
    <n v="48"/>
    <n v="22"/>
    <n v="26"/>
    <n v="0.54166666666666663"/>
  </r>
  <r>
    <x v="694"/>
    <d v="2025-11-08T00:00:00"/>
    <s v="CUST-0217"/>
    <s v="PROD-004"/>
    <x v="1"/>
    <x v="2"/>
    <n v="1"/>
    <n v="0.05"/>
    <x v="0"/>
    <n v="5"/>
    <n v="1"/>
    <x v="3"/>
    <x v="0"/>
    <n v="42"/>
    <n v="19"/>
    <x v="0"/>
    <n v="39.9"/>
    <n v="19"/>
    <n v="20.9"/>
    <n v="0.52380952380952384"/>
  </r>
  <r>
    <x v="695"/>
    <d v="2026-04-05T00:00:00"/>
    <s v="CUST-0153"/>
    <s v="PROD-001"/>
    <x v="4"/>
    <x v="2"/>
    <n v="4"/>
    <n v="0.2"/>
    <x v="0"/>
    <n v="5"/>
    <n v="5"/>
    <x v="2"/>
    <x v="0"/>
    <n v="1100"/>
    <n v="720"/>
    <x v="1"/>
    <n v="3520"/>
    <n v="2880"/>
    <n v="640"/>
    <n v="0.18181818181818182"/>
  </r>
  <r>
    <x v="696"/>
    <d v="2025-08-28T00:00:00"/>
    <s v="CUST-0180"/>
    <s v="PROD-010"/>
    <x v="3"/>
    <x v="0"/>
    <n v="4"/>
    <n v="0.1"/>
    <x v="0"/>
    <n v="4"/>
    <n v="2"/>
    <x v="13"/>
    <x v="2"/>
    <n v="48"/>
    <n v="22"/>
    <x v="1"/>
    <n v="172.8"/>
    <n v="88"/>
    <n v="84.800000000000011"/>
    <n v="0.49074074074074076"/>
  </r>
  <r>
    <x v="697"/>
    <d v="2025-04-18T00:00:00"/>
    <s v="CUST-0168"/>
    <s v="PROD-007"/>
    <x v="0"/>
    <x v="1"/>
    <n v="1"/>
    <n v="0.1"/>
    <x v="0"/>
    <n v="2"/>
    <n v="5"/>
    <x v="6"/>
    <x v="1"/>
    <n v="540"/>
    <n v="320"/>
    <x v="0"/>
    <n v="486"/>
    <n v="320"/>
    <n v="166"/>
    <n v="0.34156378600823045"/>
  </r>
  <r>
    <x v="698"/>
    <d v="2025-05-14T00:00:00"/>
    <s v="CUST-0244"/>
    <s v="PROD-007"/>
    <x v="4"/>
    <x v="1"/>
    <n v="2"/>
    <n v="0.05"/>
    <x v="0"/>
    <n v="4"/>
    <n v="3"/>
    <x v="6"/>
    <x v="1"/>
    <n v="540"/>
    <n v="320"/>
    <x v="2"/>
    <n v="1026"/>
    <n v="640"/>
    <n v="386"/>
    <n v="0.37621832358674462"/>
  </r>
  <r>
    <x v="699"/>
    <d v="2026-08-22T00:00:00"/>
    <s v="CUST-0256"/>
    <s v="PROD-014"/>
    <x v="0"/>
    <x v="0"/>
    <n v="7"/>
    <n v="0.1"/>
    <x v="0"/>
    <n v="3"/>
    <n v="5"/>
    <x v="5"/>
    <x v="3"/>
    <n v="17"/>
    <n v="8"/>
    <x v="2"/>
    <n v="107.10000000000001"/>
    <n v="56"/>
    <n v="51.100000000000009"/>
    <n v="0.47712418300653597"/>
  </r>
  <r>
    <x v="700"/>
    <d v="2025-05-11T00:00:00"/>
    <s v="CUST-0249"/>
    <s v="PROD-015"/>
    <x v="2"/>
    <x v="0"/>
    <n v="5"/>
    <n v="0"/>
    <x v="0"/>
    <n v="4"/>
    <n v="2"/>
    <x v="12"/>
    <x v="3"/>
    <n v="23"/>
    <n v="10"/>
    <x v="0"/>
    <n v="115"/>
    <n v="50"/>
    <n v="65"/>
    <n v="0.56521739130434778"/>
  </r>
  <r>
    <x v="701"/>
    <d v="2026-07-27T00:00:00"/>
    <s v="CUST-0190"/>
    <s v="PROD-004"/>
    <x v="1"/>
    <x v="1"/>
    <n v="1"/>
    <n v="0.05"/>
    <x v="0"/>
    <n v="3"/>
    <n v="3"/>
    <x v="3"/>
    <x v="0"/>
    <n v="42"/>
    <n v="19"/>
    <x v="1"/>
    <n v="39.9"/>
    <n v="19"/>
    <n v="20.9"/>
    <n v="0.52380952380952384"/>
  </r>
  <r>
    <x v="702"/>
    <d v="2025-11-09T00:00:00"/>
    <s v="CUST-0192"/>
    <s v="PROD-010"/>
    <x v="3"/>
    <x v="1"/>
    <n v="1"/>
    <n v="0.1"/>
    <x v="0"/>
    <n v="5"/>
    <n v="3"/>
    <x v="13"/>
    <x v="2"/>
    <n v="48"/>
    <n v="22"/>
    <x v="1"/>
    <n v="43.2"/>
    <n v="22"/>
    <n v="21.200000000000003"/>
    <n v="0.49074074074074076"/>
  </r>
  <r>
    <x v="703"/>
    <d v="2025-10-18T00:00:00"/>
    <s v="CUST-0111"/>
    <s v="PROD-006"/>
    <x v="0"/>
    <x v="0"/>
    <n v="1"/>
    <n v="0"/>
    <x v="0"/>
    <n v="4"/>
    <n v="5"/>
    <x v="7"/>
    <x v="0"/>
    <n v="98"/>
    <n v="46"/>
    <x v="2"/>
    <n v="98"/>
    <n v="46"/>
    <n v="52"/>
    <n v="0.53061224489795922"/>
  </r>
  <r>
    <x v="704"/>
    <d v="2025-11-14T00:00:00"/>
    <s v="CUST-0290"/>
    <s v="PROD-015"/>
    <x v="0"/>
    <x v="0"/>
    <n v="2"/>
    <n v="0.1"/>
    <x v="0"/>
    <n v="5"/>
    <n v="5"/>
    <x v="12"/>
    <x v="3"/>
    <n v="23"/>
    <n v="10"/>
    <x v="1"/>
    <n v="41.4"/>
    <n v="20"/>
    <n v="21.4"/>
    <n v="0.51690821256038644"/>
  </r>
  <r>
    <x v="705"/>
    <d v="2026-04-17T00:00:00"/>
    <s v="CUST-0231"/>
    <s v="PROD-015"/>
    <x v="2"/>
    <x v="0"/>
    <n v="1"/>
    <n v="0.05"/>
    <x v="0"/>
    <n v="4"/>
    <n v="4"/>
    <x v="12"/>
    <x v="3"/>
    <n v="23"/>
    <n v="10"/>
    <x v="1"/>
    <n v="21.849999999999998"/>
    <n v="10"/>
    <n v="11.849999999999998"/>
    <n v="0.54233409610983974"/>
  </r>
  <r>
    <x v="706"/>
    <d v="2025-12-14T00:00:00"/>
    <s v="CUST-0277"/>
    <s v="PROD-002"/>
    <x v="0"/>
    <x v="2"/>
    <n v="4"/>
    <n v="0.05"/>
    <x v="0"/>
    <n v="5"/>
    <n v="5"/>
    <x v="0"/>
    <x v="0"/>
    <n v="310"/>
    <n v="190"/>
    <x v="1"/>
    <n v="1178"/>
    <n v="760"/>
    <n v="418"/>
    <n v="0.35483870967741937"/>
  </r>
  <r>
    <x v="707"/>
    <d v="2025-11-13T00:00:00"/>
    <s v="CUST-0288"/>
    <s v="PROD-004"/>
    <x v="1"/>
    <x v="1"/>
    <n v="7"/>
    <n v="0.05"/>
    <x v="0"/>
    <n v="5"/>
    <n v="5"/>
    <x v="3"/>
    <x v="0"/>
    <n v="42"/>
    <n v="19"/>
    <x v="1"/>
    <n v="279.3"/>
    <n v="133"/>
    <n v="146.30000000000001"/>
    <n v="0.52380952380952384"/>
  </r>
  <r>
    <x v="708"/>
    <d v="2025-07-13T00:00:00"/>
    <s v="CUST-0244"/>
    <s v="PROD-001"/>
    <x v="2"/>
    <x v="2"/>
    <n v="1"/>
    <n v="0"/>
    <x v="0"/>
    <n v="3"/>
    <n v="5"/>
    <x v="2"/>
    <x v="0"/>
    <n v="1100"/>
    <n v="720"/>
    <x v="2"/>
    <n v="1100"/>
    <n v="720"/>
    <n v="380"/>
    <n v="0.34545454545454546"/>
  </r>
  <r>
    <x v="709"/>
    <d v="2026-03-31T00:00:00"/>
    <s v="CUST-0044"/>
    <s v="PROD-011"/>
    <x v="3"/>
    <x v="1"/>
    <n v="5"/>
    <n v="0"/>
    <x v="0"/>
    <n v="4"/>
    <n v="5"/>
    <x v="8"/>
    <x v="2"/>
    <n v="85"/>
    <n v="39"/>
    <x v="1"/>
    <n v="425"/>
    <n v="195"/>
    <n v="230"/>
    <n v="0.54117647058823526"/>
  </r>
  <r>
    <x v="710"/>
    <d v="2025-11-21T00:00:00"/>
    <s v="CUST-0196"/>
    <s v="PROD-009"/>
    <x v="2"/>
    <x v="2"/>
    <n v="2"/>
    <n v="0"/>
    <x v="0"/>
    <n v="5"/>
    <n v="2"/>
    <x v="14"/>
    <x v="1"/>
    <n v="185"/>
    <n v="105"/>
    <x v="2"/>
    <n v="370"/>
    <n v="210"/>
    <n v="160"/>
    <n v="0.43243243243243246"/>
  </r>
  <r>
    <x v="711"/>
    <d v="2025-11-11T00:00:00"/>
    <s v="CUST-0209"/>
    <s v="PROD-006"/>
    <x v="2"/>
    <x v="2"/>
    <n v="1"/>
    <n v="0.1"/>
    <x v="0"/>
    <n v="2"/>
    <n v="6"/>
    <x v="7"/>
    <x v="0"/>
    <n v="98"/>
    <n v="46"/>
    <x v="1"/>
    <n v="88.2"/>
    <n v="46"/>
    <n v="42.2"/>
    <n v="0.47845804988662133"/>
  </r>
  <r>
    <x v="712"/>
    <d v="2025-11-28T00:00:00"/>
    <s v="CUST-0133"/>
    <s v="PROD-013"/>
    <x v="0"/>
    <x v="2"/>
    <n v="1"/>
    <n v="0"/>
    <x v="0"/>
    <n v="3"/>
    <n v="5"/>
    <x v="4"/>
    <x v="2"/>
    <n v="32"/>
    <n v="13"/>
    <x v="2"/>
    <n v="32"/>
    <n v="13"/>
    <n v="19"/>
    <n v="0.59375"/>
  </r>
  <r>
    <x v="713"/>
    <d v="2026-06-01T00:00:00"/>
    <s v="CUST-0198"/>
    <s v="PROD-004"/>
    <x v="3"/>
    <x v="1"/>
    <n v="3"/>
    <n v="0"/>
    <x v="0"/>
    <n v="5"/>
    <n v="1"/>
    <x v="3"/>
    <x v="0"/>
    <n v="42"/>
    <n v="19"/>
    <x v="1"/>
    <n v="126"/>
    <n v="57"/>
    <n v="69"/>
    <n v="0.54761904761904767"/>
  </r>
  <r>
    <x v="714"/>
    <d v="2025-10-03T00:00:00"/>
    <s v="CUST-0284"/>
    <s v="PROD-004"/>
    <x v="3"/>
    <x v="0"/>
    <n v="4"/>
    <n v="0"/>
    <x v="0"/>
    <n v="2"/>
    <n v="7"/>
    <x v="3"/>
    <x v="0"/>
    <n v="42"/>
    <n v="19"/>
    <x v="1"/>
    <n v="168"/>
    <n v="76"/>
    <n v="92"/>
    <n v="0.54761904761904767"/>
  </r>
  <r>
    <x v="715"/>
    <d v="2025-05-26T00:00:00"/>
    <s v="CUST-0192"/>
    <s v="PROD-006"/>
    <x v="0"/>
    <x v="0"/>
    <n v="2"/>
    <n v="0.15"/>
    <x v="0"/>
    <n v="1"/>
    <n v="7"/>
    <x v="7"/>
    <x v="0"/>
    <n v="98"/>
    <n v="46"/>
    <x v="1"/>
    <n v="166.6"/>
    <n v="92"/>
    <n v="74.599999999999994"/>
    <n v="0.44777911164465783"/>
  </r>
  <r>
    <x v="716"/>
    <d v="2025-06-21T00:00:00"/>
    <s v="CUST-0001"/>
    <s v="PROD-002"/>
    <x v="0"/>
    <x v="0"/>
    <n v="3"/>
    <n v="0.15"/>
    <x v="0"/>
    <n v="4"/>
    <n v="2"/>
    <x v="0"/>
    <x v="0"/>
    <n v="310"/>
    <n v="190"/>
    <x v="0"/>
    <n v="790.5"/>
    <n v="570"/>
    <n v="220.5"/>
    <n v="0.27893738140417457"/>
  </r>
  <r>
    <x v="717"/>
    <d v="2026-08-23T00:00:00"/>
    <s v="CUST-0262"/>
    <s v="PROD-010"/>
    <x v="2"/>
    <x v="0"/>
    <n v="3"/>
    <n v="0"/>
    <x v="0"/>
    <n v="3"/>
    <n v="2"/>
    <x v="13"/>
    <x v="2"/>
    <n v="48"/>
    <n v="22"/>
    <x v="2"/>
    <n v="144"/>
    <n v="66"/>
    <n v="78"/>
    <n v="0.54166666666666663"/>
  </r>
  <r>
    <x v="718"/>
    <d v="2026-07-24T00:00:00"/>
    <s v="CUST-0144"/>
    <s v="PROD-014"/>
    <x v="2"/>
    <x v="0"/>
    <n v="4"/>
    <n v="0.15"/>
    <x v="1"/>
    <n v="5"/>
    <n v="7"/>
    <x v="5"/>
    <x v="3"/>
    <n v="17"/>
    <n v="8"/>
    <x v="2"/>
    <n v="57.8"/>
    <n v="32"/>
    <n v="25.799999999999997"/>
    <n v="0.44636678200692037"/>
  </r>
  <r>
    <x v="719"/>
    <d v="2025-09-09T00:00:00"/>
    <s v="CUST-0165"/>
    <s v="PROD-011"/>
    <x v="2"/>
    <x v="2"/>
    <n v="2"/>
    <n v="0.15"/>
    <x v="0"/>
    <n v="5"/>
    <n v="5"/>
    <x v="8"/>
    <x v="2"/>
    <n v="85"/>
    <n v="39"/>
    <x v="2"/>
    <n v="144.5"/>
    <n v="78"/>
    <n v="66.5"/>
    <n v="0.46020761245674741"/>
  </r>
  <r>
    <x v="720"/>
    <d v="2026-05-03T00:00:00"/>
    <s v="CUST-0003"/>
    <s v="PROD-001"/>
    <x v="1"/>
    <x v="1"/>
    <n v="6"/>
    <n v="0.1"/>
    <x v="0"/>
    <n v="4"/>
    <n v="1"/>
    <x v="2"/>
    <x v="0"/>
    <n v="1100"/>
    <n v="720"/>
    <x v="1"/>
    <n v="5940"/>
    <n v="4320"/>
    <n v="1620"/>
    <n v="0.27272727272727271"/>
  </r>
  <r>
    <x v="721"/>
    <d v="2026-07-06T00:00:00"/>
    <s v="CUST-0016"/>
    <s v="PROD-015"/>
    <x v="1"/>
    <x v="1"/>
    <n v="4"/>
    <n v="0.1"/>
    <x v="0"/>
    <n v="3"/>
    <n v="1"/>
    <x v="12"/>
    <x v="3"/>
    <n v="23"/>
    <n v="10"/>
    <x v="0"/>
    <n v="82.8"/>
    <n v="40"/>
    <n v="42.8"/>
    <n v="0.51690821256038644"/>
  </r>
  <r>
    <x v="722"/>
    <d v="2025-05-08T00:00:00"/>
    <s v="CUST-0237"/>
    <s v="PROD-012"/>
    <x v="0"/>
    <x v="1"/>
    <n v="1"/>
    <n v="0"/>
    <x v="0"/>
    <n v="5"/>
    <n v="3"/>
    <x v="11"/>
    <x v="2"/>
    <n v="68"/>
    <n v="31"/>
    <x v="2"/>
    <n v="68"/>
    <n v="31"/>
    <n v="37"/>
    <n v="0.54411764705882348"/>
  </r>
  <r>
    <x v="723"/>
    <d v="2025-07-16T00:00:00"/>
    <s v="CUST-0047"/>
    <s v="PROD-010"/>
    <x v="0"/>
    <x v="1"/>
    <n v="8"/>
    <n v="0.2"/>
    <x v="0"/>
    <n v="4"/>
    <n v="5"/>
    <x v="13"/>
    <x v="2"/>
    <n v="48"/>
    <n v="22"/>
    <x v="1"/>
    <n v="307.20000000000005"/>
    <n v="176"/>
    <n v="131.20000000000005"/>
    <n v="0.42708333333333343"/>
  </r>
  <r>
    <x v="724"/>
    <d v="2025-08-03T00:00:00"/>
    <s v="CUST-0004"/>
    <s v="PROD-007"/>
    <x v="0"/>
    <x v="0"/>
    <n v="1"/>
    <n v="0"/>
    <x v="0"/>
    <n v="3"/>
    <n v="2"/>
    <x v="6"/>
    <x v="1"/>
    <n v="540"/>
    <n v="320"/>
    <x v="1"/>
    <n v="540"/>
    <n v="320"/>
    <n v="220"/>
    <n v="0.40740740740740738"/>
  </r>
  <r>
    <x v="725"/>
    <d v="2026-08-03T00:00:00"/>
    <s v="CUST-0290"/>
    <s v="PROD-006"/>
    <x v="2"/>
    <x v="1"/>
    <n v="1"/>
    <n v="0"/>
    <x v="0"/>
    <n v="3"/>
    <n v="5"/>
    <x v="7"/>
    <x v="0"/>
    <n v="98"/>
    <n v="46"/>
    <x v="1"/>
    <n v="98"/>
    <n v="46"/>
    <n v="52"/>
    <n v="0.53061224489795922"/>
  </r>
  <r>
    <x v="726"/>
    <d v="2025-10-08T00:00:00"/>
    <s v="CUST-0099"/>
    <s v="PROD-001"/>
    <x v="0"/>
    <x v="0"/>
    <n v="2"/>
    <n v="0"/>
    <x v="0"/>
    <n v="4"/>
    <n v="4"/>
    <x v="2"/>
    <x v="0"/>
    <n v="1100"/>
    <n v="720"/>
    <x v="2"/>
    <n v="2200"/>
    <n v="1440"/>
    <n v="760"/>
    <n v="0.34545454545454546"/>
  </r>
  <r>
    <x v="727"/>
    <d v="2025-02-23T00:00:00"/>
    <s v="CUST-0166"/>
    <s v="PROD-014"/>
    <x v="0"/>
    <x v="1"/>
    <n v="1"/>
    <n v="0.05"/>
    <x v="0"/>
    <n v="4"/>
    <n v="1"/>
    <x v="5"/>
    <x v="3"/>
    <n v="17"/>
    <n v="8"/>
    <x v="1"/>
    <n v="16.149999999999999"/>
    <n v="8"/>
    <n v="8.1499999999999986"/>
    <n v="0.50464396284829716"/>
  </r>
  <r>
    <x v="728"/>
    <d v="2025-08-18T00:00:00"/>
    <s v="CUST-0025"/>
    <s v="PROD-009"/>
    <x v="0"/>
    <x v="0"/>
    <n v="1"/>
    <n v="0"/>
    <x v="0"/>
    <n v="5"/>
    <n v="1"/>
    <x v="14"/>
    <x v="1"/>
    <n v="185"/>
    <n v="105"/>
    <x v="2"/>
    <n v="185"/>
    <n v="105"/>
    <n v="80"/>
    <n v="0.43243243243243246"/>
  </r>
  <r>
    <x v="729"/>
    <d v="2025-08-20T00:00:00"/>
    <s v="CUST-0217"/>
    <s v="PROD-003"/>
    <x v="0"/>
    <x v="1"/>
    <n v="2"/>
    <n v="0"/>
    <x v="0"/>
    <n v="1"/>
    <n v="5"/>
    <x v="10"/>
    <x v="0"/>
    <n v="75"/>
    <n v="38"/>
    <x v="0"/>
    <n v="150"/>
    <n v="76"/>
    <n v="74"/>
    <n v="0.49333333333333335"/>
  </r>
  <r>
    <x v="730"/>
    <d v="2026-08-30T00:00:00"/>
    <s v="CUST-0172"/>
    <s v="PROD-009"/>
    <x v="3"/>
    <x v="1"/>
    <n v="7"/>
    <n v="0.15"/>
    <x v="0"/>
    <n v="4"/>
    <n v="2"/>
    <x v="14"/>
    <x v="1"/>
    <n v="185"/>
    <n v="105"/>
    <x v="0"/>
    <n v="1100.75"/>
    <n v="735"/>
    <n v="365.75"/>
    <n v="0.33227344992050872"/>
  </r>
  <r>
    <x v="731"/>
    <d v="2025-03-16T00:00:00"/>
    <s v="CUST-0225"/>
    <s v="PROD-004"/>
    <x v="1"/>
    <x v="0"/>
    <n v="1"/>
    <n v="0"/>
    <x v="0"/>
    <n v="4"/>
    <n v="1"/>
    <x v="3"/>
    <x v="0"/>
    <n v="42"/>
    <n v="19"/>
    <x v="1"/>
    <n v="42"/>
    <n v="19"/>
    <n v="23"/>
    <n v="0.54761904761904767"/>
  </r>
  <r>
    <x v="732"/>
    <d v="2025-05-11T00:00:00"/>
    <s v="CUST-0032"/>
    <s v="PROD-015"/>
    <x v="2"/>
    <x v="0"/>
    <n v="2"/>
    <n v="0"/>
    <x v="0"/>
    <n v="2"/>
    <n v="8"/>
    <x v="12"/>
    <x v="3"/>
    <n v="23"/>
    <n v="10"/>
    <x v="0"/>
    <n v="46"/>
    <n v="20"/>
    <n v="26"/>
    <n v="0.56521739130434778"/>
  </r>
  <r>
    <x v="733"/>
    <d v="2025-04-09T00:00:00"/>
    <s v="CUST-0211"/>
    <s v="PROD-008"/>
    <x v="0"/>
    <x v="0"/>
    <n v="3"/>
    <n v="0"/>
    <x v="0"/>
    <n v="4"/>
    <n v="5"/>
    <x v="1"/>
    <x v="1"/>
    <n v="255"/>
    <n v="145"/>
    <x v="1"/>
    <n v="765"/>
    <n v="435"/>
    <n v="330"/>
    <n v="0.43137254901960786"/>
  </r>
  <r>
    <x v="734"/>
    <d v="2025-04-14T00:00:00"/>
    <s v="CUST-0174"/>
    <s v="PROD-001"/>
    <x v="4"/>
    <x v="1"/>
    <n v="1"/>
    <n v="0"/>
    <x v="0"/>
    <n v="2"/>
    <n v="4"/>
    <x v="2"/>
    <x v="0"/>
    <n v="1100"/>
    <n v="720"/>
    <x v="0"/>
    <n v="1100"/>
    <n v="720"/>
    <n v="380"/>
    <n v="0.34545454545454546"/>
  </r>
  <r>
    <x v="735"/>
    <d v="2026-06-06T00:00:00"/>
    <s v="CUST-0132"/>
    <s v="PROD-012"/>
    <x v="4"/>
    <x v="0"/>
    <n v="2"/>
    <n v="0"/>
    <x v="0"/>
    <n v="2"/>
    <n v="7"/>
    <x v="11"/>
    <x v="2"/>
    <n v="68"/>
    <n v="31"/>
    <x v="1"/>
    <n v="136"/>
    <n v="62"/>
    <n v="74"/>
    <n v="0.54411764705882348"/>
  </r>
  <r>
    <x v="736"/>
    <d v="2026-06-10T00:00:00"/>
    <s v="CUST-0184"/>
    <s v="PROD-010"/>
    <x v="4"/>
    <x v="0"/>
    <n v="1"/>
    <n v="0.05"/>
    <x v="0"/>
    <n v="4"/>
    <n v="1"/>
    <x v="13"/>
    <x v="2"/>
    <n v="48"/>
    <n v="22"/>
    <x v="1"/>
    <n v="45.599999999999994"/>
    <n v="22"/>
    <n v="23.599999999999994"/>
    <n v="0.51754385964912275"/>
  </r>
  <r>
    <x v="737"/>
    <d v="2026-06-15T00:00:00"/>
    <s v="CUST-0075"/>
    <s v="PROD-002"/>
    <x v="3"/>
    <x v="0"/>
    <n v="3"/>
    <n v="0"/>
    <x v="0"/>
    <n v="5"/>
    <n v="2"/>
    <x v="0"/>
    <x v="0"/>
    <n v="310"/>
    <n v="190"/>
    <x v="0"/>
    <n v="930"/>
    <n v="570"/>
    <n v="360"/>
    <n v="0.38709677419354838"/>
  </r>
  <r>
    <x v="738"/>
    <d v="2025-03-12T00:00:00"/>
    <s v="CUST-0175"/>
    <s v="PROD-007"/>
    <x v="1"/>
    <x v="0"/>
    <n v="8"/>
    <n v="0.05"/>
    <x v="0"/>
    <n v="4"/>
    <n v="3"/>
    <x v="6"/>
    <x v="1"/>
    <n v="540"/>
    <n v="320"/>
    <x v="2"/>
    <n v="4104"/>
    <n v="2560"/>
    <n v="1544"/>
    <n v="0.37621832358674462"/>
  </r>
  <r>
    <x v="739"/>
    <d v="2025-11-03T00:00:00"/>
    <s v="CUST-0215"/>
    <s v="PROD-011"/>
    <x v="2"/>
    <x v="1"/>
    <n v="4"/>
    <n v="0"/>
    <x v="0"/>
    <n v="1"/>
    <n v="4"/>
    <x v="8"/>
    <x v="2"/>
    <n v="85"/>
    <n v="39"/>
    <x v="2"/>
    <n v="340"/>
    <n v="156"/>
    <n v="184"/>
    <n v="0.54117647058823526"/>
  </r>
  <r>
    <x v="740"/>
    <d v="2026-04-23T00:00:00"/>
    <s v="CUST-0110"/>
    <s v="PROD-008"/>
    <x v="4"/>
    <x v="0"/>
    <n v="4"/>
    <n v="0.1"/>
    <x v="0"/>
    <n v="4"/>
    <n v="1"/>
    <x v="1"/>
    <x v="1"/>
    <n v="255"/>
    <n v="145"/>
    <x v="2"/>
    <n v="918"/>
    <n v="580"/>
    <n v="338"/>
    <n v="0.36819172113289761"/>
  </r>
  <r>
    <x v="741"/>
    <d v="2026-01-07T00:00:00"/>
    <s v="CUST-0006"/>
    <s v="PROD-003"/>
    <x v="3"/>
    <x v="0"/>
    <n v="1"/>
    <n v="0"/>
    <x v="0"/>
    <n v="5"/>
    <n v="3"/>
    <x v="10"/>
    <x v="0"/>
    <n v="75"/>
    <n v="38"/>
    <x v="0"/>
    <n v="75"/>
    <n v="38"/>
    <n v="37"/>
    <n v="0.49333333333333335"/>
  </r>
  <r>
    <x v="742"/>
    <d v="2025-02-14T00:00:00"/>
    <s v="CUST-0016"/>
    <s v="PROD-007"/>
    <x v="2"/>
    <x v="1"/>
    <n v="5"/>
    <n v="0.1"/>
    <x v="0"/>
    <n v="4"/>
    <n v="2"/>
    <x v="6"/>
    <x v="1"/>
    <n v="540"/>
    <n v="320"/>
    <x v="0"/>
    <n v="2430"/>
    <n v="1600"/>
    <n v="830"/>
    <n v="0.34156378600823045"/>
  </r>
  <r>
    <x v="743"/>
    <d v="2025-07-20T00:00:00"/>
    <s v="CUST-0012"/>
    <s v="PROD-006"/>
    <x v="0"/>
    <x v="2"/>
    <n v="1"/>
    <n v="0.1"/>
    <x v="0"/>
    <n v="5"/>
    <n v="1"/>
    <x v="7"/>
    <x v="0"/>
    <n v="98"/>
    <n v="46"/>
    <x v="0"/>
    <n v="88.2"/>
    <n v="46"/>
    <n v="42.2"/>
    <n v="0.47845804988662133"/>
  </r>
  <r>
    <x v="744"/>
    <d v="2025-12-13T00:00:00"/>
    <s v="CUST-0108"/>
    <s v="PROD-010"/>
    <x v="4"/>
    <x v="1"/>
    <n v="2"/>
    <n v="0"/>
    <x v="0"/>
    <n v="5"/>
    <n v="5"/>
    <x v="13"/>
    <x v="2"/>
    <n v="48"/>
    <n v="22"/>
    <x v="1"/>
    <n v="96"/>
    <n v="44"/>
    <n v="52"/>
    <n v="0.54166666666666663"/>
  </r>
  <r>
    <x v="745"/>
    <d v="2026-03-21T00:00:00"/>
    <s v="CUST-0034"/>
    <s v="PROD-004"/>
    <x v="2"/>
    <x v="2"/>
    <n v="4"/>
    <n v="0"/>
    <x v="0"/>
    <n v="4"/>
    <n v="5"/>
    <x v="3"/>
    <x v="0"/>
    <n v="42"/>
    <n v="19"/>
    <x v="2"/>
    <n v="168"/>
    <n v="76"/>
    <n v="92"/>
    <n v="0.54761904761904767"/>
  </r>
  <r>
    <x v="746"/>
    <d v="2026-03-16T00:00:00"/>
    <s v="CUST-0126"/>
    <s v="PROD-002"/>
    <x v="1"/>
    <x v="0"/>
    <n v="5"/>
    <n v="0"/>
    <x v="0"/>
    <n v="3"/>
    <n v="3"/>
    <x v="0"/>
    <x v="0"/>
    <n v="310"/>
    <n v="190"/>
    <x v="1"/>
    <n v="1550"/>
    <n v="950"/>
    <n v="600"/>
    <n v="0.38709677419354838"/>
  </r>
  <r>
    <x v="747"/>
    <d v="2025-05-10T00:00:00"/>
    <s v="CUST-0261"/>
    <s v="PROD-016"/>
    <x v="2"/>
    <x v="1"/>
    <n v="2"/>
    <n v="0.1"/>
    <x v="0"/>
    <n v="4"/>
    <n v="5"/>
    <x v="9"/>
    <x v="3"/>
    <n v="28"/>
    <n v="12"/>
    <x v="2"/>
    <n v="50.4"/>
    <n v="24"/>
    <n v="26.4"/>
    <n v="0.52380952380952384"/>
  </r>
  <r>
    <x v="748"/>
    <d v="2026-01-19T00:00:00"/>
    <s v="CUST-0256"/>
    <s v="PROD-015"/>
    <x v="2"/>
    <x v="0"/>
    <n v="2"/>
    <n v="0.05"/>
    <x v="1"/>
    <n v="4"/>
    <n v="9"/>
    <x v="12"/>
    <x v="3"/>
    <n v="23"/>
    <n v="10"/>
    <x v="2"/>
    <n v="43.699999999999996"/>
    <n v="20"/>
    <n v="23.699999999999996"/>
    <n v="0.54233409610983974"/>
  </r>
  <r>
    <x v="749"/>
    <d v="2026-08-21T00:00:00"/>
    <s v="CUST-0019"/>
    <s v="PROD-007"/>
    <x v="2"/>
    <x v="1"/>
    <n v="5"/>
    <n v="0"/>
    <x v="0"/>
    <n v="5"/>
    <n v="5"/>
    <x v="6"/>
    <x v="1"/>
    <n v="540"/>
    <n v="320"/>
    <x v="2"/>
    <n v="2700"/>
    <n v="1600"/>
    <n v="1100"/>
    <n v="0.40740740740740738"/>
  </r>
  <r>
    <x v="750"/>
    <d v="2025-06-10T00:00:00"/>
    <s v="CUST-0192"/>
    <s v="PROD-009"/>
    <x v="4"/>
    <x v="1"/>
    <n v="1"/>
    <n v="0"/>
    <x v="0"/>
    <n v="4"/>
    <n v="4"/>
    <x v="14"/>
    <x v="1"/>
    <n v="185"/>
    <n v="105"/>
    <x v="1"/>
    <n v="185"/>
    <n v="105"/>
    <n v="80"/>
    <n v="0.43243243243243246"/>
  </r>
  <r>
    <x v="751"/>
    <d v="2026-06-09T00:00:00"/>
    <s v="CUST-0173"/>
    <s v="PROD-014"/>
    <x v="4"/>
    <x v="1"/>
    <n v="2"/>
    <n v="0.05"/>
    <x v="0"/>
    <n v="1"/>
    <n v="6"/>
    <x v="5"/>
    <x v="3"/>
    <n v="17"/>
    <n v="8"/>
    <x v="1"/>
    <n v="32.299999999999997"/>
    <n v="16"/>
    <n v="16.299999999999997"/>
    <n v="0.50464396284829716"/>
  </r>
  <r>
    <x v="752"/>
    <d v="2025-09-29T00:00:00"/>
    <s v="CUST-0039"/>
    <s v="PROD-012"/>
    <x v="0"/>
    <x v="1"/>
    <n v="2"/>
    <n v="0.05"/>
    <x v="0"/>
    <n v="4"/>
    <n v="2"/>
    <x v="11"/>
    <x v="2"/>
    <n v="68"/>
    <n v="31"/>
    <x v="2"/>
    <n v="129.19999999999999"/>
    <n v="62"/>
    <n v="67.199999999999989"/>
    <n v="0.52012383900928794"/>
  </r>
  <r>
    <x v="753"/>
    <d v="2025-04-11T00:00:00"/>
    <s v="CUST-0061"/>
    <s v="PROD-003"/>
    <x v="3"/>
    <x v="0"/>
    <n v="2"/>
    <n v="0.1"/>
    <x v="0"/>
    <n v="5"/>
    <n v="3"/>
    <x v="10"/>
    <x v="0"/>
    <n v="75"/>
    <n v="38"/>
    <x v="2"/>
    <n v="135"/>
    <n v="76"/>
    <n v="59"/>
    <n v="0.43703703703703706"/>
  </r>
  <r>
    <x v="754"/>
    <d v="2025-07-15T00:00:00"/>
    <s v="CUST-0071"/>
    <s v="PROD-009"/>
    <x v="2"/>
    <x v="1"/>
    <n v="5"/>
    <n v="0.1"/>
    <x v="0"/>
    <n v="4"/>
    <n v="5"/>
    <x v="14"/>
    <x v="1"/>
    <n v="185"/>
    <n v="105"/>
    <x v="1"/>
    <n v="832.5"/>
    <n v="525"/>
    <n v="307.5"/>
    <n v="0.36936936936936937"/>
  </r>
  <r>
    <x v="755"/>
    <d v="2025-01-13T00:00:00"/>
    <s v="CUST-0242"/>
    <s v="PROD-005"/>
    <x v="0"/>
    <x v="1"/>
    <n v="4"/>
    <n v="0"/>
    <x v="0"/>
    <n v="4"/>
    <n v="5"/>
    <x v="15"/>
    <x v="0"/>
    <n v="115"/>
    <n v="58"/>
    <x v="0"/>
    <n v="460"/>
    <n v="232"/>
    <n v="228"/>
    <n v="0.4956521739130435"/>
  </r>
  <r>
    <x v="756"/>
    <d v="2026-04-25T00:00:00"/>
    <s v="CUST-0237"/>
    <s v="PROD-011"/>
    <x v="0"/>
    <x v="1"/>
    <n v="1"/>
    <n v="0.1"/>
    <x v="0"/>
    <n v="3"/>
    <n v="4"/>
    <x v="8"/>
    <x v="2"/>
    <n v="85"/>
    <n v="39"/>
    <x v="2"/>
    <n v="76.5"/>
    <n v="39"/>
    <n v="37.5"/>
    <n v="0.49019607843137253"/>
  </r>
  <r>
    <x v="757"/>
    <d v="2026-07-26T00:00:00"/>
    <s v="CUST-0016"/>
    <s v="PROD-012"/>
    <x v="2"/>
    <x v="2"/>
    <n v="1"/>
    <n v="0.1"/>
    <x v="0"/>
    <n v="5"/>
    <n v="3"/>
    <x v="11"/>
    <x v="2"/>
    <n v="68"/>
    <n v="31"/>
    <x v="0"/>
    <n v="61.2"/>
    <n v="31"/>
    <n v="30.200000000000003"/>
    <n v="0.49346405228758172"/>
  </r>
  <r>
    <x v="758"/>
    <d v="2025-12-14T00:00:00"/>
    <s v="CUST-0116"/>
    <s v="PROD-014"/>
    <x v="4"/>
    <x v="0"/>
    <n v="4"/>
    <n v="0.1"/>
    <x v="0"/>
    <n v="4"/>
    <n v="5"/>
    <x v="5"/>
    <x v="3"/>
    <n v="17"/>
    <n v="8"/>
    <x v="2"/>
    <n v="61.2"/>
    <n v="32"/>
    <n v="29.200000000000003"/>
    <n v="0.47712418300653597"/>
  </r>
  <r>
    <x v="759"/>
    <d v="2025-02-02T00:00:00"/>
    <s v="CUST-0072"/>
    <s v="PROD-005"/>
    <x v="0"/>
    <x v="2"/>
    <n v="3"/>
    <n v="0.1"/>
    <x v="1"/>
    <n v="4"/>
    <n v="8"/>
    <x v="15"/>
    <x v="0"/>
    <n v="115"/>
    <n v="58"/>
    <x v="2"/>
    <n v="310.5"/>
    <n v="174"/>
    <n v="136.5"/>
    <n v="0.43961352657004832"/>
  </r>
  <r>
    <x v="760"/>
    <d v="2025-07-29T00:00:00"/>
    <s v="CUST-0201"/>
    <s v="PROD-003"/>
    <x v="4"/>
    <x v="1"/>
    <n v="1"/>
    <n v="0.05"/>
    <x v="0"/>
    <n v="5"/>
    <n v="1"/>
    <x v="10"/>
    <x v="0"/>
    <n v="75"/>
    <n v="38"/>
    <x v="2"/>
    <n v="71.25"/>
    <n v="38"/>
    <n v="33.25"/>
    <n v="0.46666666666666667"/>
  </r>
  <r>
    <x v="761"/>
    <d v="2025-06-25T00:00:00"/>
    <s v="CUST-0054"/>
    <s v="PROD-006"/>
    <x v="2"/>
    <x v="0"/>
    <n v="2"/>
    <n v="0"/>
    <x v="0"/>
    <n v="5"/>
    <n v="3"/>
    <x v="7"/>
    <x v="0"/>
    <n v="98"/>
    <n v="46"/>
    <x v="2"/>
    <n v="196"/>
    <n v="92"/>
    <n v="104"/>
    <n v="0.53061224489795922"/>
  </r>
  <r>
    <x v="762"/>
    <d v="2025-07-30T00:00:00"/>
    <s v="CUST-0120"/>
    <s v="PROD-010"/>
    <x v="1"/>
    <x v="1"/>
    <n v="1"/>
    <n v="0.05"/>
    <x v="0"/>
    <n v="5"/>
    <n v="4"/>
    <x v="13"/>
    <x v="2"/>
    <n v="48"/>
    <n v="22"/>
    <x v="1"/>
    <n v="45.599999999999994"/>
    <n v="22"/>
    <n v="23.599999999999994"/>
    <n v="0.51754385964912275"/>
  </r>
  <r>
    <x v="763"/>
    <d v="2026-02-05T00:00:00"/>
    <s v="CUST-0081"/>
    <s v="PROD-004"/>
    <x v="2"/>
    <x v="1"/>
    <n v="4"/>
    <n v="0"/>
    <x v="0"/>
    <n v="3"/>
    <n v="2"/>
    <x v="3"/>
    <x v="0"/>
    <n v="42"/>
    <n v="19"/>
    <x v="0"/>
    <n v="168"/>
    <n v="76"/>
    <n v="92"/>
    <n v="0.54761904761904767"/>
  </r>
  <r>
    <x v="764"/>
    <d v="2025-11-14T00:00:00"/>
    <s v="CUST-0222"/>
    <s v="PROD-016"/>
    <x v="2"/>
    <x v="0"/>
    <n v="1"/>
    <n v="0"/>
    <x v="0"/>
    <n v="4"/>
    <n v="2"/>
    <x v="9"/>
    <x v="3"/>
    <n v="28"/>
    <n v="12"/>
    <x v="0"/>
    <n v="28"/>
    <n v="12"/>
    <n v="16"/>
    <n v="0.5714285714285714"/>
  </r>
  <r>
    <x v="765"/>
    <d v="2025-01-08T00:00:00"/>
    <s v="CUST-0074"/>
    <s v="PROD-015"/>
    <x v="2"/>
    <x v="1"/>
    <n v="4"/>
    <n v="0.05"/>
    <x v="1"/>
    <n v="5"/>
    <n v="8"/>
    <x v="12"/>
    <x v="3"/>
    <n v="23"/>
    <n v="10"/>
    <x v="1"/>
    <n v="87.399999999999991"/>
    <n v="40"/>
    <n v="47.399999999999991"/>
    <n v="0.54233409610983974"/>
  </r>
  <r>
    <x v="766"/>
    <d v="2026-08-13T00:00:00"/>
    <s v="CUST-0021"/>
    <s v="PROD-003"/>
    <x v="3"/>
    <x v="2"/>
    <n v="2"/>
    <n v="0.1"/>
    <x v="0"/>
    <n v="4"/>
    <n v="5"/>
    <x v="10"/>
    <x v="0"/>
    <n v="75"/>
    <n v="38"/>
    <x v="2"/>
    <n v="135"/>
    <n v="76"/>
    <n v="59"/>
    <n v="0.43703703703703706"/>
  </r>
  <r>
    <x v="767"/>
    <d v="2025-06-29T00:00:00"/>
    <s v="CUST-0213"/>
    <s v="PROD-008"/>
    <x v="2"/>
    <x v="0"/>
    <n v="2"/>
    <n v="0"/>
    <x v="0"/>
    <n v="5"/>
    <n v="1"/>
    <x v="1"/>
    <x v="1"/>
    <n v="255"/>
    <n v="145"/>
    <x v="1"/>
    <n v="510"/>
    <n v="290"/>
    <n v="220"/>
    <n v="0.43137254901960786"/>
  </r>
  <r>
    <x v="768"/>
    <d v="2026-02-07T00:00:00"/>
    <s v="CUST-0023"/>
    <s v="PROD-008"/>
    <x v="0"/>
    <x v="1"/>
    <n v="5"/>
    <n v="0.05"/>
    <x v="0"/>
    <n v="2"/>
    <n v="6"/>
    <x v="1"/>
    <x v="1"/>
    <n v="255"/>
    <n v="145"/>
    <x v="1"/>
    <n v="1211.25"/>
    <n v="725"/>
    <n v="486.25"/>
    <n v="0.40144478844169246"/>
  </r>
  <r>
    <x v="769"/>
    <d v="2026-02-26T00:00:00"/>
    <s v="CUST-0284"/>
    <s v="PROD-004"/>
    <x v="0"/>
    <x v="1"/>
    <n v="1"/>
    <n v="0.1"/>
    <x v="0"/>
    <n v="4"/>
    <n v="3"/>
    <x v="3"/>
    <x v="0"/>
    <n v="42"/>
    <n v="19"/>
    <x v="1"/>
    <n v="37.800000000000004"/>
    <n v="19"/>
    <n v="18.800000000000004"/>
    <n v="0.49735449735449744"/>
  </r>
  <r>
    <x v="770"/>
    <d v="2025-08-01T00:00:00"/>
    <s v="CUST-0260"/>
    <s v="PROD-002"/>
    <x v="4"/>
    <x v="1"/>
    <n v="3"/>
    <n v="0.1"/>
    <x v="0"/>
    <n v="5"/>
    <n v="2"/>
    <x v="0"/>
    <x v="0"/>
    <n v="310"/>
    <n v="190"/>
    <x v="2"/>
    <n v="837"/>
    <n v="570"/>
    <n v="267"/>
    <n v="0.31899641577060933"/>
  </r>
  <r>
    <x v="771"/>
    <d v="2026-02-11T00:00:00"/>
    <s v="CUST-0020"/>
    <s v="PROD-001"/>
    <x v="3"/>
    <x v="0"/>
    <n v="1"/>
    <n v="0.1"/>
    <x v="0"/>
    <n v="4"/>
    <n v="1"/>
    <x v="2"/>
    <x v="0"/>
    <n v="1100"/>
    <n v="720"/>
    <x v="1"/>
    <n v="990"/>
    <n v="720"/>
    <n v="270"/>
    <n v="0.27272727272727271"/>
  </r>
  <r>
    <x v="772"/>
    <d v="2026-07-16T00:00:00"/>
    <s v="CUST-0125"/>
    <s v="PROD-015"/>
    <x v="2"/>
    <x v="0"/>
    <n v="5"/>
    <n v="0"/>
    <x v="0"/>
    <n v="2"/>
    <n v="4"/>
    <x v="12"/>
    <x v="3"/>
    <n v="23"/>
    <n v="10"/>
    <x v="1"/>
    <n v="115"/>
    <n v="50"/>
    <n v="65"/>
    <n v="0.56521739130434778"/>
  </r>
  <r>
    <x v="773"/>
    <d v="2026-07-02T00:00:00"/>
    <s v="CUST-0201"/>
    <s v="PROD-006"/>
    <x v="2"/>
    <x v="0"/>
    <n v="3"/>
    <n v="0"/>
    <x v="0"/>
    <n v="3"/>
    <n v="1"/>
    <x v="7"/>
    <x v="0"/>
    <n v="98"/>
    <n v="46"/>
    <x v="2"/>
    <n v="294"/>
    <n v="138"/>
    <n v="156"/>
    <n v="0.53061224489795922"/>
  </r>
  <r>
    <x v="774"/>
    <d v="2026-06-30T00:00:00"/>
    <s v="CUST-0111"/>
    <s v="PROD-015"/>
    <x v="1"/>
    <x v="2"/>
    <n v="4"/>
    <n v="0.05"/>
    <x v="0"/>
    <n v="5"/>
    <n v="4"/>
    <x v="12"/>
    <x v="3"/>
    <n v="23"/>
    <n v="10"/>
    <x v="2"/>
    <n v="87.399999999999991"/>
    <n v="40"/>
    <n v="47.399999999999991"/>
    <n v="0.54233409610983974"/>
  </r>
  <r>
    <x v="775"/>
    <d v="2025-11-12T00:00:00"/>
    <s v="CUST-0228"/>
    <s v="PROD-002"/>
    <x v="4"/>
    <x v="1"/>
    <n v="2"/>
    <n v="0"/>
    <x v="0"/>
    <n v="5"/>
    <n v="2"/>
    <x v="0"/>
    <x v="0"/>
    <n v="310"/>
    <n v="190"/>
    <x v="2"/>
    <n v="620"/>
    <n v="380"/>
    <n v="240"/>
    <n v="0.38709677419354838"/>
  </r>
  <r>
    <x v="776"/>
    <d v="2025-04-04T00:00:00"/>
    <s v="CUST-0009"/>
    <s v="PROD-014"/>
    <x v="2"/>
    <x v="1"/>
    <n v="5"/>
    <n v="0.1"/>
    <x v="0"/>
    <n v="5"/>
    <n v="1"/>
    <x v="5"/>
    <x v="3"/>
    <n v="17"/>
    <n v="8"/>
    <x v="1"/>
    <n v="76.5"/>
    <n v="40"/>
    <n v="36.5"/>
    <n v="0.47712418300653597"/>
  </r>
  <r>
    <x v="777"/>
    <d v="2025-06-21T00:00:00"/>
    <s v="CUST-0086"/>
    <s v="PROD-002"/>
    <x v="3"/>
    <x v="1"/>
    <n v="2"/>
    <n v="0.05"/>
    <x v="0"/>
    <n v="3"/>
    <n v="5"/>
    <x v="0"/>
    <x v="0"/>
    <n v="310"/>
    <n v="190"/>
    <x v="1"/>
    <n v="589"/>
    <n v="380"/>
    <n v="209"/>
    <n v="0.35483870967741937"/>
  </r>
  <r>
    <x v="778"/>
    <d v="2026-02-09T00:00:00"/>
    <s v="CUST-0220"/>
    <s v="PROD-004"/>
    <x v="3"/>
    <x v="1"/>
    <n v="2"/>
    <n v="0"/>
    <x v="0"/>
    <n v="1"/>
    <n v="6"/>
    <x v="3"/>
    <x v="0"/>
    <n v="42"/>
    <n v="19"/>
    <x v="1"/>
    <n v="84"/>
    <n v="38"/>
    <n v="46"/>
    <n v="0.54761904761904767"/>
  </r>
  <r>
    <x v="779"/>
    <d v="2025-08-14T00:00:00"/>
    <s v="CUST-0034"/>
    <s v="PROD-009"/>
    <x v="1"/>
    <x v="1"/>
    <n v="1"/>
    <n v="0"/>
    <x v="0"/>
    <n v="4"/>
    <n v="1"/>
    <x v="14"/>
    <x v="1"/>
    <n v="185"/>
    <n v="105"/>
    <x v="2"/>
    <n v="185"/>
    <n v="105"/>
    <n v="80"/>
    <n v="0.43243243243243246"/>
  </r>
  <r>
    <x v="780"/>
    <d v="2026-07-04T00:00:00"/>
    <s v="CUST-0292"/>
    <s v="PROD-006"/>
    <x v="3"/>
    <x v="1"/>
    <n v="2"/>
    <n v="0.05"/>
    <x v="0"/>
    <n v="5"/>
    <n v="2"/>
    <x v="7"/>
    <x v="0"/>
    <n v="98"/>
    <n v="46"/>
    <x v="0"/>
    <n v="186.2"/>
    <n v="92"/>
    <n v="94.199999999999989"/>
    <n v="0.50590762620837804"/>
  </r>
  <r>
    <x v="781"/>
    <d v="2025-12-07T00:00:00"/>
    <s v="CUST-0090"/>
    <s v="PROD-011"/>
    <x v="0"/>
    <x v="0"/>
    <n v="1"/>
    <n v="0"/>
    <x v="1"/>
    <n v="4"/>
    <n v="7"/>
    <x v="8"/>
    <x v="2"/>
    <n v="85"/>
    <n v="39"/>
    <x v="1"/>
    <n v="85"/>
    <n v="39"/>
    <n v="46"/>
    <n v="0.54117647058823526"/>
  </r>
  <r>
    <x v="782"/>
    <d v="2026-05-31T00:00:00"/>
    <s v="CUST-0007"/>
    <s v="PROD-008"/>
    <x v="2"/>
    <x v="0"/>
    <n v="1"/>
    <n v="0"/>
    <x v="0"/>
    <n v="3"/>
    <n v="1"/>
    <x v="1"/>
    <x v="1"/>
    <n v="255"/>
    <n v="145"/>
    <x v="2"/>
    <n v="255"/>
    <n v="145"/>
    <n v="110"/>
    <n v="0.43137254901960786"/>
  </r>
  <r>
    <x v="783"/>
    <d v="2025-03-03T00:00:00"/>
    <s v="CUST-0071"/>
    <s v="PROD-012"/>
    <x v="4"/>
    <x v="1"/>
    <n v="2"/>
    <n v="0.05"/>
    <x v="0"/>
    <n v="5"/>
    <n v="4"/>
    <x v="11"/>
    <x v="2"/>
    <n v="68"/>
    <n v="31"/>
    <x v="1"/>
    <n v="129.19999999999999"/>
    <n v="62"/>
    <n v="67.199999999999989"/>
    <n v="0.52012383900928794"/>
  </r>
  <r>
    <x v="784"/>
    <d v="2025-12-03T00:00:00"/>
    <s v="CUST-0069"/>
    <s v="PROD-009"/>
    <x v="3"/>
    <x v="0"/>
    <n v="1"/>
    <n v="0.1"/>
    <x v="0"/>
    <n v="5"/>
    <n v="1"/>
    <x v="14"/>
    <x v="1"/>
    <n v="185"/>
    <n v="105"/>
    <x v="1"/>
    <n v="166.5"/>
    <n v="105"/>
    <n v="61.5"/>
    <n v="0.36936936936936937"/>
  </r>
  <r>
    <x v="785"/>
    <d v="2025-08-23T00:00:00"/>
    <s v="CUST-0170"/>
    <s v="PROD-011"/>
    <x v="3"/>
    <x v="0"/>
    <n v="6"/>
    <n v="0.1"/>
    <x v="0"/>
    <n v="5"/>
    <n v="2"/>
    <x v="8"/>
    <x v="2"/>
    <n v="85"/>
    <n v="39"/>
    <x v="1"/>
    <n v="459"/>
    <n v="234"/>
    <n v="225"/>
    <n v="0.49019607843137253"/>
  </r>
  <r>
    <x v="786"/>
    <d v="2026-01-26T00:00:00"/>
    <s v="CUST-0267"/>
    <s v="PROD-011"/>
    <x v="2"/>
    <x v="0"/>
    <n v="1"/>
    <n v="0.05"/>
    <x v="1"/>
    <n v="2"/>
    <n v="4"/>
    <x v="8"/>
    <x v="2"/>
    <n v="85"/>
    <n v="39"/>
    <x v="0"/>
    <n v="80.75"/>
    <n v="39"/>
    <n v="41.75"/>
    <n v="0.51702786377708976"/>
  </r>
  <r>
    <x v="787"/>
    <d v="2025-05-09T00:00:00"/>
    <s v="CUST-0047"/>
    <s v="PROD-006"/>
    <x v="4"/>
    <x v="2"/>
    <n v="6"/>
    <n v="0"/>
    <x v="0"/>
    <n v="5"/>
    <n v="3"/>
    <x v="7"/>
    <x v="0"/>
    <n v="98"/>
    <n v="46"/>
    <x v="1"/>
    <n v="588"/>
    <n v="276"/>
    <n v="312"/>
    <n v="0.53061224489795922"/>
  </r>
  <r>
    <x v="788"/>
    <d v="2025-06-18T00:00:00"/>
    <s v="CUST-0102"/>
    <s v="PROD-008"/>
    <x v="4"/>
    <x v="0"/>
    <n v="1"/>
    <n v="0.05"/>
    <x v="1"/>
    <n v="3"/>
    <n v="5"/>
    <x v="1"/>
    <x v="1"/>
    <n v="255"/>
    <n v="145"/>
    <x v="0"/>
    <n v="242.25"/>
    <n v="145"/>
    <n v="97.25"/>
    <n v="0.40144478844169246"/>
  </r>
  <r>
    <x v="789"/>
    <d v="2026-01-04T00:00:00"/>
    <s v="CUST-0204"/>
    <s v="PROD-013"/>
    <x v="2"/>
    <x v="1"/>
    <n v="2"/>
    <n v="0.1"/>
    <x v="0"/>
    <n v="5"/>
    <n v="4"/>
    <x v="4"/>
    <x v="2"/>
    <n v="32"/>
    <n v="13"/>
    <x v="1"/>
    <n v="57.6"/>
    <n v="26"/>
    <n v="31.6"/>
    <n v="0.54861111111111116"/>
  </r>
  <r>
    <x v="790"/>
    <d v="2025-01-21T00:00:00"/>
    <s v="CUST-0196"/>
    <s v="PROD-014"/>
    <x v="0"/>
    <x v="0"/>
    <n v="6"/>
    <n v="0.05"/>
    <x v="0"/>
    <n v="5"/>
    <n v="3"/>
    <x v="5"/>
    <x v="3"/>
    <n v="17"/>
    <n v="8"/>
    <x v="2"/>
    <n v="96.899999999999991"/>
    <n v="48"/>
    <n v="48.899999999999991"/>
    <n v="0.50464396284829716"/>
  </r>
  <r>
    <x v="791"/>
    <d v="2026-01-25T00:00:00"/>
    <s v="CUST-0238"/>
    <s v="PROD-010"/>
    <x v="4"/>
    <x v="1"/>
    <n v="3"/>
    <n v="0"/>
    <x v="0"/>
    <n v="4"/>
    <n v="2"/>
    <x v="13"/>
    <x v="2"/>
    <n v="48"/>
    <n v="22"/>
    <x v="1"/>
    <n v="144"/>
    <n v="66"/>
    <n v="78"/>
    <n v="0.54166666666666663"/>
  </r>
  <r>
    <x v="792"/>
    <d v="2025-07-14T00:00:00"/>
    <s v="CUST-0003"/>
    <s v="PROD-001"/>
    <x v="0"/>
    <x v="0"/>
    <n v="2"/>
    <n v="0"/>
    <x v="0"/>
    <n v="4"/>
    <n v="3"/>
    <x v="2"/>
    <x v="0"/>
    <n v="1100"/>
    <n v="720"/>
    <x v="1"/>
    <n v="2200"/>
    <n v="1440"/>
    <n v="760"/>
    <n v="0.34545454545454546"/>
  </r>
  <r>
    <x v="793"/>
    <d v="2026-01-29T00:00:00"/>
    <s v="CUST-0251"/>
    <s v="PROD-010"/>
    <x v="1"/>
    <x v="0"/>
    <n v="2"/>
    <n v="0"/>
    <x v="1"/>
    <n v="4"/>
    <n v="7"/>
    <x v="13"/>
    <x v="2"/>
    <n v="48"/>
    <n v="22"/>
    <x v="1"/>
    <n v="96"/>
    <n v="44"/>
    <n v="52"/>
    <n v="0.54166666666666663"/>
  </r>
  <r>
    <x v="794"/>
    <d v="2025-07-18T00:00:00"/>
    <s v="CUST-0224"/>
    <s v="PROD-009"/>
    <x v="0"/>
    <x v="0"/>
    <n v="2"/>
    <n v="0.1"/>
    <x v="0"/>
    <n v="4"/>
    <n v="1"/>
    <x v="14"/>
    <x v="1"/>
    <n v="185"/>
    <n v="105"/>
    <x v="0"/>
    <n v="333"/>
    <n v="210"/>
    <n v="123"/>
    <n v="0.36936936936936937"/>
  </r>
  <r>
    <x v="795"/>
    <d v="2026-01-30T00:00:00"/>
    <s v="CUST-0218"/>
    <s v="PROD-008"/>
    <x v="3"/>
    <x v="1"/>
    <n v="4"/>
    <n v="0.05"/>
    <x v="0"/>
    <n v="5"/>
    <n v="2"/>
    <x v="1"/>
    <x v="1"/>
    <n v="255"/>
    <n v="145"/>
    <x v="0"/>
    <n v="969"/>
    <n v="580"/>
    <n v="389"/>
    <n v="0.40144478844169246"/>
  </r>
  <r>
    <x v="796"/>
    <d v="2025-09-25T00:00:00"/>
    <s v="CUST-0234"/>
    <s v="PROD-005"/>
    <x v="3"/>
    <x v="0"/>
    <n v="7"/>
    <n v="0.15"/>
    <x v="0"/>
    <n v="5"/>
    <n v="4"/>
    <x v="15"/>
    <x v="0"/>
    <n v="115"/>
    <n v="58"/>
    <x v="0"/>
    <n v="684.25"/>
    <n v="406"/>
    <n v="278.25"/>
    <n v="0.40664961636828645"/>
  </r>
  <r>
    <x v="797"/>
    <d v="2026-02-12T00:00:00"/>
    <s v="CUST-0042"/>
    <s v="PROD-007"/>
    <x v="0"/>
    <x v="1"/>
    <n v="2"/>
    <n v="0.1"/>
    <x v="0"/>
    <n v="4"/>
    <n v="4"/>
    <x v="6"/>
    <x v="1"/>
    <n v="540"/>
    <n v="320"/>
    <x v="1"/>
    <n v="972"/>
    <n v="640"/>
    <n v="332"/>
    <n v="0.34156378600823045"/>
  </r>
  <r>
    <x v="798"/>
    <d v="2026-08-24T00:00:00"/>
    <s v="CUST-0158"/>
    <s v="PROD-014"/>
    <x v="1"/>
    <x v="2"/>
    <n v="5"/>
    <n v="0"/>
    <x v="0"/>
    <n v="5"/>
    <n v="2"/>
    <x v="5"/>
    <x v="3"/>
    <n v="17"/>
    <n v="8"/>
    <x v="0"/>
    <n v="85"/>
    <n v="40"/>
    <n v="45"/>
    <n v="0.52941176470588236"/>
  </r>
  <r>
    <x v="799"/>
    <d v="2025-10-03T00:00:00"/>
    <s v="CUST-0108"/>
    <s v="PROD-013"/>
    <x v="1"/>
    <x v="1"/>
    <n v="1"/>
    <n v="0.05"/>
    <x v="0"/>
    <n v="5"/>
    <n v="4"/>
    <x v="4"/>
    <x v="2"/>
    <n v="32"/>
    <n v="13"/>
    <x v="1"/>
    <n v="30.4"/>
    <n v="13"/>
    <n v="17.399999999999999"/>
    <n v="0.57236842105263153"/>
  </r>
  <r>
    <x v="800"/>
    <d v="2026-06-22T00:00:00"/>
    <s v="CUST-0214"/>
    <s v="PROD-010"/>
    <x v="1"/>
    <x v="1"/>
    <n v="2"/>
    <n v="0.1"/>
    <x v="0"/>
    <n v="3"/>
    <n v="1"/>
    <x v="13"/>
    <x v="2"/>
    <n v="48"/>
    <n v="22"/>
    <x v="1"/>
    <n v="86.4"/>
    <n v="44"/>
    <n v="42.400000000000006"/>
    <n v="0.49074074074074076"/>
  </r>
  <r>
    <x v="801"/>
    <d v="2026-04-07T00:00:00"/>
    <s v="CUST-0291"/>
    <s v="PROD-007"/>
    <x v="2"/>
    <x v="1"/>
    <n v="1"/>
    <n v="0.1"/>
    <x v="0"/>
    <n v="5"/>
    <n v="4"/>
    <x v="6"/>
    <x v="1"/>
    <n v="540"/>
    <n v="320"/>
    <x v="1"/>
    <n v="486"/>
    <n v="320"/>
    <n v="166"/>
    <n v="0.34156378600823045"/>
  </r>
  <r>
    <x v="802"/>
    <d v="2026-03-28T00:00:00"/>
    <s v="CUST-0056"/>
    <s v="PROD-006"/>
    <x v="2"/>
    <x v="1"/>
    <n v="1"/>
    <n v="0"/>
    <x v="0"/>
    <n v="3"/>
    <n v="4"/>
    <x v="7"/>
    <x v="0"/>
    <n v="98"/>
    <n v="46"/>
    <x v="0"/>
    <n v="98"/>
    <n v="46"/>
    <n v="52"/>
    <n v="0.53061224489795922"/>
  </r>
  <r>
    <x v="803"/>
    <d v="2025-04-14T00:00:00"/>
    <s v="CUST-0005"/>
    <s v="PROD-002"/>
    <x v="3"/>
    <x v="2"/>
    <n v="3"/>
    <n v="0.1"/>
    <x v="0"/>
    <n v="3"/>
    <n v="1"/>
    <x v="0"/>
    <x v="0"/>
    <n v="310"/>
    <n v="190"/>
    <x v="0"/>
    <n v="837"/>
    <n v="570"/>
    <n v="267"/>
    <n v="0.31899641577060933"/>
  </r>
  <r>
    <x v="804"/>
    <d v="2026-01-20T00:00:00"/>
    <s v="CUST-0267"/>
    <s v="PROD-009"/>
    <x v="0"/>
    <x v="1"/>
    <n v="2"/>
    <n v="0"/>
    <x v="0"/>
    <n v="5"/>
    <n v="3"/>
    <x v="14"/>
    <x v="1"/>
    <n v="185"/>
    <n v="105"/>
    <x v="0"/>
    <n v="370"/>
    <n v="210"/>
    <n v="160"/>
    <n v="0.43243243243243246"/>
  </r>
  <r>
    <x v="805"/>
    <d v="2025-09-03T00:00:00"/>
    <s v="CUST-0185"/>
    <s v="PROD-013"/>
    <x v="3"/>
    <x v="1"/>
    <n v="2"/>
    <n v="0"/>
    <x v="0"/>
    <n v="4"/>
    <n v="4"/>
    <x v="4"/>
    <x v="2"/>
    <n v="32"/>
    <n v="13"/>
    <x v="1"/>
    <n v="64"/>
    <n v="26"/>
    <n v="38"/>
    <n v="0.59375"/>
  </r>
  <r>
    <x v="806"/>
    <d v="2025-05-23T00:00:00"/>
    <s v="CUST-0014"/>
    <s v="PROD-004"/>
    <x v="0"/>
    <x v="1"/>
    <n v="3"/>
    <n v="0.1"/>
    <x v="0"/>
    <n v="5"/>
    <n v="4"/>
    <x v="3"/>
    <x v="0"/>
    <n v="42"/>
    <n v="19"/>
    <x v="1"/>
    <n v="113.4"/>
    <n v="57"/>
    <n v="56.400000000000006"/>
    <n v="0.49735449735449738"/>
  </r>
  <r>
    <x v="807"/>
    <d v="2026-06-12T00:00:00"/>
    <s v="CUST-0212"/>
    <s v="PROD-007"/>
    <x v="2"/>
    <x v="0"/>
    <n v="7"/>
    <n v="0"/>
    <x v="0"/>
    <n v="5"/>
    <n v="3"/>
    <x v="6"/>
    <x v="1"/>
    <n v="540"/>
    <n v="320"/>
    <x v="0"/>
    <n v="3780"/>
    <n v="2240"/>
    <n v="1540"/>
    <n v="0.40740740740740738"/>
  </r>
  <r>
    <x v="808"/>
    <d v="2026-03-31T00:00:00"/>
    <s v="CUST-0120"/>
    <s v="PROD-016"/>
    <x v="3"/>
    <x v="0"/>
    <n v="1"/>
    <n v="0"/>
    <x v="1"/>
    <n v="5"/>
    <n v="5"/>
    <x v="9"/>
    <x v="3"/>
    <n v="28"/>
    <n v="12"/>
    <x v="1"/>
    <n v="28"/>
    <n v="12"/>
    <n v="16"/>
    <n v="0.5714285714285714"/>
  </r>
  <r>
    <x v="809"/>
    <d v="2025-10-28T00:00:00"/>
    <s v="CUST-0100"/>
    <s v="PROD-005"/>
    <x v="0"/>
    <x v="2"/>
    <n v="4"/>
    <n v="0.1"/>
    <x v="0"/>
    <n v="4"/>
    <n v="1"/>
    <x v="15"/>
    <x v="0"/>
    <n v="115"/>
    <n v="58"/>
    <x v="2"/>
    <n v="414"/>
    <n v="232"/>
    <n v="182"/>
    <n v="0.43961352657004832"/>
  </r>
  <r>
    <x v="810"/>
    <d v="2025-11-05T00:00:00"/>
    <s v="CUST-0281"/>
    <s v="PROD-015"/>
    <x v="2"/>
    <x v="1"/>
    <n v="1"/>
    <n v="0.1"/>
    <x v="0"/>
    <n v="3"/>
    <n v="1"/>
    <x v="12"/>
    <x v="3"/>
    <n v="23"/>
    <n v="10"/>
    <x v="0"/>
    <n v="20.7"/>
    <n v="10"/>
    <n v="10.7"/>
    <n v="0.51690821256038644"/>
  </r>
  <r>
    <x v="811"/>
    <d v="2025-04-19T00:00:00"/>
    <s v="CUST-0223"/>
    <s v="PROD-001"/>
    <x v="2"/>
    <x v="2"/>
    <n v="6"/>
    <n v="0.1"/>
    <x v="0"/>
    <n v="4"/>
    <n v="4"/>
    <x v="2"/>
    <x v="0"/>
    <n v="1100"/>
    <n v="720"/>
    <x v="0"/>
    <n v="5940"/>
    <n v="4320"/>
    <n v="1620"/>
    <n v="0.27272727272727271"/>
  </r>
  <r>
    <x v="812"/>
    <d v="2025-05-07T00:00:00"/>
    <s v="CUST-0070"/>
    <s v="PROD-016"/>
    <x v="2"/>
    <x v="0"/>
    <n v="5"/>
    <n v="0.15"/>
    <x v="0"/>
    <n v="4"/>
    <n v="3"/>
    <x v="9"/>
    <x v="3"/>
    <n v="28"/>
    <n v="12"/>
    <x v="1"/>
    <n v="119"/>
    <n v="60"/>
    <n v="59"/>
    <n v="0.49579831932773111"/>
  </r>
  <r>
    <x v="813"/>
    <d v="2026-01-22T00:00:00"/>
    <s v="CUST-0196"/>
    <s v="PROD-014"/>
    <x v="0"/>
    <x v="1"/>
    <n v="1"/>
    <n v="0"/>
    <x v="0"/>
    <n v="5"/>
    <n v="2"/>
    <x v="5"/>
    <x v="3"/>
    <n v="17"/>
    <n v="8"/>
    <x v="2"/>
    <n v="17"/>
    <n v="8"/>
    <n v="9"/>
    <n v="0.52941176470588236"/>
  </r>
  <r>
    <x v="814"/>
    <d v="2025-04-29T00:00:00"/>
    <s v="CUST-0294"/>
    <s v="PROD-012"/>
    <x v="2"/>
    <x v="1"/>
    <n v="2"/>
    <n v="0.1"/>
    <x v="0"/>
    <n v="4"/>
    <n v="2"/>
    <x v="11"/>
    <x v="2"/>
    <n v="68"/>
    <n v="31"/>
    <x v="1"/>
    <n v="122.4"/>
    <n v="62"/>
    <n v="60.400000000000006"/>
    <n v="0.49346405228758172"/>
  </r>
  <r>
    <x v="815"/>
    <d v="2026-02-02T00:00:00"/>
    <s v="CUST-0217"/>
    <s v="PROD-011"/>
    <x v="0"/>
    <x v="0"/>
    <n v="6"/>
    <n v="0"/>
    <x v="0"/>
    <n v="4"/>
    <n v="1"/>
    <x v="8"/>
    <x v="2"/>
    <n v="85"/>
    <n v="39"/>
    <x v="0"/>
    <n v="510"/>
    <n v="234"/>
    <n v="276"/>
    <n v="0.54117647058823526"/>
  </r>
  <r>
    <x v="816"/>
    <d v="2026-02-09T00:00:00"/>
    <s v="CUST-0005"/>
    <s v="PROD-015"/>
    <x v="3"/>
    <x v="0"/>
    <n v="1"/>
    <n v="0"/>
    <x v="0"/>
    <n v="3"/>
    <n v="3"/>
    <x v="12"/>
    <x v="3"/>
    <n v="23"/>
    <n v="10"/>
    <x v="0"/>
    <n v="23"/>
    <n v="10"/>
    <n v="13"/>
    <n v="0.56521739130434778"/>
  </r>
  <r>
    <x v="817"/>
    <d v="2025-05-30T00:00:00"/>
    <s v="CUST-0018"/>
    <s v="PROD-011"/>
    <x v="3"/>
    <x v="2"/>
    <n v="1"/>
    <n v="0.2"/>
    <x v="0"/>
    <n v="4"/>
    <n v="2"/>
    <x v="8"/>
    <x v="2"/>
    <n v="85"/>
    <n v="39"/>
    <x v="0"/>
    <n v="68"/>
    <n v="39"/>
    <n v="29"/>
    <n v="0.4264705882352941"/>
  </r>
  <r>
    <x v="818"/>
    <d v="2026-05-22T00:00:00"/>
    <s v="CUST-0150"/>
    <s v="PROD-013"/>
    <x v="2"/>
    <x v="0"/>
    <n v="1"/>
    <n v="0.1"/>
    <x v="0"/>
    <n v="5"/>
    <n v="2"/>
    <x v="4"/>
    <x v="2"/>
    <n v="32"/>
    <n v="13"/>
    <x v="1"/>
    <n v="28.8"/>
    <n v="13"/>
    <n v="15.8"/>
    <n v="0.54861111111111116"/>
  </r>
  <r>
    <x v="819"/>
    <d v="2025-02-23T00:00:00"/>
    <s v="CUST-0092"/>
    <s v="PROD-016"/>
    <x v="1"/>
    <x v="1"/>
    <n v="4"/>
    <n v="0.15"/>
    <x v="0"/>
    <n v="1"/>
    <n v="7"/>
    <x v="9"/>
    <x v="3"/>
    <n v="28"/>
    <n v="12"/>
    <x v="0"/>
    <n v="95.2"/>
    <n v="48"/>
    <n v="47.2"/>
    <n v="0.49579831932773111"/>
  </r>
  <r>
    <x v="820"/>
    <d v="2026-03-09T00:00:00"/>
    <s v="CUST-0243"/>
    <s v="PROD-012"/>
    <x v="1"/>
    <x v="1"/>
    <n v="2"/>
    <n v="0"/>
    <x v="0"/>
    <n v="3"/>
    <n v="5"/>
    <x v="11"/>
    <x v="2"/>
    <n v="68"/>
    <n v="31"/>
    <x v="0"/>
    <n v="136"/>
    <n v="62"/>
    <n v="74"/>
    <n v="0.54411764705882348"/>
  </r>
  <r>
    <x v="821"/>
    <d v="2026-02-08T00:00:00"/>
    <s v="CUST-0050"/>
    <s v="PROD-005"/>
    <x v="3"/>
    <x v="0"/>
    <n v="5"/>
    <n v="0"/>
    <x v="1"/>
    <n v="4"/>
    <n v="4"/>
    <x v="15"/>
    <x v="0"/>
    <n v="115"/>
    <n v="58"/>
    <x v="1"/>
    <n v="575"/>
    <n v="290"/>
    <n v="285"/>
    <n v="0.4956521739130435"/>
  </r>
  <r>
    <x v="822"/>
    <d v="2026-03-29T00:00:00"/>
    <s v="CUST-0248"/>
    <s v="PROD-010"/>
    <x v="0"/>
    <x v="1"/>
    <n v="4"/>
    <n v="0"/>
    <x v="0"/>
    <n v="4"/>
    <n v="5"/>
    <x v="13"/>
    <x v="2"/>
    <n v="48"/>
    <n v="22"/>
    <x v="1"/>
    <n v="192"/>
    <n v="88"/>
    <n v="104"/>
    <n v="0.54166666666666663"/>
  </r>
  <r>
    <x v="823"/>
    <d v="2025-04-15T00:00:00"/>
    <s v="CUST-0076"/>
    <s v="PROD-013"/>
    <x v="0"/>
    <x v="1"/>
    <n v="5"/>
    <n v="0.15"/>
    <x v="0"/>
    <n v="5"/>
    <n v="2"/>
    <x v="4"/>
    <x v="2"/>
    <n v="32"/>
    <n v="13"/>
    <x v="1"/>
    <n v="136"/>
    <n v="65"/>
    <n v="71"/>
    <n v="0.5220588235294118"/>
  </r>
  <r>
    <x v="824"/>
    <d v="2025-02-23T00:00:00"/>
    <s v="CUST-0061"/>
    <s v="PROD-011"/>
    <x v="4"/>
    <x v="2"/>
    <n v="3"/>
    <n v="0"/>
    <x v="0"/>
    <n v="3"/>
    <n v="4"/>
    <x v="8"/>
    <x v="2"/>
    <n v="85"/>
    <n v="39"/>
    <x v="2"/>
    <n v="255"/>
    <n v="117"/>
    <n v="138"/>
    <n v="0.54117647058823526"/>
  </r>
  <r>
    <x v="825"/>
    <d v="2025-11-06T00:00:00"/>
    <s v="CUST-0089"/>
    <s v="PROD-013"/>
    <x v="0"/>
    <x v="2"/>
    <n v="3"/>
    <n v="0"/>
    <x v="0"/>
    <n v="5"/>
    <n v="4"/>
    <x v="4"/>
    <x v="2"/>
    <n v="32"/>
    <n v="13"/>
    <x v="1"/>
    <n v="96"/>
    <n v="39"/>
    <n v="57"/>
    <n v="0.59375"/>
  </r>
  <r>
    <x v="826"/>
    <d v="2025-10-09T00:00:00"/>
    <s v="CUST-0228"/>
    <s v="PROD-012"/>
    <x v="2"/>
    <x v="1"/>
    <n v="1"/>
    <n v="0.05"/>
    <x v="0"/>
    <n v="3"/>
    <n v="5"/>
    <x v="11"/>
    <x v="2"/>
    <n v="68"/>
    <n v="31"/>
    <x v="2"/>
    <n v="64.599999999999994"/>
    <n v="31"/>
    <n v="33.599999999999994"/>
    <n v="0.52012383900928794"/>
  </r>
  <r>
    <x v="827"/>
    <d v="2026-08-10T00:00:00"/>
    <s v="CUST-0294"/>
    <s v="PROD-016"/>
    <x v="3"/>
    <x v="0"/>
    <n v="4"/>
    <n v="0"/>
    <x v="0"/>
    <n v="5"/>
    <n v="4"/>
    <x v="9"/>
    <x v="3"/>
    <n v="28"/>
    <n v="12"/>
    <x v="1"/>
    <n v="112"/>
    <n v="48"/>
    <n v="64"/>
    <n v="0.5714285714285714"/>
  </r>
  <r>
    <x v="828"/>
    <d v="2025-11-02T00:00:00"/>
    <s v="CUST-0293"/>
    <s v="PROD-005"/>
    <x v="2"/>
    <x v="1"/>
    <n v="6"/>
    <n v="0.1"/>
    <x v="0"/>
    <n v="5"/>
    <n v="1"/>
    <x v="15"/>
    <x v="0"/>
    <n v="115"/>
    <n v="58"/>
    <x v="0"/>
    <n v="621"/>
    <n v="348"/>
    <n v="273"/>
    <n v="0.43961352657004832"/>
  </r>
  <r>
    <x v="829"/>
    <d v="2026-02-08T00:00:00"/>
    <s v="CUST-0285"/>
    <s v="PROD-016"/>
    <x v="2"/>
    <x v="2"/>
    <n v="2"/>
    <n v="0.1"/>
    <x v="0"/>
    <n v="5"/>
    <n v="2"/>
    <x v="9"/>
    <x v="3"/>
    <n v="28"/>
    <n v="12"/>
    <x v="1"/>
    <n v="50.4"/>
    <n v="24"/>
    <n v="26.4"/>
    <n v="0.52380952380952384"/>
  </r>
  <r>
    <x v="830"/>
    <d v="2025-05-01T00:00:00"/>
    <s v="CUST-0093"/>
    <s v="PROD-006"/>
    <x v="2"/>
    <x v="1"/>
    <n v="1"/>
    <n v="0"/>
    <x v="0"/>
    <n v="5"/>
    <n v="1"/>
    <x v="7"/>
    <x v="0"/>
    <n v="98"/>
    <n v="46"/>
    <x v="0"/>
    <n v="98"/>
    <n v="46"/>
    <n v="52"/>
    <n v="0.53061224489795922"/>
  </r>
  <r>
    <x v="831"/>
    <d v="2026-07-30T00:00:00"/>
    <s v="CUST-0132"/>
    <s v="PROD-002"/>
    <x v="2"/>
    <x v="1"/>
    <n v="1"/>
    <n v="0.2"/>
    <x v="0"/>
    <n v="5"/>
    <n v="1"/>
    <x v="0"/>
    <x v="0"/>
    <n v="310"/>
    <n v="190"/>
    <x v="1"/>
    <n v="248"/>
    <n v="190"/>
    <n v="58"/>
    <n v="0.23387096774193547"/>
  </r>
  <r>
    <x v="832"/>
    <d v="2025-09-12T00:00:00"/>
    <s v="CUST-0154"/>
    <s v="PROD-002"/>
    <x v="0"/>
    <x v="0"/>
    <n v="4"/>
    <n v="0.05"/>
    <x v="0"/>
    <n v="4"/>
    <n v="3"/>
    <x v="0"/>
    <x v="0"/>
    <n v="310"/>
    <n v="190"/>
    <x v="0"/>
    <n v="1178"/>
    <n v="760"/>
    <n v="418"/>
    <n v="0.35483870967741937"/>
  </r>
  <r>
    <x v="833"/>
    <d v="2026-06-20T00:00:00"/>
    <s v="CUST-0181"/>
    <s v="PROD-007"/>
    <x v="1"/>
    <x v="0"/>
    <n v="1"/>
    <n v="0"/>
    <x v="0"/>
    <n v="5"/>
    <n v="2"/>
    <x v="6"/>
    <x v="1"/>
    <n v="540"/>
    <n v="320"/>
    <x v="0"/>
    <n v="540"/>
    <n v="320"/>
    <n v="220"/>
    <n v="0.40740740740740738"/>
  </r>
  <r>
    <x v="834"/>
    <d v="2025-05-18T00:00:00"/>
    <s v="CUST-0283"/>
    <s v="PROD-007"/>
    <x v="4"/>
    <x v="1"/>
    <n v="4"/>
    <n v="0"/>
    <x v="0"/>
    <n v="4"/>
    <n v="2"/>
    <x v="6"/>
    <x v="1"/>
    <n v="540"/>
    <n v="320"/>
    <x v="0"/>
    <n v="2160"/>
    <n v="1280"/>
    <n v="880"/>
    <n v="0.40740740740740738"/>
  </r>
  <r>
    <x v="835"/>
    <d v="2026-02-14T00:00:00"/>
    <s v="CUST-0234"/>
    <s v="PROD-003"/>
    <x v="0"/>
    <x v="0"/>
    <n v="7"/>
    <n v="0"/>
    <x v="0"/>
    <n v="5"/>
    <n v="3"/>
    <x v="10"/>
    <x v="0"/>
    <n v="75"/>
    <n v="38"/>
    <x v="0"/>
    <n v="525"/>
    <n v="266"/>
    <n v="259"/>
    <n v="0.49333333333333335"/>
  </r>
  <r>
    <x v="836"/>
    <d v="2025-07-17T00:00:00"/>
    <s v="CUST-0191"/>
    <s v="PROD-006"/>
    <x v="3"/>
    <x v="1"/>
    <n v="8"/>
    <n v="0"/>
    <x v="0"/>
    <n v="4"/>
    <n v="1"/>
    <x v="7"/>
    <x v="0"/>
    <n v="98"/>
    <n v="46"/>
    <x v="1"/>
    <n v="784"/>
    <n v="368"/>
    <n v="416"/>
    <n v="0.53061224489795922"/>
  </r>
  <r>
    <x v="837"/>
    <d v="2025-10-04T00:00:00"/>
    <s v="CUST-0064"/>
    <s v="PROD-004"/>
    <x v="1"/>
    <x v="1"/>
    <n v="2"/>
    <n v="0"/>
    <x v="0"/>
    <n v="5"/>
    <n v="2"/>
    <x v="3"/>
    <x v="0"/>
    <n v="42"/>
    <n v="19"/>
    <x v="0"/>
    <n v="84"/>
    <n v="38"/>
    <n v="46"/>
    <n v="0.54761904761904767"/>
  </r>
  <r>
    <x v="838"/>
    <d v="2025-08-20T00:00:00"/>
    <s v="CUST-0141"/>
    <s v="PROD-001"/>
    <x v="2"/>
    <x v="2"/>
    <n v="1"/>
    <n v="0.2"/>
    <x v="0"/>
    <n v="3"/>
    <n v="5"/>
    <x v="2"/>
    <x v="0"/>
    <n v="1100"/>
    <n v="720"/>
    <x v="1"/>
    <n v="880"/>
    <n v="720"/>
    <n v="160"/>
    <n v="0.18181818181818182"/>
  </r>
  <r>
    <x v="839"/>
    <d v="2025-11-10T00:00:00"/>
    <s v="CUST-0251"/>
    <s v="PROD-004"/>
    <x v="4"/>
    <x v="0"/>
    <n v="5"/>
    <n v="0.05"/>
    <x v="0"/>
    <n v="5"/>
    <n v="2"/>
    <x v="3"/>
    <x v="0"/>
    <n v="42"/>
    <n v="19"/>
    <x v="1"/>
    <n v="199.5"/>
    <n v="95"/>
    <n v="104.5"/>
    <n v="0.52380952380952384"/>
  </r>
  <r>
    <x v="840"/>
    <d v="2025-11-22T00:00:00"/>
    <s v="CUST-0200"/>
    <s v="PROD-006"/>
    <x v="3"/>
    <x v="0"/>
    <n v="7"/>
    <n v="0.05"/>
    <x v="0"/>
    <n v="5"/>
    <n v="4"/>
    <x v="7"/>
    <x v="0"/>
    <n v="98"/>
    <n v="46"/>
    <x v="2"/>
    <n v="651.69999999999993"/>
    <n v="322"/>
    <n v="329.69999999999993"/>
    <n v="0.50590762620837804"/>
  </r>
  <r>
    <x v="841"/>
    <d v="2026-08-30T00:00:00"/>
    <s v="CUST-0066"/>
    <s v="PROD-009"/>
    <x v="2"/>
    <x v="0"/>
    <n v="1"/>
    <n v="0"/>
    <x v="0"/>
    <n v="5"/>
    <n v="1"/>
    <x v="14"/>
    <x v="1"/>
    <n v="185"/>
    <n v="105"/>
    <x v="0"/>
    <n v="185"/>
    <n v="105"/>
    <n v="80"/>
    <n v="0.43243243243243246"/>
  </r>
  <r>
    <x v="842"/>
    <d v="2026-01-15T00:00:00"/>
    <s v="CUST-0128"/>
    <s v="PROD-014"/>
    <x v="1"/>
    <x v="1"/>
    <n v="8"/>
    <n v="0.1"/>
    <x v="0"/>
    <n v="4"/>
    <n v="4"/>
    <x v="5"/>
    <x v="3"/>
    <n v="17"/>
    <n v="8"/>
    <x v="2"/>
    <n v="122.4"/>
    <n v="64"/>
    <n v="58.400000000000006"/>
    <n v="0.47712418300653597"/>
  </r>
  <r>
    <x v="843"/>
    <d v="2026-06-18T00:00:00"/>
    <s v="CUST-0118"/>
    <s v="PROD-010"/>
    <x v="1"/>
    <x v="1"/>
    <n v="1"/>
    <n v="0.1"/>
    <x v="0"/>
    <n v="5"/>
    <n v="1"/>
    <x v="13"/>
    <x v="2"/>
    <n v="48"/>
    <n v="22"/>
    <x v="0"/>
    <n v="43.2"/>
    <n v="22"/>
    <n v="21.200000000000003"/>
    <n v="0.49074074074074076"/>
  </r>
  <r>
    <x v="844"/>
    <d v="2025-09-03T00:00:00"/>
    <s v="CUST-0048"/>
    <s v="PROD-006"/>
    <x v="4"/>
    <x v="1"/>
    <n v="1"/>
    <n v="0.15"/>
    <x v="0"/>
    <n v="1"/>
    <n v="6"/>
    <x v="7"/>
    <x v="0"/>
    <n v="98"/>
    <n v="46"/>
    <x v="1"/>
    <n v="83.3"/>
    <n v="46"/>
    <n v="37.299999999999997"/>
    <n v="0.44777911164465783"/>
  </r>
  <r>
    <x v="845"/>
    <d v="2026-05-07T00:00:00"/>
    <s v="CUST-0255"/>
    <s v="PROD-004"/>
    <x v="3"/>
    <x v="0"/>
    <n v="6"/>
    <n v="0.1"/>
    <x v="0"/>
    <n v="5"/>
    <n v="3"/>
    <x v="3"/>
    <x v="0"/>
    <n v="42"/>
    <n v="19"/>
    <x v="2"/>
    <n v="226.8"/>
    <n v="114"/>
    <n v="112.80000000000001"/>
    <n v="0.49735449735449738"/>
  </r>
  <r>
    <x v="846"/>
    <d v="2025-09-08T00:00:00"/>
    <s v="CUST-0271"/>
    <s v="PROD-002"/>
    <x v="1"/>
    <x v="2"/>
    <n v="3"/>
    <n v="0.15"/>
    <x v="0"/>
    <n v="3"/>
    <n v="1"/>
    <x v="0"/>
    <x v="0"/>
    <n v="310"/>
    <n v="190"/>
    <x v="2"/>
    <n v="790.5"/>
    <n v="570"/>
    <n v="220.5"/>
    <n v="0.27893738140417457"/>
  </r>
  <r>
    <x v="847"/>
    <d v="2026-01-11T00:00:00"/>
    <s v="CUST-0069"/>
    <s v="PROD-012"/>
    <x v="0"/>
    <x v="1"/>
    <n v="2"/>
    <n v="0"/>
    <x v="0"/>
    <n v="5"/>
    <n v="2"/>
    <x v="11"/>
    <x v="2"/>
    <n v="68"/>
    <n v="31"/>
    <x v="1"/>
    <n v="136"/>
    <n v="62"/>
    <n v="74"/>
    <n v="0.54411764705882348"/>
  </r>
  <r>
    <x v="848"/>
    <d v="2026-07-07T00:00:00"/>
    <s v="CUST-0061"/>
    <s v="PROD-010"/>
    <x v="3"/>
    <x v="1"/>
    <n v="1"/>
    <n v="0.1"/>
    <x v="0"/>
    <n v="3"/>
    <n v="3"/>
    <x v="13"/>
    <x v="2"/>
    <n v="48"/>
    <n v="22"/>
    <x v="2"/>
    <n v="43.2"/>
    <n v="22"/>
    <n v="21.200000000000003"/>
    <n v="0.49074074074074076"/>
  </r>
  <r>
    <x v="849"/>
    <d v="2026-06-12T00:00:00"/>
    <s v="CUST-0019"/>
    <s v="PROD-015"/>
    <x v="0"/>
    <x v="2"/>
    <n v="1"/>
    <n v="0"/>
    <x v="0"/>
    <n v="4"/>
    <n v="1"/>
    <x v="12"/>
    <x v="3"/>
    <n v="23"/>
    <n v="10"/>
    <x v="2"/>
    <n v="23"/>
    <n v="10"/>
    <n v="13"/>
    <n v="0.56521739130434778"/>
  </r>
  <r>
    <x v="850"/>
    <d v="2025-01-06T00:00:00"/>
    <s v="CUST-0180"/>
    <s v="PROD-006"/>
    <x v="3"/>
    <x v="1"/>
    <n v="2"/>
    <n v="0"/>
    <x v="0"/>
    <n v="5"/>
    <n v="4"/>
    <x v="7"/>
    <x v="0"/>
    <n v="98"/>
    <n v="46"/>
    <x v="1"/>
    <n v="196"/>
    <n v="92"/>
    <n v="104"/>
    <n v="0.53061224489795922"/>
  </r>
  <r>
    <x v="851"/>
    <d v="2025-05-07T00:00:00"/>
    <s v="CUST-0250"/>
    <s v="PROD-001"/>
    <x v="2"/>
    <x v="0"/>
    <n v="1"/>
    <n v="0"/>
    <x v="0"/>
    <n v="4"/>
    <n v="2"/>
    <x v="2"/>
    <x v="0"/>
    <n v="1100"/>
    <n v="720"/>
    <x v="1"/>
    <n v="1100"/>
    <n v="720"/>
    <n v="380"/>
    <n v="0.34545454545454546"/>
  </r>
  <r>
    <x v="852"/>
    <d v="2026-07-04T00:00:00"/>
    <s v="CUST-0138"/>
    <s v="PROD-004"/>
    <x v="0"/>
    <x v="0"/>
    <n v="2"/>
    <n v="0"/>
    <x v="0"/>
    <n v="1"/>
    <n v="3"/>
    <x v="3"/>
    <x v="0"/>
    <n v="42"/>
    <n v="19"/>
    <x v="0"/>
    <n v="84"/>
    <n v="38"/>
    <n v="46"/>
    <n v="0.54761904761904767"/>
  </r>
  <r>
    <x v="853"/>
    <d v="2025-07-14T00:00:00"/>
    <s v="CUST-0146"/>
    <s v="PROD-002"/>
    <x v="2"/>
    <x v="1"/>
    <n v="2"/>
    <n v="0"/>
    <x v="0"/>
    <n v="5"/>
    <n v="3"/>
    <x v="0"/>
    <x v="0"/>
    <n v="310"/>
    <n v="190"/>
    <x v="1"/>
    <n v="620"/>
    <n v="380"/>
    <n v="240"/>
    <n v="0.38709677419354838"/>
  </r>
  <r>
    <x v="854"/>
    <d v="2025-05-02T00:00:00"/>
    <s v="CUST-0216"/>
    <s v="PROD-016"/>
    <x v="4"/>
    <x v="0"/>
    <n v="4"/>
    <n v="0"/>
    <x v="0"/>
    <n v="5"/>
    <n v="5"/>
    <x v="9"/>
    <x v="3"/>
    <n v="28"/>
    <n v="12"/>
    <x v="2"/>
    <n v="112"/>
    <n v="48"/>
    <n v="64"/>
    <n v="0.5714285714285714"/>
  </r>
  <r>
    <x v="855"/>
    <d v="2026-02-03T00:00:00"/>
    <s v="CUST-0068"/>
    <s v="PROD-004"/>
    <x v="0"/>
    <x v="0"/>
    <n v="1"/>
    <n v="0"/>
    <x v="0"/>
    <n v="5"/>
    <n v="1"/>
    <x v="3"/>
    <x v="0"/>
    <n v="42"/>
    <n v="19"/>
    <x v="1"/>
    <n v="42"/>
    <n v="19"/>
    <n v="23"/>
    <n v="0.54761904761904767"/>
  </r>
  <r>
    <x v="856"/>
    <d v="2025-12-17T00:00:00"/>
    <s v="CUST-0220"/>
    <s v="PROD-001"/>
    <x v="4"/>
    <x v="1"/>
    <n v="2"/>
    <n v="0.1"/>
    <x v="0"/>
    <n v="3"/>
    <n v="5"/>
    <x v="2"/>
    <x v="0"/>
    <n v="1100"/>
    <n v="720"/>
    <x v="1"/>
    <n v="1980"/>
    <n v="1440"/>
    <n v="540"/>
    <n v="0.27272727272727271"/>
  </r>
  <r>
    <x v="857"/>
    <d v="2025-07-11T00:00:00"/>
    <s v="CUST-0128"/>
    <s v="PROD-009"/>
    <x v="1"/>
    <x v="2"/>
    <n v="8"/>
    <n v="0"/>
    <x v="0"/>
    <n v="3"/>
    <n v="1"/>
    <x v="14"/>
    <x v="1"/>
    <n v="185"/>
    <n v="105"/>
    <x v="2"/>
    <n v="1480"/>
    <n v="840"/>
    <n v="640"/>
    <n v="0.43243243243243246"/>
  </r>
  <r>
    <x v="858"/>
    <d v="2026-05-30T00:00:00"/>
    <s v="CUST-0093"/>
    <s v="PROD-007"/>
    <x v="0"/>
    <x v="0"/>
    <n v="3"/>
    <n v="0"/>
    <x v="0"/>
    <n v="1"/>
    <n v="4"/>
    <x v="6"/>
    <x v="1"/>
    <n v="540"/>
    <n v="320"/>
    <x v="0"/>
    <n v="1620"/>
    <n v="960"/>
    <n v="660"/>
    <n v="0.40740740740740738"/>
  </r>
  <r>
    <x v="859"/>
    <d v="2026-03-13T00:00:00"/>
    <s v="CUST-0010"/>
    <s v="PROD-007"/>
    <x v="2"/>
    <x v="1"/>
    <n v="2"/>
    <n v="0"/>
    <x v="0"/>
    <n v="3"/>
    <n v="3"/>
    <x v="6"/>
    <x v="1"/>
    <n v="540"/>
    <n v="320"/>
    <x v="1"/>
    <n v="1080"/>
    <n v="640"/>
    <n v="440"/>
    <n v="0.40740740740740738"/>
  </r>
  <r>
    <x v="860"/>
    <d v="2026-03-13T00:00:00"/>
    <s v="CUST-0246"/>
    <s v="PROD-002"/>
    <x v="4"/>
    <x v="0"/>
    <n v="1"/>
    <n v="0"/>
    <x v="0"/>
    <n v="4"/>
    <n v="4"/>
    <x v="0"/>
    <x v="0"/>
    <n v="310"/>
    <n v="190"/>
    <x v="0"/>
    <n v="310"/>
    <n v="190"/>
    <n v="120"/>
    <n v="0.38709677419354838"/>
  </r>
  <r>
    <x v="861"/>
    <d v="2025-09-10T00:00:00"/>
    <s v="CUST-0164"/>
    <s v="PROD-002"/>
    <x v="2"/>
    <x v="1"/>
    <n v="3"/>
    <n v="0"/>
    <x v="0"/>
    <n v="4"/>
    <n v="5"/>
    <x v="0"/>
    <x v="0"/>
    <n v="310"/>
    <n v="190"/>
    <x v="2"/>
    <n v="930"/>
    <n v="570"/>
    <n v="360"/>
    <n v="0.38709677419354838"/>
  </r>
  <r>
    <x v="862"/>
    <d v="2025-04-14T00:00:00"/>
    <s v="CUST-0221"/>
    <s v="PROD-006"/>
    <x v="3"/>
    <x v="0"/>
    <n v="2"/>
    <n v="0"/>
    <x v="0"/>
    <n v="5"/>
    <n v="2"/>
    <x v="7"/>
    <x v="0"/>
    <n v="98"/>
    <n v="46"/>
    <x v="2"/>
    <n v="196"/>
    <n v="92"/>
    <n v="104"/>
    <n v="0.53061224489795922"/>
  </r>
  <r>
    <x v="863"/>
    <d v="2025-12-06T00:00:00"/>
    <s v="CUST-0185"/>
    <s v="PROD-012"/>
    <x v="1"/>
    <x v="0"/>
    <n v="3"/>
    <n v="0"/>
    <x v="0"/>
    <n v="4"/>
    <n v="1"/>
    <x v="11"/>
    <x v="2"/>
    <n v="68"/>
    <n v="31"/>
    <x v="1"/>
    <n v="204"/>
    <n v="93"/>
    <n v="111"/>
    <n v="0.54411764705882348"/>
  </r>
  <r>
    <x v="864"/>
    <d v="2025-04-19T00:00:00"/>
    <s v="CUST-0067"/>
    <s v="PROD-004"/>
    <x v="2"/>
    <x v="2"/>
    <n v="5"/>
    <n v="0.1"/>
    <x v="0"/>
    <n v="4"/>
    <n v="1"/>
    <x v="3"/>
    <x v="0"/>
    <n v="42"/>
    <n v="19"/>
    <x v="1"/>
    <n v="189"/>
    <n v="95"/>
    <n v="94"/>
    <n v="0.49735449735449733"/>
  </r>
  <r>
    <x v="865"/>
    <d v="2025-03-18T00:00:00"/>
    <s v="CUST-0280"/>
    <s v="PROD-011"/>
    <x v="3"/>
    <x v="1"/>
    <n v="4"/>
    <n v="0.05"/>
    <x v="0"/>
    <n v="3"/>
    <n v="4"/>
    <x v="8"/>
    <x v="2"/>
    <n v="85"/>
    <n v="39"/>
    <x v="0"/>
    <n v="323"/>
    <n v="156"/>
    <n v="167"/>
    <n v="0.51702786377708976"/>
  </r>
  <r>
    <x v="866"/>
    <d v="2026-07-18T00:00:00"/>
    <s v="CUST-0130"/>
    <s v="PROD-012"/>
    <x v="0"/>
    <x v="1"/>
    <n v="4"/>
    <n v="0.15"/>
    <x v="0"/>
    <n v="4"/>
    <n v="5"/>
    <x v="11"/>
    <x v="2"/>
    <n v="68"/>
    <n v="31"/>
    <x v="2"/>
    <n v="231.2"/>
    <n v="124"/>
    <n v="107.19999999999999"/>
    <n v="0.46366782006920415"/>
  </r>
  <r>
    <x v="867"/>
    <d v="2025-01-23T00:00:00"/>
    <s v="CUST-0086"/>
    <s v="PROD-009"/>
    <x v="1"/>
    <x v="1"/>
    <n v="1"/>
    <n v="0.05"/>
    <x v="0"/>
    <n v="5"/>
    <n v="4"/>
    <x v="14"/>
    <x v="1"/>
    <n v="185"/>
    <n v="105"/>
    <x v="1"/>
    <n v="175.75"/>
    <n v="105"/>
    <n v="70.75"/>
    <n v="0.40256045519203415"/>
  </r>
  <r>
    <x v="868"/>
    <d v="2026-05-22T00:00:00"/>
    <s v="CUST-0273"/>
    <s v="PROD-003"/>
    <x v="2"/>
    <x v="0"/>
    <n v="2"/>
    <n v="0.1"/>
    <x v="0"/>
    <n v="4"/>
    <n v="2"/>
    <x v="10"/>
    <x v="0"/>
    <n v="75"/>
    <n v="38"/>
    <x v="0"/>
    <n v="135"/>
    <n v="76"/>
    <n v="59"/>
    <n v="0.43703703703703706"/>
  </r>
  <r>
    <x v="869"/>
    <d v="2025-01-04T00:00:00"/>
    <s v="CUST-0082"/>
    <s v="PROD-007"/>
    <x v="4"/>
    <x v="1"/>
    <n v="6"/>
    <n v="0.05"/>
    <x v="0"/>
    <n v="5"/>
    <n v="3"/>
    <x v="6"/>
    <x v="1"/>
    <n v="540"/>
    <n v="320"/>
    <x v="1"/>
    <n v="3078"/>
    <n v="1920"/>
    <n v="1158"/>
    <n v="0.37621832358674462"/>
  </r>
  <r>
    <x v="870"/>
    <d v="2025-11-07T00:00:00"/>
    <s v="CUST-0113"/>
    <s v="PROD-010"/>
    <x v="1"/>
    <x v="0"/>
    <n v="1"/>
    <n v="0"/>
    <x v="0"/>
    <n v="1"/>
    <n v="5"/>
    <x v="13"/>
    <x v="2"/>
    <n v="48"/>
    <n v="22"/>
    <x v="0"/>
    <n v="48"/>
    <n v="22"/>
    <n v="26"/>
    <n v="0.54166666666666663"/>
  </r>
  <r>
    <x v="871"/>
    <d v="2025-05-17T00:00:00"/>
    <s v="CUST-0139"/>
    <s v="PROD-002"/>
    <x v="1"/>
    <x v="1"/>
    <n v="5"/>
    <n v="0.05"/>
    <x v="0"/>
    <n v="4"/>
    <n v="5"/>
    <x v="0"/>
    <x v="0"/>
    <n v="310"/>
    <n v="190"/>
    <x v="0"/>
    <n v="1472.5"/>
    <n v="950"/>
    <n v="522.5"/>
    <n v="0.35483870967741937"/>
  </r>
  <r>
    <x v="872"/>
    <d v="2026-01-13T00:00:00"/>
    <s v="CUST-0167"/>
    <s v="PROD-003"/>
    <x v="0"/>
    <x v="2"/>
    <n v="1"/>
    <n v="0"/>
    <x v="0"/>
    <n v="4"/>
    <n v="1"/>
    <x v="10"/>
    <x v="0"/>
    <n v="75"/>
    <n v="38"/>
    <x v="1"/>
    <n v="75"/>
    <n v="38"/>
    <n v="37"/>
    <n v="0.49333333333333335"/>
  </r>
  <r>
    <x v="873"/>
    <d v="2025-01-11T00:00:00"/>
    <s v="CUST-0183"/>
    <s v="PROD-008"/>
    <x v="1"/>
    <x v="1"/>
    <n v="1"/>
    <n v="0"/>
    <x v="0"/>
    <n v="5"/>
    <n v="5"/>
    <x v="1"/>
    <x v="1"/>
    <n v="255"/>
    <n v="145"/>
    <x v="2"/>
    <n v="255"/>
    <n v="145"/>
    <n v="110"/>
    <n v="0.43137254901960786"/>
  </r>
  <r>
    <x v="874"/>
    <d v="2025-04-19T00:00:00"/>
    <s v="CUST-0196"/>
    <s v="PROD-009"/>
    <x v="0"/>
    <x v="0"/>
    <n v="3"/>
    <n v="0.1"/>
    <x v="0"/>
    <n v="4"/>
    <n v="5"/>
    <x v="14"/>
    <x v="1"/>
    <n v="185"/>
    <n v="105"/>
    <x v="2"/>
    <n v="499.5"/>
    <n v="315"/>
    <n v="184.5"/>
    <n v="0.36936936936936937"/>
  </r>
  <r>
    <x v="875"/>
    <d v="2026-02-09T00:00:00"/>
    <s v="CUST-0080"/>
    <s v="PROD-015"/>
    <x v="3"/>
    <x v="0"/>
    <n v="2"/>
    <n v="0.15"/>
    <x v="0"/>
    <n v="3"/>
    <n v="2"/>
    <x v="12"/>
    <x v="3"/>
    <n v="23"/>
    <n v="10"/>
    <x v="1"/>
    <n v="39.1"/>
    <n v="20"/>
    <n v="19.100000000000001"/>
    <n v="0.48849104859335041"/>
  </r>
  <r>
    <x v="876"/>
    <d v="2025-06-30T00:00:00"/>
    <s v="CUST-0097"/>
    <s v="PROD-016"/>
    <x v="0"/>
    <x v="1"/>
    <n v="1"/>
    <n v="0"/>
    <x v="0"/>
    <n v="5"/>
    <n v="5"/>
    <x v="9"/>
    <x v="3"/>
    <n v="28"/>
    <n v="12"/>
    <x v="2"/>
    <n v="28"/>
    <n v="12"/>
    <n v="16"/>
    <n v="0.5714285714285714"/>
  </r>
  <r>
    <x v="877"/>
    <d v="2025-07-12T00:00:00"/>
    <s v="CUST-0036"/>
    <s v="PROD-005"/>
    <x v="2"/>
    <x v="1"/>
    <n v="6"/>
    <n v="0.2"/>
    <x v="0"/>
    <n v="4"/>
    <n v="1"/>
    <x v="15"/>
    <x v="0"/>
    <n v="115"/>
    <n v="58"/>
    <x v="0"/>
    <n v="552"/>
    <n v="348"/>
    <n v="204"/>
    <n v="0.36956521739130432"/>
  </r>
  <r>
    <x v="878"/>
    <d v="2025-04-13T00:00:00"/>
    <s v="CUST-0194"/>
    <s v="PROD-013"/>
    <x v="2"/>
    <x v="0"/>
    <n v="4"/>
    <n v="0.05"/>
    <x v="0"/>
    <n v="3"/>
    <n v="1"/>
    <x v="4"/>
    <x v="2"/>
    <n v="32"/>
    <n v="13"/>
    <x v="2"/>
    <n v="121.6"/>
    <n v="52"/>
    <n v="69.599999999999994"/>
    <n v="0.57236842105263153"/>
  </r>
  <r>
    <x v="879"/>
    <d v="2025-10-02T00:00:00"/>
    <s v="CUST-0074"/>
    <s v="PROD-001"/>
    <x v="0"/>
    <x v="1"/>
    <n v="4"/>
    <n v="0.05"/>
    <x v="0"/>
    <n v="5"/>
    <n v="1"/>
    <x v="2"/>
    <x v="0"/>
    <n v="1100"/>
    <n v="720"/>
    <x v="1"/>
    <n v="4180"/>
    <n v="2880"/>
    <n v="1300"/>
    <n v="0.31100478468899523"/>
  </r>
  <r>
    <x v="880"/>
    <d v="2025-07-27T00:00:00"/>
    <s v="CUST-0072"/>
    <s v="PROD-016"/>
    <x v="1"/>
    <x v="2"/>
    <n v="4"/>
    <n v="0"/>
    <x v="0"/>
    <n v="3"/>
    <n v="5"/>
    <x v="9"/>
    <x v="3"/>
    <n v="28"/>
    <n v="12"/>
    <x v="2"/>
    <n v="112"/>
    <n v="48"/>
    <n v="64"/>
    <n v="0.5714285714285714"/>
  </r>
  <r>
    <x v="881"/>
    <d v="2025-10-01T00:00:00"/>
    <s v="CUST-0279"/>
    <s v="PROD-004"/>
    <x v="2"/>
    <x v="1"/>
    <n v="2"/>
    <n v="0"/>
    <x v="0"/>
    <n v="4"/>
    <n v="1"/>
    <x v="3"/>
    <x v="0"/>
    <n v="42"/>
    <n v="19"/>
    <x v="1"/>
    <n v="84"/>
    <n v="38"/>
    <n v="46"/>
    <n v="0.54761904761904767"/>
  </r>
  <r>
    <x v="882"/>
    <d v="2025-08-18T00:00:00"/>
    <s v="CUST-0013"/>
    <s v="PROD-008"/>
    <x v="4"/>
    <x v="1"/>
    <n v="3"/>
    <n v="0"/>
    <x v="0"/>
    <n v="4"/>
    <n v="1"/>
    <x v="1"/>
    <x v="1"/>
    <n v="255"/>
    <n v="145"/>
    <x v="1"/>
    <n v="765"/>
    <n v="435"/>
    <n v="330"/>
    <n v="0.43137254901960786"/>
  </r>
  <r>
    <x v="883"/>
    <d v="2026-05-19T00:00:00"/>
    <s v="CUST-0087"/>
    <s v="PROD-004"/>
    <x v="3"/>
    <x v="2"/>
    <n v="1"/>
    <n v="0"/>
    <x v="0"/>
    <n v="4"/>
    <n v="1"/>
    <x v="3"/>
    <x v="0"/>
    <n v="42"/>
    <n v="19"/>
    <x v="2"/>
    <n v="42"/>
    <n v="19"/>
    <n v="23"/>
    <n v="0.54761904761904767"/>
  </r>
  <r>
    <x v="884"/>
    <d v="2025-02-14T00:00:00"/>
    <s v="CUST-0078"/>
    <s v="PROD-006"/>
    <x v="4"/>
    <x v="1"/>
    <n v="1"/>
    <n v="0"/>
    <x v="0"/>
    <n v="5"/>
    <n v="5"/>
    <x v="7"/>
    <x v="0"/>
    <n v="98"/>
    <n v="46"/>
    <x v="1"/>
    <n v="98"/>
    <n v="46"/>
    <n v="52"/>
    <n v="0.53061224489795922"/>
  </r>
  <r>
    <x v="885"/>
    <d v="2025-10-21T00:00:00"/>
    <s v="CUST-0179"/>
    <s v="PROD-004"/>
    <x v="3"/>
    <x v="0"/>
    <n v="2"/>
    <n v="0"/>
    <x v="0"/>
    <n v="5"/>
    <n v="1"/>
    <x v="3"/>
    <x v="0"/>
    <n v="42"/>
    <n v="19"/>
    <x v="1"/>
    <n v="84"/>
    <n v="38"/>
    <n v="46"/>
    <n v="0.54761904761904767"/>
  </r>
  <r>
    <x v="886"/>
    <d v="2025-06-02T00:00:00"/>
    <s v="CUST-0076"/>
    <s v="PROD-011"/>
    <x v="2"/>
    <x v="1"/>
    <n v="4"/>
    <n v="0.2"/>
    <x v="0"/>
    <n v="3"/>
    <n v="4"/>
    <x v="8"/>
    <x v="2"/>
    <n v="85"/>
    <n v="39"/>
    <x v="1"/>
    <n v="272"/>
    <n v="156"/>
    <n v="116"/>
    <n v="0.4264705882352941"/>
  </r>
  <r>
    <x v="887"/>
    <d v="2025-10-13T00:00:00"/>
    <s v="CUST-0075"/>
    <s v="PROD-003"/>
    <x v="3"/>
    <x v="1"/>
    <n v="4"/>
    <n v="0"/>
    <x v="0"/>
    <n v="4"/>
    <n v="4"/>
    <x v="10"/>
    <x v="0"/>
    <n v="75"/>
    <n v="38"/>
    <x v="0"/>
    <n v="300"/>
    <n v="152"/>
    <n v="148"/>
    <n v="0.49333333333333335"/>
  </r>
  <r>
    <x v="888"/>
    <d v="2025-12-08T00:00:00"/>
    <s v="CUST-0071"/>
    <s v="PROD-008"/>
    <x v="3"/>
    <x v="0"/>
    <n v="2"/>
    <n v="0.05"/>
    <x v="0"/>
    <n v="3"/>
    <n v="1"/>
    <x v="1"/>
    <x v="1"/>
    <n v="255"/>
    <n v="145"/>
    <x v="1"/>
    <n v="484.5"/>
    <n v="290"/>
    <n v="194.5"/>
    <n v="0.40144478844169246"/>
  </r>
  <r>
    <x v="889"/>
    <d v="2026-08-18T00:00:00"/>
    <s v="CUST-0216"/>
    <s v="PROD-008"/>
    <x v="1"/>
    <x v="1"/>
    <n v="1"/>
    <n v="0.2"/>
    <x v="0"/>
    <n v="4"/>
    <n v="2"/>
    <x v="1"/>
    <x v="1"/>
    <n v="255"/>
    <n v="145"/>
    <x v="2"/>
    <n v="204"/>
    <n v="145"/>
    <n v="59"/>
    <n v="0.28921568627450983"/>
  </r>
  <r>
    <x v="890"/>
    <d v="2025-04-23T00:00:00"/>
    <s v="CUST-0031"/>
    <s v="PROD-012"/>
    <x v="3"/>
    <x v="2"/>
    <n v="4"/>
    <n v="0"/>
    <x v="0"/>
    <n v="5"/>
    <n v="5"/>
    <x v="11"/>
    <x v="2"/>
    <n v="68"/>
    <n v="31"/>
    <x v="2"/>
    <n v="272"/>
    <n v="124"/>
    <n v="148"/>
    <n v="0.54411764705882348"/>
  </r>
  <r>
    <x v="891"/>
    <d v="2026-03-08T00:00:00"/>
    <s v="CUST-0125"/>
    <s v="PROD-007"/>
    <x v="0"/>
    <x v="1"/>
    <n v="1"/>
    <n v="0.2"/>
    <x v="0"/>
    <n v="4"/>
    <n v="1"/>
    <x v="6"/>
    <x v="1"/>
    <n v="540"/>
    <n v="320"/>
    <x v="1"/>
    <n v="432"/>
    <n v="320"/>
    <n v="112"/>
    <n v="0.25925925925925924"/>
  </r>
  <r>
    <x v="892"/>
    <d v="2026-03-11T00:00:00"/>
    <s v="CUST-0191"/>
    <s v="PROD-002"/>
    <x v="1"/>
    <x v="0"/>
    <n v="1"/>
    <n v="0.15"/>
    <x v="0"/>
    <n v="1"/>
    <n v="5"/>
    <x v="0"/>
    <x v="0"/>
    <n v="310"/>
    <n v="190"/>
    <x v="1"/>
    <n v="263.5"/>
    <n v="190"/>
    <n v="73.5"/>
    <n v="0.27893738140417457"/>
  </r>
  <r>
    <x v="893"/>
    <d v="2025-03-22T00:00:00"/>
    <s v="CUST-0126"/>
    <s v="PROD-003"/>
    <x v="2"/>
    <x v="2"/>
    <n v="2"/>
    <n v="0.1"/>
    <x v="0"/>
    <n v="3"/>
    <n v="5"/>
    <x v="10"/>
    <x v="0"/>
    <n v="75"/>
    <n v="38"/>
    <x v="1"/>
    <n v="135"/>
    <n v="76"/>
    <n v="59"/>
    <n v="0.43703703703703706"/>
  </r>
  <r>
    <x v="894"/>
    <d v="2025-11-03T00:00:00"/>
    <s v="CUST-0241"/>
    <s v="PROD-014"/>
    <x v="1"/>
    <x v="1"/>
    <n v="3"/>
    <n v="0"/>
    <x v="0"/>
    <n v="2"/>
    <n v="3"/>
    <x v="5"/>
    <x v="3"/>
    <n v="17"/>
    <n v="8"/>
    <x v="1"/>
    <n v="51"/>
    <n v="24"/>
    <n v="27"/>
    <n v="0.52941176470588236"/>
  </r>
  <r>
    <x v="895"/>
    <d v="2026-05-31T00:00:00"/>
    <s v="CUST-0083"/>
    <s v="PROD-001"/>
    <x v="3"/>
    <x v="1"/>
    <n v="7"/>
    <n v="0"/>
    <x v="0"/>
    <n v="4"/>
    <n v="5"/>
    <x v="2"/>
    <x v="0"/>
    <n v="1100"/>
    <n v="720"/>
    <x v="0"/>
    <n v="7700"/>
    <n v="5040"/>
    <n v="2660"/>
    <n v="0.34545454545454546"/>
  </r>
  <r>
    <x v="896"/>
    <d v="2026-05-29T00:00:00"/>
    <s v="CUST-0157"/>
    <s v="PROD-008"/>
    <x v="4"/>
    <x v="1"/>
    <n v="8"/>
    <n v="0.05"/>
    <x v="1"/>
    <n v="3"/>
    <n v="6"/>
    <x v="1"/>
    <x v="1"/>
    <n v="255"/>
    <n v="145"/>
    <x v="1"/>
    <n v="1938"/>
    <n v="1160"/>
    <n v="778"/>
    <n v="0.40144478844169246"/>
  </r>
  <r>
    <x v="897"/>
    <d v="2025-02-27T00:00:00"/>
    <s v="CUST-0113"/>
    <s v="PROD-013"/>
    <x v="2"/>
    <x v="0"/>
    <n v="3"/>
    <n v="0.15"/>
    <x v="0"/>
    <n v="4"/>
    <n v="3"/>
    <x v="4"/>
    <x v="2"/>
    <n v="32"/>
    <n v="13"/>
    <x v="0"/>
    <n v="81.599999999999994"/>
    <n v="39"/>
    <n v="42.599999999999994"/>
    <n v="0.52205882352941169"/>
  </r>
  <r>
    <x v="898"/>
    <d v="2026-02-19T00:00:00"/>
    <s v="CUST-0195"/>
    <s v="PROD-006"/>
    <x v="2"/>
    <x v="1"/>
    <n v="2"/>
    <n v="0"/>
    <x v="0"/>
    <n v="4"/>
    <n v="3"/>
    <x v="7"/>
    <x v="0"/>
    <n v="98"/>
    <n v="46"/>
    <x v="1"/>
    <n v="196"/>
    <n v="92"/>
    <n v="104"/>
    <n v="0.53061224489795922"/>
  </r>
  <r>
    <x v="899"/>
    <d v="2025-01-29T00:00:00"/>
    <s v="CUST-0123"/>
    <s v="PROD-010"/>
    <x v="2"/>
    <x v="1"/>
    <n v="1"/>
    <n v="0"/>
    <x v="0"/>
    <n v="3"/>
    <n v="2"/>
    <x v="13"/>
    <x v="2"/>
    <n v="48"/>
    <n v="22"/>
    <x v="0"/>
    <n v="48"/>
    <n v="22"/>
    <n v="26"/>
    <n v="0.54166666666666663"/>
  </r>
  <r>
    <x v="900"/>
    <d v="2025-02-03T00:00:00"/>
    <s v="CUST-0124"/>
    <s v="PROD-009"/>
    <x v="2"/>
    <x v="0"/>
    <n v="1"/>
    <n v="0.2"/>
    <x v="0"/>
    <n v="2"/>
    <n v="4"/>
    <x v="14"/>
    <x v="1"/>
    <n v="185"/>
    <n v="105"/>
    <x v="0"/>
    <n v="148"/>
    <n v="105"/>
    <n v="43"/>
    <n v="0.29054054054054052"/>
  </r>
  <r>
    <x v="901"/>
    <d v="2025-01-09T00:00:00"/>
    <s v="CUST-0183"/>
    <s v="PROD-010"/>
    <x v="0"/>
    <x v="0"/>
    <n v="1"/>
    <n v="0"/>
    <x v="0"/>
    <n v="3"/>
    <n v="1"/>
    <x v="13"/>
    <x v="2"/>
    <n v="48"/>
    <n v="22"/>
    <x v="2"/>
    <n v="48"/>
    <n v="22"/>
    <n v="26"/>
    <n v="0.54166666666666663"/>
  </r>
  <r>
    <x v="902"/>
    <d v="2025-12-06T00:00:00"/>
    <s v="CUST-0209"/>
    <s v="PROD-004"/>
    <x v="4"/>
    <x v="0"/>
    <n v="1"/>
    <n v="0.1"/>
    <x v="0"/>
    <n v="5"/>
    <n v="1"/>
    <x v="3"/>
    <x v="0"/>
    <n v="42"/>
    <n v="19"/>
    <x v="1"/>
    <n v="37.800000000000004"/>
    <n v="19"/>
    <n v="18.800000000000004"/>
    <n v="0.49735449735449744"/>
  </r>
  <r>
    <x v="903"/>
    <d v="2025-10-25T00:00:00"/>
    <s v="CUST-0083"/>
    <s v="PROD-005"/>
    <x v="1"/>
    <x v="1"/>
    <n v="3"/>
    <n v="0.2"/>
    <x v="0"/>
    <n v="3"/>
    <n v="2"/>
    <x v="15"/>
    <x v="0"/>
    <n v="115"/>
    <n v="58"/>
    <x v="0"/>
    <n v="276"/>
    <n v="174"/>
    <n v="102"/>
    <n v="0.36956521739130432"/>
  </r>
  <r>
    <x v="904"/>
    <d v="2025-06-14T00:00:00"/>
    <s v="CUST-0257"/>
    <s v="PROD-011"/>
    <x v="4"/>
    <x v="1"/>
    <n v="1"/>
    <n v="0.05"/>
    <x v="1"/>
    <n v="2"/>
    <n v="6"/>
    <x v="8"/>
    <x v="2"/>
    <n v="85"/>
    <n v="39"/>
    <x v="1"/>
    <n v="80.75"/>
    <n v="39"/>
    <n v="41.75"/>
    <n v="0.51702786377708976"/>
  </r>
  <r>
    <x v="905"/>
    <d v="2025-08-02T00:00:00"/>
    <s v="CUST-0039"/>
    <s v="PROD-005"/>
    <x v="4"/>
    <x v="2"/>
    <n v="1"/>
    <n v="0"/>
    <x v="0"/>
    <n v="4"/>
    <n v="1"/>
    <x v="15"/>
    <x v="0"/>
    <n v="115"/>
    <n v="58"/>
    <x v="2"/>
    <n v="115"/>
    <n v="58"/>
    <n v="57"/>
    <n v="0.4956521739130435"/>
  </r>
  <r>
    <x v="906"/>
    <d v="2026-05-26T00:00:00"/>
    <s v="CUST-0049"/>
    <s v="PROD-015"/>
    <x v="3"/>
    <x v="2"/>
    <n v="1"/>
    <n v="0"/>
    <x v="0"/>
    <n v="2"/>
    <n v="6"/>
    <x v="12"/>
    <x v="3"/>
    <n v="23"/>
    <n v="10"/>
    <x v="0"/>
    <n v="23"/>
    <n v="10"/>
    <n v="13"/>
    <n v="0.56521739130434778"/>
  </r>
  <r>
    <x v="907"/>
    <d v="2025-09-22T00:00:00"/>
    <s v="CUST-0243"/>
    <s v="PROD-009"/>
    <x v="1"/>
    <x v="1"/>
    <n v="6"/>
    <n v="0.15"/>
    <x v="1"/>
    <n v="4"/>
    <n v="6"/>
    <x v="14"/>
    <x v="1"/>
    <n v="185"/>
    <n v="105"/>
    <x v="0"/>
    <n v="943.5"/>
    <n v="630"/>
    <n v="313.5"/>
    <n v="0.33227344992050872"/>
  </r>
  <r>
    <x v="908"/>
    <d v="2026-02-15T00:00:00"/>
    <s v="CUST-0210"/>
    <s v="PROD-005"/>
    <x v="4"/>
    <x v="0"/>
    <n v="3"/>
    <n v="0"/>
    <x v="0"/>
    <n v="4"/>
    <n v="4"/>
    <x v="15"/>
    <x v="0"/>
    <n v="115"/>
    <n v="58"/>
    <x v="2"/>
    <n v="345"/>
    <n v="174"/>
    <n v="171"/>
    <n v="0.4956521739130435"/>
  </r>
  <r>
    <x v="909"/>
    <d v="2025-09-27T00:00:00"/>
    <s v="CUST-0022"/>
    <s v="PROD-002"/>
    <x v="1"/>
    <x v="1"/>
    <n v="5"/>
    <n v="0"/>
    <x v="0"/>
    <n v="4"/>
    <n v="2"/>
    <x v="0"/>
    <x v="0"/>
    <n v="310"/>
    <n v="190"/>
    <x v="0"/>
    <n v="1550"/>
    <n v="950"/>
    <n v="600"/>
    <n v="0.38709677419354838"/>
  </r>
  <r>
    <x v="910"/>
    <d v="2026-08-07T00:00:00"/>
    <s v="CUST-0205"/>
    <s v="PROD-003"/>
    <x v="3"/>
    <x v="2"/>
    <n v="3"/>
    <n v="0"/>
    <x v="0"/>
    <n v="4"/>
    <n v="4"/>
    <x v="10"/>
    <x v="0"/>
    <n v="75"/>
    <n v="38"/>
    <x v="1"/>
    <n v="225"/>
    <n v="114"/>
    <n v="111"/>
    <n v="0.49333333333333335"/>
  </r>
  <r>
    <x v="911"/>
    <d v="2025-04-22T00:00:00"/>
    <s v="CUST-0044"/>
    <s v="PROD-006"/>
    <x v="1"/>
    <x v="2"/>
    <n v="6"/>
    <n v="0.1"/>
    <x v="0"/>
    <n v="4"/>
    <n v="3"/>
    <x v="7"/>
    <x v="0"/>
    <n v="98"/>
    <n v="46"/>
    <x v="1"/>
    <n v="529.20000000000005"/>
    <n v="276"/>
    <n v="253.20000000000005"/>
    <n v="0.47845804988662138"/>
  </r>
  <r>
    <x v="912"/>
    <d v="2025-12-17T00:00:00"/>
    <s v="CUST-0249"/>
    <s v="PROD-007"/>
    <x v="1"/>
    <x v="1"/>
    <n v="1"/>
    <n v="0"/>
    <x v="0"/>
    <n v="4"/>
    <n v="2"/>
    <x v="6"/>
    <x v="1"/>
    <n v="540"/>
    <n v="320"/>
    <x v="0"/>
    <n v="540"/>
    <n v="320"/>
    <n v="220"/>
    <n v="0.40740740740740738"/>
  </r>
  <r>
    <x v="913"/>
    <d v="2025-11-24T00:00:00"/>
    <s v="CUST-0291"/>
    <s v="PROD-002"/>
    <x v="0"/>
    <x v="0"/>
    <n v="1"/>
    <n v="0.1"/>
    <x v="0"/>
    <n v="5"/>
    <n v="2"/>
    <x v="0"/>
    <x v="0"/>
    <n v="310"/>
    <n v="190"/>
    <x v="1"/>
    <n v="279"/>
    <n v="190"/>
    <n v="89"/>
    <n v="0.31899641577060933"/>
  </r>
  <r>
    <x v="914"/>
    <d v="2025-02-25T00:00:00"/>
    <s v="CUST-0109"/>
    <s v="PROD-001"/>
    <x v="0"/>
    <x v="0"/>
    <n v="1"/>
    <n v="0.05"/>
    <x v="0"/>
    <n v="2"/>
    <n v="5"/>
    <x v="2"/>
    <x v="0"/>
    <n v="1100"/>
    <n v="720"/>
    <x v="1"/>
    <n v="1045"/>
    <n v="720"/>
    <n v="325"/>
    <n v="0.31100478468899523"/>
  </r>
  <r>
    <x v="915"/>
    <d v="2025-11-02T00:00:00"/>
    <s v="CUST-0232"/>
    <s v="PROD-014"/>
    <x v="4"/>
    <x v="0"/>
    <n v="1"/>
    <n v="0.15"/>
    <x v="0"/>
    <n v="5"/>
    <n v="3"/>
    <x v="5"/>
    <x v="3"/>
    <n v="17"/>
    <n v="8"/>
    <x v="1"/>
    <n v="14.45"/>
    <n v="8"/>
    <n v="6.4499999999999993"/>
    <n v="0.44636678200692037"/>
  </r>
  <r>
    <x v="916"/>
    <d v="2025-11-01T00:00:00"/>
    <s v="CUST-0085"/>
    <s v="PROD-007"/>
    <x v="3"/>
    <x v="1"/>
    <n v="2"/>
    <n v="0.1"/>
    <x v="0"/>
    <n v="5"/>
    <n v="3"/>
    <x v="6"/>
    <x v="1"/>
    <n v="540"/>
    <n v="320"/>
    <x v="1"/>
    <n v="972"/>
    <n v="640"/>
    <n v="332"/>
    <n v="0.34156378600823045"/>
  </r>
  <r>
    <x v="917"/>
    <d v="2026-08-08T00:00:00"/>
    <s v="CUST-0200"/>
    <s v="PROD-001"/>
    <x v="4"/>
    <x v="2"/>
    <n v="1"/>
    <n v="0.1"/>
    <x v="0"/>
    <n v="3"/>
    <n v="3"/>
    <x v="2"/>
    <x v="0"/>
    <n v="1100"/>
    <n v="720"/>
    <x v="2"/>
    <n v="990"/>
    <n v="720"/>
    <n v="270"/>
    <n v="0.27272727272727271"/>
  </r>
  <r>
    <x v="918"/>
    <d v="2025-01-15T00:00:00"/>
    <s v="CUST-0078"/>
    <s v="PROD-015"/>
    <x v="0"/>
    <x v="0"/>
    <n v="1"/>
    <n v="0.1"/>
    <x v="0"/>
    <n v="4"/>
    <n v="1"/>
    <x v="12"/>
    <x v="3"/>
    <n v="23"/>
    <n v="10"/>
    <x v="1"/>
    <n v="20.7"/>
    <n v="10"/>
    <n v="10.7"/>
    <n v="0.51690821256038644"/>
  </r>
  <r>
    <x v="919"/>
    <d v="2026-04-07T00:00:00"/>
    <s v="CUST-0065"/>
    <s v="PROD-015"/>
    <x v="1"/>
    <x v="0"/>
    <n v="1"/>
    <n v="0.1"/>
    <x v="0"/>
    <n v="5"/>
    <n v="2"/>
    <x v="12"/>
    <x v="3"/>
    <n v="23"/>
    <n v="10"/>
    <x v="2"/>
    <n v="20.7"/>
    <n v="10"/>
    <n v="10.7"/>
    <n v="0.51690821256038644"/>
  </r>
  <r>
    <x v="920"/>
    <d v="2026-01-22T00:00:00"/>
    <s v="CUST-0111"/>
    <s v="PROD-012"/>
    <x v="2"/>
    <x v="1"/>
    <n v="3"/>
    <n v="0.2"/>
    <x v="0"/>
    <n v="4"/>
    <n v="3"/>
    <x v="11"/>
    <x v="2"/>
    <n v="68"/>
    <n v="31"/>
    <x v="2"/>
    <n v="163.20000000000002"/>
    <n v="93"/>
    <n v="70.200000000000017"/>
    <n v="0.43014705882352949"/>
  </r>
  <r>
    <x v="921"/>
    <d v="2025-11-11T00:00:00"/>
    <s v="CUST-0258"/>
    <s v="PROD-004"/>
    <x v="1"/>
    <x v="0"/>
    <n v="2"/>
    <n v="0"/>
    <x v="0"/>
    <n v="4"/>
    <n v="5"/>
    <x v="3"/>
    <x v="0"/>
    <n v="42"/>
    <n v="19"/>
    <x v="1"/>
    <n v="84"/>
    <n v="38"/>
    <n v="46"/>
    <n v="0.54761904761904767"/>
  </r>
  <r>
    <x v="922"/>
    <d v="2025-12-10T00:00:00"/>
    <s v="CUST-0059"/>
    <s v="PROD-006"/>
    <x v="4"/>
    <x v="1"/>
    <n v="3"/>
    <n v="0"/>
    <x v="0"/>
    <n v="4"/>
    <n v="4"/>
    <x v="7"/>
    <x v="0"/>
    <n v="98"/>
    <n v="46"/>
    <x v="1"/>
    <n v="294"/>
    <n v="138"/>
    <n v="156"/>
    <n v="0.53061224489795922"/>
  </r>
  <r>
    <x v="923"/>
    <d v="2025-10-18T00:00:00"/>
    <s v="CUST-0051"/>
    <s v="PROD-003"/>
    <x v="0"/>
    <x v="1"/>
    <n v="3"/>
    <n v="0.05"/>
    <x v="0"/>
    <n v="4"/>
    <n v="5"/>
    <x v="10"/>
    <x v="0"/>
    <n v="75"/>
    <n v="38"/>
    <x v="1"/>
    <n v="213.75"/>
    <n v="114"/>
    <n v="99.75"/>
    <n v="0.46666666666666667"/>
  </r>
  <r>
    <x v="924"/>
    <d v="2026-07-12T00:00:00"/>
    <s v="CUST-0052"/>
    <s v="PROD-015"/>
    <x v="4"/>
    <x v="0"/>
    <n v="3"/>
    <n v="0.15"/>
    <x v="0"/>
    <n v="5"/>
    <n v="5"/>
    <x v="12"/>
    <x v="3"/>
    <n v="23"/>
    <n v="10"/>
    <x v="1"/>
    <n v="58.65"/>
    <n v="30"/>
    <n v="28.65"/>
    <n v="0.48849104859335035"/>
  </r>
  <r>
    <x v="925"/>
    <d v="2026-01-26T00:00:00"/>
    <s v="CUST-0059"/>
    <s v="PROD-007"/>
    <x v="0"/>
    <x v="2"/>
    <n v="2"/>
    <n v="0.1"/>
    <x v="0"/>
    <n v="5"/>
    <n v="4"/>
    <x v="6"/>
    <x v="1"/>
    <n v="540"/>
    <n v="320"/>
    <x v="1"/>
    <n v="972"/>
    <n v="640"/>
    <n v="332"/>
    <n v="0.34156378600823045"/>
  </r>
  <r>
    <x v="926"/>
    <d v="2025-01-08T00:00:00"/>
    <s v="CUST-0192"/>
    <s v="PROD-008"/>
    <x v="4"/>
    <x v="1"/>
    <n v="3"/>
    <n v="0"/>
    <x v="0"/>
    <n v="5"/>
    <n v="2"/>
    <x v="1"/>
    <x v="1"/>
    <n v="255"/>
    <n v="145"/>
    <x v="1"/>
    <n v="765"/>
    <n v="435"/>
    <n v="330"/>
    <n v="0.43137254901960786"/>
  </r>
  <r>
    <x v="927"/>
    <d v="2025-01-05T00:00:00"/>
    <s v="CUST-0213"/>
    <s v="PROD-002"/>
    <x v="2"/>
    <x v="1"/>
    <n v="2"/>
    <n v="0.1"/>
    <x v="0"/>
    <n v="4"/>
    <n v="3"/>
    <x v="0"/>
    <x v="0"/>
    <n v="310"/>
    <n v="190"/>
    <x v="1"/>
    <n v="558"/>
    <n v="380"/>
    <n v="178"/>
    <n v="0.31899641577060933"/>
  </r>
  <r>
    <x v="928"/>
    <d v="2025-06-24T00:00:00"/>
    <s v="CUST-0293"/>
    <s v="PROD-014"/>
    <x v="3"/>
    <x v="2"/>
    <n v="1"/>
    <n v="0.05"/>
    <x v="0"/>
    <n v="5"/>
    <n v="5"/>
    <x v="5"/>
    <x v="3"/>
    <n v="17"/>
    <n v="8"/>
    <x v="0"/>
    <n v="16.149999999999999"/>
    <n v="8"/>
    <n v="8.1499999999999986"/>
    <n v="0.50464396284829716"/>
  </r>
  <r>
    <x v="929"/>
    <d v="2026-03-16T00:00:00"/>
    <s v="CUST-0066"/>
    <s v="PROD-013"/>
    <x v="0"/>
    <x v="1"/>
    <n v="6"/>
    <n v="0.05"/>
    <x v="0"/>
    <n v="2"/>
    <n v="3"/>
    <x v="4"/>
    <x v="2"/>
    <n v="32"/>
    <n v="13"/>
    <x v="0"/>
    <n v="182.39999999999998"/>
    <n v="78"/>
    <n v="104.39999999999998"/>
    <n v="0.57236842105263153"/>
  </r>
  <r>
    <x v="930"/>
    <d v="2026-08-14T00:00:00"/>
    <s v="CUST-0201"/>
    <s v="PROD-009"/>
    <x v="0"/>
    <x v="1"/>
    <n v="2"/>
    <n v="0"/>
    <x v="0"/>
    <n v="1"/>
    <n v="7"/>
    <x v="14"/>
    <x v="1"/>
    <n v="185"/>
    <n v="105"/>
    <x v="2"/>
    <n v="370"/>
    <n v="210"/>
    <n v="160"/>
    <n v="0.43243243243243246"/>
  </r>
  <r>
    <x v="931"/>
    <d v="2025-01-29T00:00:00"/>
    <s v="CUST-0279"/>
    <s v="PROD-003"/>
    <x v="4"/>
    <x v="1"/>
    <n v="4"/>
    <n v="0.2"/>
    <x v="0"/>
    <n v="5"/>
    <n v="2"/>
    <x v="10"/>
    <x v="0"/>
    <n v="75"/>
    <n v="38"/>
    <x v="1"/>
    <n v="240"/>
    <n v="152"/>
    <n v="88"/>
    <n v="0.36666666666666664"/>
  </r>
  <r>
    <x v="932"/>
    <d v="2025-09-03T00:00:00"/>
    <s v="CUST-0114"/>
    <s v="PROD-010"/>
    <x v="2"/>
    <x v="2"/>
    <n v="4"/>
    <n v="0.1"/>
    <x v="0"/>
    <n v="4"/>
    <n v="1"/>
    <x v="13"/>
    <x v="2"/>
    <n v="48"/>
    <n v="22"/>
    <x v="1"/>
    <n v="172.8"/>
    <n v="88"/>
    <n v="84.800000000000011"/>
    <n v="0.49074074074074076"/>
  </r>
  <r>
    <x v="933"/>
    <d v="2025-10-09T00:00:00"/>
    <s v="CUST-0043"/>
    <s v="PROD-005"/>
    <x v="1"/>
    <x v="0"/>
    <n v="3"/>
    <n v="0"/>
    <x v="0"/>
    <n v="4"/>
    <n v="1"/>
    <x v="15"/>
    <x v="0"/>
    <n v="115"/>
    <n v="58"/>
    <x v="1"/>
    <n v="345"/>
    <n v="174"/>
    <n v="171"/>
    <n v="0.4956521739130435"/>
  </r>
  <r>
    <x v="934"/>
    <d v="2025-05-26T00:00:00"/>
    <s v="CUST-0145"/>
    <s v="PROD-009"/>
    <x v="0"/>
    <x v="1"/>
    <n v="2"/>
    <n v="0"/>
    <x v="0"/>
    <n v="4"/>
    <n v="4"/>
    <x v="14"/>
    <x v="1"/>
    <n v="185"/>
    <n v="105"/>
    <x v="1"/>
    <n v="370"/>
    <n v="210"/>
    <n v="160"/>
    <n v="0.43243243243243246"/>
  </r>
  <r>
    <x v="935"/>
    <d v="2025-01-23T00:00:00"/>
    <s v="CUST-0212"/>
    <s v="PROD-003"/>
    <x v="4"/>
    <x v="0"/>
    <n v="1"/>
    <n v="0"/>
    <x v="0"/>
    <n v="5"/>
    <n v="4"/>
    <x v="10"/>
    <x v="0"/>
    <n v="75"/>
    <n v="38"/>
    <x v="0"/>
    <n v="75"/>
    <n v="38"/>
    <n v="37"/>
    <n v="0.49333333333333335"/>
  </r>
  <r>
    <x v="936"/>
    <d v="2025-06-14T00:00:00"/>
    <s v="CUST-0093"/>
    <s v="PROD-010"/>
    <x v="2"/>
    <x v="1"/>
    <n v="3"/>
    <n v="0.05"/>
    <x v="0"/>
    <n v="5"/>
    <n v="3"/>
    <x v="13"/>
    <x v="2"/>
    <n v="48"/>
    <n v="22"/>
    <x v="0"/>
    <n v="136.79999999999998"/>
    <n v="66"/>
    <n v="70.799999999999983"/>
    <n v="0.51754385964912275"/>
  </r>
  <r>
    <x v="937"/>
    <d v="2026-05-11T00:00:00"/>
    <s v="CUST-0280"/>
    <s v="PROD-001"/>
    <x v="2"/>
    <x v="0"/>
    <n v="6"/>
    <n v="0"/>
    <x v="0"/>
    <n v="1"/>
    <n v="7"/>
    <x v="2"/>
    <x v="0"/>
    <n v="1100"/>
    <n v="720"/>
    <x v="0"/>
    <n v="6600"/>
    <n v="4320"/>
    <n v="2280"/>
    <n v="0.34545454545454546"/>
  </r>
  <r>
    <x v="938"/>
    <d v="2025-08-10T00:00:00"/>
    <s v="CUST-0187"/>
    <s v="PROD-004"/>
    <x v="0"/>
    <x v="1"/>
    <n v="1"/>
    <n v="0"/>
    <x v="0"/>
    <n v="3"/>
    <n v="3"/>
    <x v="3"/>
    <x v="0"/>
    <n v="42"/>
    <n v="19"/>
    <x v="2"/>
    <n v="42"/>
    <n v="19"/>
    <n v="23"/>
    <n v="0.54761904761904767"/>
  </r>
  <r>
    <x v="939"/>
    <d v="2026-05-09T00:00:00"/>
    <s v="CUST-0103"/>
    <s v="PROD-003"/>
    <x v="3"/>
    <x v="0"/>
    <n v="1"/>
    <n v="0.1"/>
    <x v="0"/>
    <n v="4"/>
    <n v="4"/>
    <x v="10"/>
    <x v="0"/>
    <n v="75"/>
    <n v="38"/>
    <x v="0"/>
    <n v="67.5"/>
    <n v="38"/>
    <n v="29.5"/>
    <n v="0.43703703703703706"/>
  </r>
  <r>
    <x v="940"/>
    <d v="2025-07-17T00:00:00"/>
    <s v="CUST-0129"/>
    <s v="PROD-006"/>
    <x v="2"/>
    <x v="2"/>
    <n v="4"/>
    <n v="0.2"/>
    <x v="0"/>
    <n v="5"/>
    <n v="5"/>
    <x v="7"/>
    <x v="0"/>
    <n v="98"/>
    <n v="46"/>
    <x v="2"/>
    <n v="313.60000000000002"/>
    <n v="184"/>
    <n v="129.60000000000002"/>
    <n v="0.41326530612244905"/>
  </r>
  <r>
    <x v="941"/>
    <d v="2025-11-16T00:00:00"/>
    <s v="CUST-0085"/>
    <s v="PROD-007"/>
    <x v="0"/>
    <x v="0"/>
    <n v="5"/>
    <n v="0"/>
    <x v="0"/>
    <n v="5"/>
    <n v="5"/>
    <x v="6"/>
    <x v="1"/>
    <n v="540"/>
    <n v="320"/>
    <x v="1"/>
    <n v="2700"/>
    <n v="1600"/>
    <n v="1100"/>
    <n v="0.40740740740740738"/>
  </r>
  <r>
    <x v="942"/>
    <d v="2025-04-21T00:00:00"/>
    <s v="CUST-0197"/>
    <s v="PROD-014"/>
    <x v="2"/>
    <x v="1"/>
    <n v="6"/>
    <n v="0.1"/>
    <x v="0"/>
    <n v="5"/>
    <n v="5"/>
    <x v="5"/>
    <x v="3"/>
    <n v="17"/>
    <n v="8"/>
    <x v="0"/>
    <n v="91.8"/>
    <n v="48"/>
    <n v="43.8"/>
    <n v="0.47712418300653592"/>
  </r>
  <r>
    <x v="943"/>
    <d v="2025-09-17T00:00:00"/>
    <s v="CUST-0210"/>
    <s v="PROD-010"/>
    <x v="1"/>
    <x v="2"/>
    <n v="7"/>
    <n v="0.05"/>
    <x v="0"/>
    <n v="3"/>
    <n v="3"/>
    <x v="13"/>
    <x v="2"/>
    <n v="48"/>
    <n v="22"/>
    <x v="2"/>
    <n v="319.2"/>
    <n v="154"/>
    <n v="165.2"/>
    <n v="0.51754385964912275"/>
  </r>
  <r>
    <x v="944"/>
    <d v="2026-03-16T00:00:00"/>
    <s v="CUST-0096"/>
    <s v="PROD-012"/>
    <x v="3"/>
    <x v="1"/>
    <n v="2"/>
    <n v="0"/>
    <x v="0"/>
    <n v="1"/>
    <n v="4"/>
    <x v="11"/>
    <x v="2"/>
    <n v="68"/>
    <n v="31"/>
    <x v="1"/>
    <n v="136"/>
    <n v="62"/>
    <n v="74"/>
    <n v="0.54411764705882348"/>
  </r>
  <r>
    <x v="945"/>
    <d v="2025-08-07T00:00:00"/>
    <s v="CUST-0239"/>
    <s v="PROD-011"/>
    <x v="0"/>
    <x v="0"/>
    <n v="2"/>
    <n v="0.05"/>
    <x v="0"/>
    <n v="2"/>
    <n v="4"/>
    <x v="8"/>
    <x v="2"/>
    <n v="85"/>
    <n v="39"/>
    <x v="0"/>
    <n v="161.5"/>
    <n v="78"/>
    <n v="83.5"/>
    <n v="0.51702786377708976"/>
  </r>
  <r>
    <x v="946"/>
    <d v="2026-08-11T00:00:00"/>
    <s v="CUST-0216"/>
    <s v="PROD-014"/>
    <x v="3"/>
    <x v="1"/>
    <n v="1"/>
    <n v="0.1"/>
    <x v="0"/>
    <n v="5"/>
    <n v="4"/>
    <x v="5"/>
    <x v="3"/>
    <n v="17"/>
    <n v="8"/>
    <x v="2"/>
    <n v="15.3"/>
    <n v="8"/>
    <n v="7.3000000000000007"/>
    <n v="0.47712418300653597"/>
  </r>
  <r>
    <x v="947"/>
    <d v="2025-05-03T00:00:00"/>
    <s v="CUST-0064"/>
    <s v="PROD-015"/>
    <x v="2"/>
    <x v="1"/>
    <n v="2"/>
    <n v="0.05"/>
    <x v="0"/>
    <n v="5"/>
    <n v="5"/>
    <x v="12"/>
    <x v="3"/>
    <n v="23"/>
    <n v="10"/>
    <x v="0"/>
    <n v="43.699999999999996"/>
    <n v="20"/>
    <n v="23.699999999999996"/>
    <n v="0.54233409610983974"/>
  </r>
  <r>
    <x v="948"/>
    <d v="2025-01-05T00:00:00"/>
    <s v="CUST-0237"/>
    <s v="PROD-010"/>
    <x v="2"/>
    <x v="2"/>
    <n v="1"/>
    <n v="0.05"/>
    <x v="0"/>
    <n v="4"/>
    <n v="1"/>
    <x v="13"/>
    <x v="2"/>
    <n v="48"/>
    <n v="22"/>
    <x v="2"/>
    <n v="45.599999999999994"/>
    <n v="22"/>
    <n v="23.599999999999994"/>
    <n v="0.51754385964912275"/>
  </r>
  <r>
    <x v="949"/>
    <d v="2025-03-13T00:00:00"/>
    <s v="CUST-0241"/>
    <s v="PROD-004"/>
    <x v="0"/>
    <x v="1"/>
    <n v="1"/>
    <n v="0"/>
    <x v="0"/>
    <n v="2"/>
    <n v="7"/>
    <x v="3"/>
    <x v="0"/>
    <n v="42"/>
    <n v="19"/>
    <x v="1"/>
    <n v="42"/>
    <n v="19"/>
    <n v="23"/>
    <n v="0.54761904761904767"/>
  </r>
  <r>
    <x v="950"/>
    <d v="2025-02-18T00:00:00"/>
    <s v="CUST-0202"/>
    <s v="PROD-010"/>
    <x v="1"/>
    <x v="1"/>
    <n v="5"/>
    <n v="0.2"/>
    <x v="0"/>
    <n v="4"/>
    <n v="5"/>
    <x v="13"/>
    <x v="2"/>
    <n v="48"/>
    <n v="22"/>
    <x v="2"/>
    <n v="192"/>
    <n v="110"/>
    <n v="82"/>
    <n v="0.42708333333333331"/>
  </r>
  <r>
    <x v="951"/>
    <d v="2025-04-16T00:00:00"/>
    <s v="CUST-0015"/>
    <s v="PROD-008"/>
    <x v="2"/>
    <x v="1"/>
    <n v="1"/>
    <n v="0"/>
    <x v="0"/>
    <n v="4"/>
    <n v="2"/>
    <x v="1"/>
    <x v="1"/>
    <n v="255"/>
    <n v="145"/>
    <x v="0"/>
    <n v="255"/>
    <n v="145"/>
    <n v="110"/>
    <n v="0.43137254901960786"/>
  </r>
  <r>
    <x v="952"/>
    <d v="2025-04-01T00:00:00"/>
    <s v="CUST-0098"/>
    <s v="PROD-012"/>
    <x v="0"/>
    <x v="0"/>
    <n v="1"/>
    <n v="0.1"/>
    <x v="0"/>
    <n v="5"/>
    <n v="1"/>
    <x v="11"/>
    <x v="2"/>
    <n v="68"/>
    <n v="31"/>
    <x v="0"/>
    <n v="61.2"/>
    <n v="31"/>
    <n v="30.200000000000003"/>
    <n v="0.49346405228758172"/>
  </r>
  <r>
    <x v="953"/>
    <d v="2025-04-24T00:00:00"/>
    <s v="CUST-0025"/>
    <s v="PROD-010"/>
    <x v="2"/>
    <x v="1"/>
    <n v="3"/>
    <n v="0.1"/>
    <x v="0"/>
    <n v="3"/>
    <n v="2"/>
    <x v="13"/>
    <x v="2"/>
    <n v="48"/>
    <n v="22"/>
    <x v="2"/>
    <n v="129.6"/>
    <n v="66"/>
    <n v="63.599999999999994"/>
    <n v="0.4907407407407407"/>
  </r>
  <r>
    <x v="954"/>
    <d v="2026-08-21T00:00:00"/>
    <s v="CUST-0236"/>
    <s v="PROD-004"/>
    <x v="2"/>
    <x v="2"/>
    <n v="4"/>
    <n v="0.15"/>
    <x v="1"/>
    <n v="4"/>
    <n v="5"/>
    <x v="3"/>
    <x v="0"/>
    <n v="42"/>
    <n v="19"/>
    <x v="1"/>
    <n v="142.79999999999998"/>
    <n v="76"/>
    <n v="66.799999999999983"/>
    <n v="0.46778711484593832"/>
  </r>
  <r>
    <x v="955"/>
    <d v="2026-06-19T00:00:00"/>
    <s v="CUST-0271"/>
    <s v="PROD-008"/>
    <x v="4"/>
    <x v="0"/>
    <n v="8"/>
    <n v="0"/>
    <x v="0"/>
    <n v="3"/>
    <n v="3"/>
    <x v="1"/>
    <x v="1"/>
    <n v="255"/>
    <n v="145"/>
    <x v="2"/>
    <n v="2040"/>
    <n v="1160"/>
    <n v="880"/>
    <n v="0.43137254901960786"/>
  </r>
  <r>
    <x v="956"/>
    <d v="2025-10-31T00:00:00"/>
    <s v="CUST-0043"/>
    <s v="PROD-012"/>
    <x v="4"/>
    <x v="2"/>
    <n v="3"/>
    <n v="0.1"/>
    <x v="0"/>
    <n v="2"/>
    <n v="5"/>
    <x v="11"/>
    <x v="2"/>
    <n v="68"/>
    <n v="31"/>
    <x v="1"/>
    <n v="183.6"/>
    <n v="93"/>
    <n v="90.6"/>
    <n v="0.49346405228758167"/>
  </r>
  <r>
    <x v="957"/>
    <d v="2025-08-06T00:00:00"/>
    <s v="CUST-0007"/>
    <s v="PROD-007"/>
    <x v="4"/>
    <x v="1"/>
    <n v="2"/>
    <n v="0"/>
    <x v="0"/>
    <n v="5"/>
    <n v="5"/>
    <x v="6"/>
    <x v="1"/>
    <n v="540"/>
    <n v="320"/>
    <x v="2"/>
    <n v="1080"/>
    <n v="640"/>
    <n v="440"/>
    <n v="0.40740740740740738"/>
  </r>
  <r>
    <x v="958"/>
    <d v="2025-11-17T00:00:00"/>
    <s v="CUST-0160"/>
    <s v="PROD-015"/>
    <x v="1"/>
    <x v="2"/>
    <n v="1"/>
    <n v="0"/>
    <x v="1"/>
    <n v="4"/>
    <n v="6"/>
    <x v="12"/>
    <x v="3"/>
    <n v="23"/>
    <n v="10"/>
    <x v="1"/>
    <n v="23"/>
    <n v="10"/>
    <n v="13"/>
    <n v="0.56521739130434778"/>
  </r>
  <r>
    <x v="959"/>
    <d v="2026-02-14T00:00:00"/>
    <s v="CUST-0097"/>
    <s v="PROD-003"/>
    <x v="3"/>
    <x v="1"/>
    <n v="1"/>
    <n v="0.15"/>
    <x v="0"/>
    <n v="3"/>
    <n v="1"/>
    <x v="10"/>
    <x v="0"/>
    <n v="75"/>
    <n v="38"/>
    <x v="2"/>
    <n v="63.75"/>
    <n v="38"/>
    <n v="25.75"/>
    <n v="0.40392156862745099"/>
  </r>
  <r>
    <x v="960"/>
    <d v="2025-04-23T00:00:00"/>
    <s v="CUST-0124"/>
    <s v="PROD-001"/>
    <x v="0"/>
    <x v="1"/>
    <n v="1"/>
    <n v="0.1"/>
    <x v="0"/>
    <n v="4"/>
    <n v="5"/>
    <x v="2"/>
    <x v="0"/>
    <n v="1100"/>
    <n v="720"/>
    <x v="0"/>
    <n v="990"/>
    <n v="720"/>
    <n v="270"/>
    <n v="0.27272727272727271"/>
  </r>
  <r>
    <x v="961"/>
    <d v="2025-03-28T00:00:00"/>
    <s v="CUST-0182"/>
    <s v="PROD-014"/>
    <x v="2"/>
    <x v="1"/>
    <n v="2"/>
    <n v="0"/>
    <x v="0"/>
    <n v="4"/>
    <n v="1"/>
    <x v="5"/>
    <x v="3"/>
    <n v="17"/>
    <n v="8"/>
    <x v="0"/>
    <n v="34"/>
    <n v="16"/>
    <n v="18"/>
    <n v="0.52941176470588236"/>
  </r>
  <r>
    <x v="962"/>
    <d v="2026-01-27T00:00:00"/>
    <s v="CUST-0217"/>
    <s v="PROD-007"/>
    <x v="3"/>
    <x v="1"/>
    <n v="3"/>
    <n v="0.05"/>
    <x v="0"/>
    <n v="4"/>
    <n v="1"/>
    <x v="6"/>
    <x v="1"/>
    <n v="540"/>
    <n v="320"/>
    <x v="0"/>
    <n v="1539"/>
    <n v="960"/>
    <n v="579"/>
    <n v="0.37621832358674462"/>
  </r>
  <r>
    <x v="963"/>
    <d v="2025-09-12T00:00:00"/>
    <s v="CUST-0057"/>
    <s v="PROD-008"/>
    <x v="2"/>
    <x v="2"/>
    <n v="3"/>
    <n v="0"/>
    <x v="0"/>
    <n v="4"/>
    <n v="5"/>
    <x v="1"/>
    <x v="1"/>
    <n v="255"/>
    <n v="145"/>
    <x v="1"/>
    <n v="765"/>
    <n v="435"/>
    <n v="330"/>
    <n v="0.43137254901960786"/>
  </r>
  <r>
    <x v="964"/>
    <d v="2026-02-19T00:00:00"/>
    <s v="CUST-0201"/>
    <s v="PROD-013"/>
    <x v="2"/>
    <x v="0"/>
    <n v="5"/>
    <n v="0"/>
    <x v="0"/>
    <n v="5"/>
    <n v="3"/>
    <x v="4"/>
    <x v="2"/>
    <n v="32"/>
    <n v="13"/>
    <x v="2"/>
    <n v="160"/>
    <n v="65"/>
    <n v="95"/>
    <n v="0.59375"/>
  </r>
  <r>
    <x v="965"/>
    <d v="2025-10-22T00:00:00"/>
    <s v="CUST-0148"/>
    <s v="PROD-001"/>
    <x v="2"/>
    <x v="0"/>
    <n v="3"/>
    <n v="0.05"/>
    <x v="0"/>
    <n v="5"/>
    <n v="2"/>
    <x v="2"/>
    <x v="0"/>
    <n v="1100"/>
    <n v="720"/>
    <x v="0"/>
    <n v="3135"/>
    <n v="2160"/>
    <n v="975"/>
    <n v="0.31100478468899523"/>
  </r>
  <r>
    <x v="966"/>
    <d v="2025-06-24T00:00:00"/>
    <s v="CUST-0162"/>
    <s v="PROD-003"/>
    <x v="2"/>
    <x v="1"/>
    <n v="2"/>
    <n v="0.2"/>
    <x v="0"/>
    <n v="4"/>
    <n v="1"/>
    <x v="10"/>
    <x v="0"/>
    <n v="75"/>
    <n v="38"/>
    <x v="0"/>
    <n v="120"/>
    <n v="76"/>
    <n v="44"/>
    <n v="0.36666666666666664"/>
  </r>
  <r>
    <x v="967"/>
    <d v="2025-07-01T00:00:00"/>
    <s v="CUST-0136"/>
    <s v="PROD-003"/>
    <x v="2"/>
    <x v="0"/>
    <n v="1"/>
    <n v="0"/>
    <x v="0"/>
    <n v="1"/>
    <n v="6"/>
    <x v="10"/>
    <x v="0"/>
    <n v="75"/>
    <n v="38"/>
    <x v="1"/>
    <n v="75"/>
    <n v="38"/>
    <n v="37"/>
    <n v="0.49333333333333335"/>
  </r>
  <r>
    <x v="968"/>
    <d v="2025-04-23T00:00:00"/>
    <s v="CUST-0024"/>
    <s v="PROD-001"/>
    <x v="4"/>
    <x v="2"/>
    <n v="5"/>
    <n v="0.05"/>
    <x v="0"/>
    <n v="3"/>
    <n v="1"/>
    <x v="2"/>
    <x v="0"/>
    <n v="1100"/>
    <n v="720"/>
    <x v="1"/>
    <n v="5225"/>
    <n v="3600"/>
    <n v="1625"/>
    <n v="0.31100478468899523"/>
  </r>
  <r>
    <x v="969"/>
    <d v="2025-04-13T00:00:00"/>
    <s v="CUST-0156"/>
    <s v="PROD-011"/>
    <x v="4"/>
    <x v="0"/>
    <n v="8"/>
    <n v="0"/>
    <x v="0"/>
    <n v="4"/>
    <n v="1"/>
    <x v="8"/>
    <x v="2"/>
    <n v="85"/>
    <n v="39"/>
    <x v="1"/>
    <n v="680"/>
    <n v="312"/>
    <n v="368"/>
    <n v="0.54117647058823526"/>
  </r>
  <r>
    <x v="970"/>
    <d v="2025-12-28T00:00:00"/>
    <s v="CUST-0155"/>
    <s v="PROD-011"/>
    <x v="0"/>
    <x v="0"/>
    <n v="5"/>
    <n v="0.15"/>
    <x v="0"/>
    <n v="3"/>
    <n v="5"/>
    <x v="8"/>
    <x v="2"/>
    <n v="85"/>
    <n v="39"/>
    <x v="1"/>
    <n v="361.25"/>
    <n v="195"/>
    <n v="166.25"/>
    <n v="0.46020761245674741"/>
  </r>
  <r>
    <x v="971"/>
    <d v="2025-01-22T00:00:00"/>
    <s v="CUST-0076"/>
    <s v="PROD-014"/>
    <x v="0"/>
    <x v="0"/>
    <n v="1"/>
    <n v="0.05"/>
    <x v="0"/>
    <n v="5"/>
    <n v="4"/>
    <x v="5"/>
    <x v="3"/>
    <n v="17"/>
    <n v="8"/>
    <x v="1"/>
    <n v="16.149999999999999"/>
    <n v="8"/>
    <n v="8.1499999999999986"/>
    <n v="0.50464396284829716"/>
  </r>
  <r>
    <x v="972"/>
    <d v="2026-01-04T00:00:00"/>
    <s v="CUST-0106"/>
    <s v="PROD-003"/>
    <x v="2"/>
    <x v="2"/>
    <n v="3"/>
    <n v="0.2"/>
    <x v="0"/>
    <n v="5"/>
    <n v="4"/>
    <x v="10"/>
    <x v="0"/>
    <n v="75"/>
    <n v="38"/>
    <x v="0"/>
    <n v="180"/>
    <n v="114"/>
    <n v="66"/>
    <n v="0.36666666666666664"/>
  </r>
  <r>
    <x v="973"/>
    <d v="2026-06-24T00:00:00"/>
    <s v="CUST-0090"/>
    <s v="PROD-009"/>
    <x v="0"/>
    <x v="1"/>
    <n v="2"/>
    <n v="0.05"/>
    <x v="1"/>
    <n v="4"/>
    <n v="3"/>
    <x v="14"/>
    <x v="1"/>
    <n v="185"/>
    <n v="105"/>
    <x v="1"/>
    <n v="351.5"/>
    <n v="210"/>
    <n v="141.5"/>
    <n v="0.40256045519203415"/>
  </r>
  <r>
    <x v="974"/>
    <d v="2026-08-17T00:00:00"/>
    <s v="CUST-0267"/>
    <s v="PROD-011"/>
    <x v="0"/>
    <x v="1"/>
    <n v="4"/>
    <n v="0.05"/>
    <x v="0"/>
    <n v="4"/>
    <n v="1"/>
    <x v="8"/>
    <x v="2"/>
    <n v="85"/>
    <n v="39"/>
    <x v="0"/>
    <n v="323"/>
    <n v="156"/>
    <n v="167"/>
    <n v="0.51702786377708976"/>
  </r>
  <r>
    <x v="975"/>
    <d v="2025-01-09T00:00:00"/>
    <s v="CUST-0256"/>
    <s v="PROD-005"/>
    <x v="4"/>
    <x v="1"/>
    <n v="7"/>
    <n v="0.05"/>
    <x v="0"/>
    <n v="4"/>
    <n v="3"/>
    <x v="15"/>
    <x v="0"/>
    <n v="115"/>
    <n v="58"/>
    <x v="2"/>
    <n v="764.75"/>
    <n v="406"/>
    <n v="358.75"/>
    <n v="0.46910755148741418"/>
  </r>
  <r>
    <x v="976"/>
    <d v="2025-03-08T00:00:00"/>
    <s v="CUST-0151"/>
    <s v="PROD-001"/>
    <x v="4"/>
    <x v="1"/>
    <n v="5"/>
    <n v="0"/>
    <x v="0"/>
    <n v="1"/>
    <n v="4"/>
    <x v="2"/>
    <x v="0"/>
    <n v="1100"/>
    <n v="720"/>
    <x v="2"/>
    <n v="5500"/>
    <n v="3600"/>
    <n v="1900"/>
    <n v="0.34545454545454546"/>
  </r>
  <r>
    <x v="977"/>
    <d v="2025-02-21T00:00:00"/>
    <s v="CUST-0129"/>
    <s v="PROD-005"/>
    <x v="3"/>
    <x v="1"/>
    <n v="5"/>
    <n v="0.1"/>
    <x v="0"/>
    <n v="3"/>
    <n v="1"/>
    <x v="15"/>
    <x v="0"/>
    <n v="115"/>
    <n v="58"/>
    <x v="2"/>
    <n v="517.5"/>
    <n v="290"/>
    <n v="227.5"/>
    <n v="0.43961352657004832"/>
  </r>
  <r>
    <x v="978"/>
    <d v="2025-10-05T00:00:00"/>
    <s v="CUST-0074"/>
    <s v="PROD-007"/>
    <x v="4"/>
    <x v="2"/>
    <n v="1"/>
    <n v="0"/>
    <x v="1"/>
    <n v="3"/>
    <n v="8"/>
    <x v="6"/>
    <x v="1"/>
    <n v="540"/>
    <n v="320"/>
    <x v="1"/>
    <n v="540"/>
    <n v="320"/>
    <n v="220"/>
    <n v="0.40740740740740738"/>
  </r>
  <r>
    <x v="979"/>
    <d v="2026-02-13T00:00:00"/>
    <s v="CUST-0051"/>
    <s v="PROD-009"/>
    <x v="0"/>
    <x v="0"/>
    <n v="1"/>
    <n v="0"/>
    <x v="0"/>
    <n v="5"/>
    <n v="2"/>
    <x v="14"/>
    <x v="1"/>
    <n v="185"/>
    <n v="105"/>
    <x v="1"/>
    <n v="185"/>
    <n v="105"/>
    <n v="80"/>
    <n v="0.43243243243243246"/>
  </r>
  <r>
    <x v="980"/>
    <d v="2025-07-24T00:00:00"/>
    <s v="CUST-0129"/>
    <s v="PROD-005"/>
    <x v="3"/>
    <x v="1"/>
    <n v="1"/>
    <n v="0"/>
    <x v="1"/>
    <n v="4"/>
    <n v="6"/>
    <x v="15"/>
    <x v="0"/>
    <n v="115"/>
    <n v="58"/>
    <x v="2"/>
    <n v="115"/>
    <n v="58"/>
    <n v="57"/>
    <n v="0.4956521739130435"/>
  </r>
  <r>
    <x v="981"/>
    <d v="2026-03-24T00:00:00"/>
    <s v="CUST-0050"/>
    <s v="PROD-005"/>
    <x v="4"/>
    <x v="0"/>
    <n v="2"/>
    <n v="0.1"/>
    <x v="0"/>
    <n v="4"/>
    <n v="4"/>
    <x v="15"/>
    <x v="0"/>
    <n v="115"/>
    <n v="58"/>
    <x v="1"/>
    <n v="207"/>
    <n v="116"/>
    <n v="91"/>
    <n v="0.43961352657004832"/>
  </r>
  <r>
    <x v="982"/>
    <d v="2026-03-07T00:00:00"/>
    <s v="CUST-0211"/>
    <s v="PROD-015"/>
    <x v="2"/>
    <x v="0"/>
    <n v="7"/>
    <n v="0"/>
    <x v="0"/>
    <n v="5"/>
    <n v="3"/>
    <x v="12"/>
    <x v="3"/>
    <n v="23"/>
    <n v="10"/>
    <x v="1"/>
    <n v="161"/>
    <n v="70"/>
    <n v="91"/>
    <n v="0.56521739130434778"/>
  </r>
  <r>
    <x v="983"/>
    <d v="2025-09-06T00:00:00"/>
    <s v="CUST-0298"/>
    <s v="PROD-012"/>
    <x v="2"/>
    <x v="0"/>
    <n v="3"/>
    <n v="0"/>
    <x v="0"/>
    <n v="4"/>
    <n v="4"/>
    <x v="11"/>
    <x v="2"/>
    <n v="68"/>
    <n v="31"/>
    <x v="1"/>
    <n v="204"/>
    <n v="93"/>
    <n v="111"/>
    <n v="0.54411764705882348"/>
  </r>
  <r>
    <x v="984"/>
    <d v="2025-01-07T00:00:00"/>
    <s v="CUST-0237"/>
    <s v="PROD-015"/>
    <x v="0"/>
    <x v="1"/>
    <n v="1"/>
    <n v="0.2"/>
    <x v="0"/>
    <n v="4"/>
    <n v="3"/>
    <x v="12"/>
    <x v="3"/>
    <n v="23"/>
    <n v="10"/>
    <x v="2"/>
    <n v="18.400000000000002"/>
    <n v="10"/>
    <n v="8.4000000000000021"/>
    <n v="0.45652173913043487"/>
  </r>
  <r>
    <x v="985"/>
    <d v="2026-08-03T00:00:00"/>
    <s v="CUST-0247"/>
    <s v="PROD-011"/>
    <x v="0"/>
    <x v="1"/>
    <n v="3"/>
    <n v="0.05"/>
    <x v="0"/>
    <n v="5"/>
    <n v="5"/>
    <x v="8"/>
    <x v="2"/>
    <n v="85"/>
    <n v="39"/>
    <x v="1"/>
    <n v="242.25"/>
    <n v="117"/>
    <n v="125.25"/>
    <n v="0.51702786377708976"/>
  </r>
  <r>
    <x v="986"/>
    <d v="2025-05-28T00:00:00"/>
    <s v="CUST-0288"/>
    <s v="PROD-016"/>
    <x v="2"/>
    <x v="2"/>
    <n v="3"/>
    <n v="0"/>
    <x v="0"/>
    <n v="5"/>
    <n v="1"/>
    <x v="9"/>
    <x v="3"/>
    <n v="28"/>
    <n v="12"/>
    <x v="1"/>
    <n v="84"/>
    <n v="36"/>
    <n v="48"/>
    <n v="0.5714285714285714"/>
  </r>
  <r>
    <x v="987"/>
    <d v="2026-05-12T00:00:00"/>
    <s v="CUST-0103"/>
    <s v="PROD-004"/>
    <x v="2"/>
    <x v="1"/>
    <n v="5"/>
    <n v="0.05"/>
    <x v="0"/>
    <n v="2"/>
    <n v="5"/>
    <x v="3"/>
    <x v="0"/>
    <n v="42"/>
    <n v="19"/>
    <x v="0"/>
    <n v="199.5"/>
    <n v="95"/>
    <n v="104.5"/>
    <n v="0.52380952380952384"/>
  </r>
  <r>
    <x v="988"/>
    <d v="2026-02-05T00:00:00"/>
    <s v="CUST-0029"/>
    <s v="PROD-004"/>
    <x v="3"/>
    <x v="0"/>
    <n v="1"/>
    <n v="0"/>
    <x v="0"/>
    <n v="4"/>
    <n v="5"/>
    <x v="3"/>
    <x v="0"/>
    <n v="42"/>
    <n v="19"/>
    <x v="2"/>
    <n v="42"/>
    <n v="19"/>
    <n v="23"/>
    <n v="0.54761904761904767"/>
  </r>
  <r>
    <x v="989"/>
    <d v="2026-03-26T00:00:00"/>
    <s v="CUST-0064"/>
    <s v="PROD-014"/>
    <x v="2"/>
    <x v="1"/>
    <n v="1"/>
    <n v="0.1"/>
    <x v="0"/>
    <n v="4"/>
    <n v="5"/>
    <x v="5"/>
    <x v="3"/>
    <n v="17"/>
    <n v="8"/>
    <x v="0"/>
    <n v="15.3"/>
    <n v="8"/>
    <n v="7.3000000000000007"/>
    <n v="0.47712418300653597"/>
  </r>
  <r>
    <x v="990"/>
    <d v="2025-07-25T00:00:00"/>
    <s v="CUST-0244"/>
    <s v="PROD-016"/>
    <x v="3"/>
    <x v="0"/>
    <n v="7"/>
    <n v="0.05"/>
    <x v="0"/>
    <n v="4"/>
    <n v="1"/>
    <x v="9"/>
    <x v="3"/>
    <n v="28"/>
    <n v="12"/>
    <x v="2"/>
    <n v="186.2"/>
    <n v="84"/>
    <n v="102.19999999999999"/>
    <n v="0.54887218045112784"/>
  </r>
  <r>
    <x v="991"/>
    <d v="2026-04-21T00:00:00"/>
    <s v="CUST-0214"/>
    <s v="PROD-014"/>
    <x v="2"/>
    <x v="1"/>
    <n v="1"/>
    <n v="0"/>
    <x v="0"/>
    <n v="1"/>
    <n v="9"/>
    <x v="5"/>
    <x v="3"/>
    <n v="17"/>
    <n v="8"/>
    <x v="1"/>
    <n v="17"/>
    <n v="8"/>
    <n v="9"/>
    <n v="0.52941176470588236"/>
  </r>
  <r>
    <x v="992"/>
    <d v="2025-02-13T00:00:00"/>
    <s v="CUST-0182"/>
    <s v="PROD-005"/>
    <x v="4"/>
    <x v="0"/>
    <n v="1"/>
    <n v="0.2"/>
    <x v="0"/>
    <n v="5"/>
    <n v="5"/>
    <x v="15"/>
    <x v="0"/>
    <n v="115"/>
    <n v="58"/>
    <x v="0"/>
    <n v="92"/>
    <n v="58"/>
    <n v="34"/>
    <n v="0.36956521739130432"/>
  </r>
  <r>
    <x v="993"/>
    <d v="2025-08-04T00:00:00"/>
    <s v="CUST-0179"/>
    <s v="PROD-013"/>
    <x v="4"/>
    <x v="1"/>
    <n v="1"/>
    <n v="0.05"/>
    <x v="0"/>
    <n v="4"/>
    <n v="2"/>
    <x v="4"/>
    <x v="2"/>
    <n v="32"/>
    <n v="13"/>
    <x v="1"/>
    <n v="30.4"/>
    <n v="13"/>
    <n v="17.399999999999999"/>
    <n v="0.57236842105263153"/>
  </r>
  <r>
    <x v="994"/>
    <d v="2025-10-13T00:00:00"/>
    <s v="CUST-0156"/>
    <s v="PROD-013"/>
    <x v="2"/>
    <x v="2"/>
    <n v="2"/>
    <n v="0.2"/>
    <x v="0"/>
    <n v="3"/>
    <n v="5"/>
    <x v="4"/>
    <x v="2"/>
    <n v="32"/>
    <n v="13"/>
    <x v="1"/>
    <n v="51.2"/>
    <n v="26"/>
    <n v="25.200000000000003"/>
    <n v="0.49218750000000006"/>
  </r>
  <r>
    <x v="995"/>
    <d v="2026-06-23T00:00:00"/>
    <s v="CUST-0133"/>
    <s v="PROD-005"/>
    <x v="1"/>
    <x v="0"/>
    <n v="3"/>
    <n v="0.05"/>
    <x v="0"/>
    <n v="2"/>
    <n v="3"/>
    <x v="15"/>
    <x v="0"/>
    <n v="115"/>
    <n v="58"/>
    <x v="2"/>
    <n v="327.75"/>
    <n v="174"/>
    <n v="153.75"/>
    <n v="0.46910755148741418"/>
  </r>
  <r>
    <x v="996"/>
    <d v="2025-08-26T00:00:00"/>
    <s v="CUST-0050"/>
    <s v="PROD-004"/>
    <x v="4"/>
    <x v="0"/>
    <n v="2"/>
    <n v="0"/>
    <x v="0"/>
    <n v="5"/>
    <n v="2"/>
    <x v="3"/>
    <x v="0"/>
    <n v="42"/>
    <n v="19"/>
    <x v="1"/>
    <n v="84"/>
    <n v="38"/>
    <n v="46"/>
    <n v="0.54761904761904767"/>
  </r>
  <r>
    <x v="997"/>
    <d v="2025-04-18T00:00:00"/>
    <s v="CUST-0090"/>
    <s v="PROD-013"/>
    <x v="1"/>
    <x v="1"/>
    <n v="1"/>
    <n v="0.05"/>
    <x v="0"/>
    <n v="5"/>
    <n v="1"/>
    <x v="4"/>
    <x v="2"/>
    <n v="32"/>
    <n v="13"/>
    <x v="1"/>
    <n v="30.4"/>
    <n v="13"/>
    <n v="17.399999999999999"/>
    <n v="0.57236842105263153"/>
  </r>
  <r>
    <x v="998"/>
    <d v="2026-03-29T00:00:00"/>
    <s v="CUST-0192"/>
    <s v="PROD-001"/>
    <x v="0"/>
    <x v="1"/>
    <n v="3"/>
    <n v="0"/>
    <x v="1"/>
    <n v="4"/>
    <n v="4"/>
    <x v="2"/>
    <x v="0"/>
    <n v="1100"/>
    <n v="720"/>
    <x v="1"/>
    <n v="3300"/>
    <n v="2160"/>
    <n v="1140"/>
    <n v="0.34545454545454546"/>
  </r>
  <r>
    <x v="999"/>
    <d v="2025-09-16T00:00:00"/>
    <s v="CUST-0252"/>
    <s v="PROD-015"/>
    <x v="1"/>
    <x v="1"/>
    <n v="4"/>
    <n v="0"/>
    <x v="0"/>
    <n v="5"/>
    <n v="1"/>
    <x v="12"/>
    <x v="3"/>
    <n v="23"/>
    <n v="10"/>
    <x v="0"/>
    <n v="92"/>
    <n v="40"/>
    <n v="52"/>
    <n v="0.56521739130434778"/>
  </r>
  <r>
    <x v="1000"/>
    <d v="2026-08-20T00:00:00"/>
    <s v="CUST-0013"/>
    <s v="PROD-004"/>
    <x v="2"/>
    <x v="0"/>
    <n v="6"/>
    <n v="0"/>
    <x v="0"/>
    <n v="4"/>
    <n v="1"/>
    <x v="3"/>
    <x v="0"/>
    <n v="42"/>
    <n v="19"/>
    <x v="1"/>
    <n v="252"/>
    <n v="114"/>
    <n v="138"/>
    <n v="0.54761904761904767"/>
  </r>
  <r>
    <x v="1001"/>
    <d v="2025-12-15T00:00:00"/>
    <s v="CUST-0095"/>
    <s v="PROD-016"/>
    <x v="2"/>
    <x v="1"/>
    <n v="5"/>
    <n v="0.05"/>
    <x v="0"/>
    <n v="5"/>
    <n v="2"/>
    <x v="9"/>
    <x v="3"/>
    <n v="28"/>
    <n v="12"/>
    <x v="1"/>
    <n v="133"/>
    <n v="60"/>
    <n v="73"/>
    <n v="0.54887218045112784"/>
  </r>
  <r>
    <x v="1002"/>
    <d v="2025-03-10T00:00:00"/>
    <s v="CUST-0225"/>
    <s v="PROD-014"/>
    <x v="1"/>
    <x v="2"/>
    <n v="3"/>
    <n v="0"/>
    <x v="0"/>
    <n v="2"/>
    <n v="6"/>
    <x v="5"/>
    <x v="3"/>
    <n v="17"/>
    <n v="8"/>
    <x v="1"/>
    <n v="51"/>
    <n v="24"/>
    <n v="27"/>
    <n v="0.52941176470588236"/>
  </r>
  <r>
    <x v="1003"/>
    <d v="2025-02-22T00:00:00"/>
    <s v="CUST-0277"/>
    <s v="PROD-011"/>
    <x v="2"/>
    <x v="0"/>
    <n v="1"/>
    <n v="0.1"/>
    <x v="0"/>
    <n v="4"/>
    <n v="2"/>
    <x v="8"/>
    <x v="2"/>
    <n v="85"/>
    <n v="39"/>
    <x v="1"/>
    <n v="76.5"/>
    <n v="39"/>
    <n v="37.5"/>
    <n v="0.49019607843137253"/>
  </r>
  <r>
    <x v="1004"/>
    <d v="2025-10-22T00:00:00"/>
    <s v="CUST-0039"/>
    <s v="PROD-008"/>
    <x v="0"/>
    <x v="2"/>
    <n v="2"/>
    <n v="0"/>
    <x v="0"/>
    <n v="5"/>
    <n v="1"/>
    <x v="1"/>
    <x v="1"/>
    <n v="255"/>
    <n v="145"/>
    <x v="2"/>
    <n v="510"/>
    <n v="290"/>
    <n v="220"/>
    <n v="0.43137254901960786"/>
  </r>
  <r>
    <x v="1005"/>
    <d v="2026-08-20T00:00:00"/>
    <s v="CUST-0242"/>
    <s v="PROD-009"/>
    <x v="1"/>
    <x v="1"/>
    <n v="2"/>
    <n v="0"/>
    <x v="0"/>
    <n v="2"/>
    <n v="5"/>
    <x v="14"/>
    <x v="1"/>
    <n v="185"/>
    <n v="105"/>
    <x v="0"/>
    <n v="370"/>
    <n v="210"/>
    <n v="160"/>
    <n v="0.43243243243243246"/>
  </r>
  <r>
    <x v="1006"/>
    <d v="2025-03-05T00:00:00"/>
    <s v="CUST-0121"/>
    <s v="PROD-016"/>
    <x v="2"/>
    <x v="2"/>
    <n v="6"/>
    <n v="0.1"/>
    <x v="0"/>
    <n v="1"/>
    <n v="5"/>
    <x v="9"/>
    <x v="3"/>
    <n v="28"/>
    <n v="12"/>
    <x v="0"/>
    <n v="151.20000000000002"/>
    <n v="72"/>
    <n v="79.200000000000017"/>
    <n v="0.52380952380952384"/>
  </r>
  <r>
    <x v="1007"/>
    <d v="2025-03-24T00:00:00"/>
    <s v="CUST-0283"/>
    <s v="PROD-016"/>
    <x v="0"/>
    <x v="1"/>
    <n v="1"/>
    <n v="0"/>
    <x v="0"/>
    <n v="5"/>
    <n v="4"/>
    <x v="9"/>
    <x v="3"/>
    <n v="28"/>
    <n v="12"/>
    <x v="0"/>
    <n v="28"/>
    <n v="12"/>
    <n v="16"/>
    <n v="0.5714285714285714"/>
  </r>
  <r>
    <x v="1008"/>
    <d v="2026-05-05T00:00:00"/>
    <s v="CUST-0156"/>
    <s v="PROD-008"/>
    <x v="2"/>
    <x v="1"/>
    <n v="4"/>
    <n v="0.1"/>
    <x v="0"/>
    <n v="5"/>
    <n v="1"/>
    <x v="1"/>
    <x v="1"/>
    <n v="255"/>
    <n v="145"/>
    <x v="1"/>
    <n v="918"/>
    <n v="580"/>
    <n v="338"/>
    <n v="0.36819172113289761"/>
  </r>
  <r>
    <x v="1009"/>
    <d v="2026-07-20T00:00:00"/>
    <s v="CUST-0247"/>
    <s v="PROD-002"/>
    <x v="3"/>
    <x v="1"/>
    <n v="1"/>
    <n v="0.1"/>
    <x v="0"/>
    <n v="3"/>
    <n v="1"/>
    <x v="0"/>
    <x v="0"/>
    <n v="310"/>
    <n v="190"/>
    <x v="1"/>
    <n v="279"/>
    <n v="190"/>
    <n v="89"/>
    <n v="0.31899641577060933"/>
  </r>
  <r>
    <x v="1010"/>
    <d v="2026-01-12T00:00:00"/>
    <s v="CUST-0181"/>
    <s v="PROD-007"/>
    <x v="3"/>
    <x v="2"/>
    <n v="1"/>
    <n v="0"/>
    <x v="0"/>
    <n v="4"/>
    <n v="5"/>
    <x v="6"/>
    <x v="1"/>
    <n v="540"/>
    <n v="320"/>
    <x v="0"/>
    <n v="540"/>
    <n v="320"/>
    <n v="220"/>
    <n v="0.40740740740740738"/>
  </r>
  <r>
    <x v="1011"/>
    <d v="2026-08-05T00:00:00"/>
    <s v="CUST-0024"/>
    <s v="PROD-001"/>
    <x v="0"/>
    <x v="1"/>
    <n v="1"/>
    <n v="0"/>
    <x v="0"/>
    <n v="4"/>
    <n v="3"/>
    <x v="2"/>
    <x v="0"/>
    <n v="1100"/>
    <n v="720"/>
    <x v="1"/>
    <n v="1100"/>
    <n v="720"/>
    <n v="380"/>
    <n v="0.34545454545454546"/>
  </r>
  <r>
    <x v="1012"/>
    <d v="2025-12-25T00:00:00"/>
    <s v="CUST-0126"/>
    <s v="PROD-010"/>
    <x v="2"/>
    <x v="1"/>
    <n v="3"/>
    <n v="0.05"/>
    <x v="0"/>
    <n v="5"/>
    <n v="2"/>
    <x v="13"/>
    <x v="2"/>
    <n v="48"/>
    <n v="22"/>
    <x v="1"/>
    <n v="136.79999999999998"/>
    <n v="66"/>
    <n v="70.799999999999983"/>
    <n v="0.51754385964912275"/>
  </r>
  <r>
    <x v="1013"/>
    <d v="2026-05-22T00:00:00"/>
    <s v="CUST-0183"/>
    <s v="PROD-008"/>
    <x v="4"/>
    <x v="1"/>
    <n v="2"/>
    <n v="0.05"/>
    <x v="0"/>
    <n v="3"/>
    <n v="3"/>
    <x v="1"/>
    <x v="1"/>
    <n v="255"/>
    <n v="145"/>
    <x v="2"/>
    <n v="484.5"/>
    <n v="290"/>
    <n v="194.5"/>
    <n v="0.40144478844169246"/>
  </r>
  <r>
    <x v="1014"/>
    <d v="2025-11-23T00:00:00"/>
    <s v="CUST-0278"/>
    <s v="PROD-004"/>
    <x v="2"/>
    <x v="2"/>
    <n v="3"/>
    <n v="0.05"/>
    <x v="0"/>
    <n v="3"/>
    <n v="2"/>
    <x v="3"/>
    <x v="0"/>
    <n v="42"/>
    <n v="19"/>
    <x v="0"/>
    <n v="119.69999999999999"/>
    <n v="57"/>
    <n v="62.699999999999989"/>
    <n v="0.52380952380952372"/>
  </r>
  <r>
    <x v="1015"/>
    <d v="2026-06-18T00:00:00"/>
    <s v="CUST-0119"/>
    <s v="PROD-010"/>
    <x v="1"/>
    <x v="1"/>
    <n v="2"/>
    <n v="0.1"/>
    <x v="0"/>
    <n v="5"/>
    <n v="4"/>
    <x v="13"/>
    <x v="2"/>
    <n v="48"/>
    <n v="22"/>
    <x v="0"/>
    <n v="86.4"/>
    <n v="44"/>
    <n v="42.400000000000006"/>
    <n v="0.49074074074074076"/>
  </r>
  <r>
    <x v="1016"/>
    <d v="2026-04-10T00:00:00"/>
    <s v="CUST-0059"/>
    <s v="PROD-001"/>
    <x v="4"/>
    <x v="1"/>
    <n v="1"/>
    <n v="0"/>
    <x v="0"/>
    <n v="2"/>
    <n v="7"/>
    <x v="2"/>
    <x v="0"/>
    <n v="1100"/>
    <n v="720"/>
    <x v="1"/>
    <n v="1100"/>
    <n v="720"/>
    <n v="380"/>
    <n v="0.34545454545454546"/>
  </r>
  <r>
    <x v="1017"/>
    <d v="2026-05-23T00:00:00"/>
    <s v="CUST-0010"/>
    <s v="PROD-013"/>
    <x v="3"/>
    <x v="1"/>
    <n v="1"/>
    <n v="0"/>
    <x v="0"/>
    <n v="2"/>
    <n v="4"/>
    <x v="4"/>
    <x v="2"/>
    <n v="32"/>
    <n v="13"/>
    <x v="1"/>
    <n v="32"/>
    <n v="13"/>
    <n v="19"/>
    <n v="0.59375"/>
  </r>
  <r>
    <x v="1018"/>
    <d v="2026-07-09T00:00:00"/>
    <s v="CUST-0179"/>
    <s v="PROD-001"/>
    <x v="0"/>
    <x v="0"/>
    <n v="2"/>
    <n v="0.1"/>
    <x v="0"/>
    <n v="5"/>
    <n v="2"/>
    <x v="2"/>
    <x v="0"/>
    <n v="1100"/>
    <n v="720"/>
    <x v="1"/>
    <n v="1980"/>
    <n v="1440"/>
    <n v="540"/>
    <n v="0.27272727272727271"/>
  </r>
  <r>
    <x v="1019"/>
    <d v="2025-01-29T00:00:00"/>
    <s v="CUST-0175"/>
    <s v="PROD-014"/>
    <x v="0"/>
    <x v="0"/>
    <n v="6"/>
    <n v="0.1"/>
    <x v="0"/>
    <n v="4"/>
    <n v="3"/>
    <x v="5"/>
    <x v="3"/>
    <n v="17"/>
    <n v="8"/>
    <x v="2"/>
    <n v="91.8"/>
    <n v="48"/>
    <n v="43.8"/>
    <n v="0.47712418300653592"/>
  </r>
  <r>
    <x v="1020"/>
    <d v="2026-07-02T00:00:00"/>
    <s v="CUST-0238"/>
    <s v="PROD-014"/>
    <x v="4"/>
    <x v="0"/>
    <n v="2"/>
    <n v="0"/>
    <x v="0"/>
    <n v="5"/>
    <n v="2"/>
    <x v="5"/>
    <x v="3"/>
    <n v="17"/>
    <n v="8"/>
    <x v="1"/>
    <n v="34"/>
    <n v="16"/>
    <n v="18"/>
    <n v="0.52941176470588236"/>
  </r>
  <r>
    <x v="1021"/>
    <d v="2025-05-16T00:00:00"/>
    <s v="CUST-0008"/>
    <s v="PROD-009"/>
    <x v="0"/>
    <x v="2"/>
    <n v="1"/>
    <n v="0"/>
    <x v="0"/>
    <n v="4"/>
    <n v="4"/>
    <x v="14"/>
    <x v="1"/>
    <n v="185"/>
    <n v="105"/>
    <x v="1"/>
    <n v="185"/>
    <n v="105"/>
    <n v="80"/>
    <n v="0.43243243243243246"/>
  </r>
  <r>
    <x v="1022"/>
    <d v="2025-02-09T00:00:00"/>
    <s v="CUST-0141"/>
    <s v="PROD-012"/>
    <x v="3"/>
    <x v="1"/>
    <n v="3"/>
    <n v="0.1"/>
    <x v="0"/>
    <n v="4"/>
    <n v="3"/>
    <x v="11"/>
    <x v="2"/>
    <n v="68"/>
    <n v="31"/>
    <x v="1"/>
    <n v="183.6"/>
    <n v="93"/>
    <n v="90.6"/>
    <n v="0.49346405228758167"/>
  </r>
  <r>
    <x v="1023"/>
    <d v="2025-09-28T00:00:00"/>
    <s v="CUST-0092"/>
    <s v="PROD-015"/>
    <x v="4"/>
    <x v="1"/>
    <n v="2"/>
    <n v="0.2"/>
    <x v="0"/>
    <n v="5"/>
    <n v="2"/>
    <x v="12"/>
    <x v="3"/>
    <n v="23"/>
    <n v="10"/>
    <x v="0"/>
    <n v="36.800000000000004"/>
    <n v="20"/>
    <n v="16.800000000000004"/>
    <n v="0.45652173913043487"/>
  </r>
  <r>
    <x v="1024"/>
    <d v="2026-02-23T00:00:00"/>
    <s v="CUST-0030"/>
    <s v="PROD-003"/>
    <x v="3"/>
    <x v="0"/>
    <n v="1"/>
    <n v="0"/>
    <x v="0"/>
    <n v="5"/>
    <n v="3"/>
    <x v="10"/>
    <x v="0"/>
    <n v="75"/>
    <n v="38"/>
    <x v="0"/>
    <n v="75"/>
    <n v="38"/>
    <n v="37"/>
    <n v="0.49333333333333335"/>
  </r>
  <r>
    <x v="1025"/>
    <d v="2025-09-23T00:00:00"/>
    <s v="CUST-0254"/>
    <s v="PROD-005"/>
    <x v="3"/>
    <x v="1"/>
    <n v="5"/>
    <n v="0.05"/>
    <x v="0"/>
    <n v="5"/>
    <n v="2"/>
    <x v="15"/>
    <x v="0"/>
    <n v="115"/>
    <n v="58"/>
    <x v="1"/>
    <n v="546.25"/>
    <n v="290"/>
    <n v="256.25"/>
    <n v="0.46910755148741418"/>
  </r>
  <r>
    <x v="1026"/>
    <d v="2026-06-03T00:00:00"/>
    <s v="CUST-0226"/>
    <s v="PROD-011"/>
    <x v="2"/>
    <x v="0"/>
    <n v="1"/>
    <n v="0.1"/>
    <x v="0"/>
    <n v="4"/>
    <n v="3"/>
    <x v="8"/>
    <x v="2"/>
    <n v="85"/>
    <n v="39"/>
    <x v="0"/>
    <n v="76.5"/>
    <n v="39"/>
    <n v="37.5"/>
    <n v="0.49019607843137253"/>
  </r>
  <r>
    <x v="1027"/>
    <d v="2026-07-08T00:00:00"/>
    <s v="CUST-0023"/>
    <s v="PROD-008"/>
    <x v="3"/>
    <x v="1"/>
    <n v="2"/>
    <n v="0.05"/>
    <x v="0"/>
    <n v="4"/>
    <n v="3"/>
    <x v="1"/>
    <x v="1"/>
    <n v="255"/>
    <n v="145"/>
    <x v="1"/>
    <n v="484.5"/>
    <n v="290"/>
    <n v="194.5"/>
    <n v="0.40144478844169246"/>
  </r>
  <r>
    <x v="1028"/>
    <d v="2026-03-02T00:00:00"/>
    <s v="CUST-0037"/>
    <s v="PROD-014"/>
    <x v="0"/>
    <x v="1"/>
    <n v="2"/>
    <n v="0.1"/>
    <x v="0"/>
    <n v="4"/>
    <n v="3"/>
    <x v="5"/>
    <x v="3"/>
    <n v="17"/>
    <n v="8"/>
    <x v="2"/>
    <n v="30.6"/>
    <n v="16"/>
    <n v="14.600000000000001"/>
    <n v="0.47712418300653597"/>
  </r>
  <r>
    <x v="1029"/>
    <d v="2026-04-27T00:00:00"/>
    <s v="CUST-0151"/>
    <s v="PROD-001"/>
    <x v="2"/>
    <x v="1"/>
    <n v="6"/>
    <n v="0.15"/>
    <x v="0"/>
    <n v="4"/>
    <n v="3"/>
    <x v="2"/>
    <x v="0"/>
    <n v="1100"/>
    <n v="720"/>
    <x v="2"/>
    <n v="5610"/>
    <n v="4320"/>
    <n v="1290"/>
    <n v="0.22994652406417113"/>
  </r>
  <r>
    <x v="1030"/>
    <d v="2026-06-08T00:00:00"/>
    <s v="CUST-0261"/>
    <s v="PROD-012"/>
    <x v="0"/>
    <x v="1"/>
    <n v="3"/>
    <n v="0.05"/>
    <x v="0"/>
    <n v="5"/>
    <n v="1"/>
    <x v="11"/>
    <x v="2"/>
    <n v="68"/>
    <n v="31"/>
    <x v="2"/>
    <n v="193.79999999999998"/>
    <n v="93"/>
    <n v="100.79999999999998"/>
    <n v="0.52012383900928794"/>
  </r>
  <r>
    <x v="1031"/>
    <d v="2025-03-21T00:00:00"/>
    <s v="CUST-0115"/>
    <s v="PROD-014"/>
    <x v="4"/>
    <x v="1"/>
    <n v="5"/>
    <n v="0.1"/>
    <x v="0"/>
    <n v="5"/>
    <n v="5"/>
    <x v="5"/>
    <x v="3"/>
    <n v="17"/>
    <n v="8"/>
    <x v="2"/>
    <n v="76.5"/>
    <n v="40"/>
    <n v="36.5"/>
    <n v="0.47712418300653597"/>
  </r>
  <r>
    <x v="1032"/>
    <d v="2026-03-28T00:00:00"/>
    <s v="CUST-0163"/>
    <s v="PROD-009"/>
    <x v="2"/>
    <x v="0"/>
    <n v="6"/>
    <n v="0"/>
    <x v="0"/>
    <n v="5"/>
    <n v="2"/>
    <x v="14"/>
    <x v="1"/>
    <n v="185"/>
    <n v="105"/>
    <x v="1"/>
    <n v="1110"/>
    <n v="630"/>
    <n v="480"/>
    <n v="0.43243243243243246"/>
  </r>
  <r>
    <x v="1033"/>
    <d v="2026-04-12T00:00:00"/>
    <s v="CUST-0162"/>
    <s v="PROD-004"/>
    <x v="1"/>
    <x v="1"/>
    <n v="7"/>
    <n v="0"/>
    <x v="0"/>
    <n v="4"/>
    <n v="1"/>
    <x v="3"/>
    <x v="0"/>
    <n v="42"/>
    <n v="19"/>
    <x v="0"/>
    <n v="294"/>
    <n v="133"/>
    <n v="161"/>
    <n v="0.54761904761904767"/>
  </r>
  <r>
    <x v="1034"/>
    <d v="2026-01-06T00:00:00"/>
    <s v="CUST-0248"/>
    <s v="PROD-008"/>
    <x v="4"/>
    <x v="1"/>
    <n v="3"/>
    <n v="0.1"/>
    <x v="0"/>
    <n v="4"/>
    <n v="4"/>
    <x v="1"/>
    <x v="1"/>
    <n v="255"/>
    <n v="145"/>
    <x v="1"/>
    <n v="688.5"/>
    <n v="435"/>
    <n v="253.5"/>
    <n v="0.36819172113289761"/>
  </r>
  <r>
    <x v="1035"/>
    <d v="2026-08-22T00:00:00"/>
    <s v="CUST-0071"/>
    <s v="PROD-009"/>
    <x v="0"/>
    <x v="1"/>
    <n v="1"/>
    <n v="0"/>
    <x v="0"/>
    <n v="3"/>
    <n v="4"/>
    <x v="14"/>
    <x v="1"/>
    <n v="185"/>
    <n v="105"/>
    <x v="1"/>
    <n v="185"/>
    <n v="105"/>
    <n v="80"/>
    <n v="0.43243243243243246"/>
  </r>
  <r>
    <x v="1036"/>
    <d v="2025-07-22T00:00:00"/>
    <s v="CUST-0093"/>
    <s v="PROD-015"/>
    <x v="2"/>
    <x v="1"/>
    <n v="1"/>
    <n v="0.05"/>
    <x v="1"/>
    <n v="5"/>
    <n v="3"/>
    <x v="12"/>
    <x v="3"/>
    <n v="23"/>
    <n v="10"/>
    <x v="0"/>
    <n v="21.849999999999998"/>
    <n v="10"/>
    <n v="11.849999999999998"/>
    <n v="0.54233409610983974"/>
  </r>
  <r>
    <x v="1037"/>
    <d v="2026-03-18T00:00:00"/>
    <s v="CUST-0013"/>
    <s v="PROD-006"/>
    <x v="0"/>
    <x v="1"/>
    <n v="5"/>
    <n v="0.15"/>
    <x v="0"/>
    <n v="4"/>
    <n v="4"/>
    <x v="7"/>
    <x v="0"/>
    <n v="98"/>
    <n v="46"/>
    <x v="1"/>
    <n v="416.5"/>
    <n v="230"/>
    <n v="186.5"/>
    <n v="0.44777911164465789"/>
  </r>
  <r>
    <x v="1038"/>
    <d v="2026-07-25T00:00:00"/>
    <s v="CUST-0124"/>
    <s v="PROD-010"/>
    <x v="2"/>
    <x v="2"/>
    <n v="6"/>
    <n v="0.05"/>
    <x v="0"/>
    <n v="5"/>
    <n v="1"/>
    <x v="13"/>
    <x v="2"/>
    <n v="48"/>
    <n v="22"/>
    <x v="0"/>
    <n v="273.59999999999997"/>
    <n v="132"/>
    <n v="141.59999999999997"/>
    <n v="0.51754385964912275"/>
  </r>
  <r>
    <x v="1039"/>
    <d v="2025-03-17T00:00:00"/>
    <s v="CUST-0182"/>
    <s v="PROD-015"/>
    <x v="0"/>
    <x v="0"/>
    <n v="4"/>
    <n v="0"/>
    <x v="0"/>
    <n v="5"/>
    <n v="2"/>
    <x v="12"/>
    <x v="3"/>
    <n v="23"/>
    <n v="10"/>
    <x v="0"/>
    <n v="92"/>
    <n v="40"/>
    <n v="52"/>
    <n v="0.56521739130434778"/>
  </r>
  <r>
    <x v="1040"/>
    <d v="2026-08-27T00:00:00"/>
    <s v="CUST-0261"/>
    <s v="PROD-003"/>
    <x v="2"/>
    <x v="1"/>
    <n v="3"/>
    <n v="0.1"/>
    <x v="0"/>
    <n v="4"/>
    <n v="2"/>
    <x v="10"/>
    <x v="0"/>
    <n v="75"/>
    <n v="38"/>
    <x v="2"/>
    <n v="202.5"/>
    <n v="114"/>
    <n v="88.5"/>
    <n v="0.43703703703703706"/>
  </r>
  <r>
    <x v="1041"/>
    <d v="2026-06-05T00:00:00"/>
    <s v="CUST-0144"/>
    <s v="PROD-004"/>
    <x v="3"/>
    <x v="0"/>
    <n v="1"/>
    <n v="0.05"/>
    <x v="0"/>
    <n v="4"/>
    <n v="4"/>
    <x v="3"/>
    <x v="0"/>
    <n v="42"/>
    <n v="19"/>
    <x v="2"/>
    <n v="39.9"/>
    <n v="19"/>
    <n v="20.9"/>
    <n v="0.52380952380952384"/>
  </r>
  <r>
    <x v="1042"/>
    <d v="2025-10-20T00:00:00"/>
    <s v="CUST-0166"/>
    <s v="PROD-013"/>
    <x v="3"/>
    <x v="1"/>
    <n v="1"/>
    <n v="0.1"/>
    <x v="0"/>
    <n v="5"/>
    <n v="2"/>
    <x v="4"/>
    <x v="2"/>
    <n v="32"/>
    <n v="13"/>
    <x v="1"/>
    <n v="28.8"/>
    <n v="13"/>
    <n v="15.8"/>
    <n v="0.54861111111111116"/>
  </r>
  <r>
    <x v="1043"/>
    <d v="2026-03-17T00:00:00"/>
    <s v="CUST-0266"/>
    <s v="PROD-009"/>
    <x v="4"/>
    <x v="0"/>
    <n v="1"/>
    <n v="0"/>
    <x v="0"/>
    <n v="4"/>
    <n v="4"/>
    <x v="14"/>
    <x v="1"/>
    <n v="185"/>
    <n v="105"/>
    <x v="0"/>
    <n v="185"/>
    <n v="105"/>
    <n v="80"/>
    <n v="0.43243243243243246"/>
  </r>
  <r>
    <x v="1044"/>
    <d v="2025-08-18T00:00:00"/>
    <s v="CUST-0087"/>
    <s v="PROD-010"/>
    <x v="0"/>
    <x v="1"/>
    <n v="3"/>
    <n v="0"/>
    <x v="0"/>
    <n v="4"/>
    <n v="1"/>
    <x v="13"/>
    <x v="2"/>
    <n v="48"/>
    <n v="22"/>
    <x v="2"/>
    <n v="144"/>
    <n v="66"/>
    <n v="78"/>
    <n v="0.54166666666666663"/>
  </r>
  <r>
    <x v="1045"/>
    <d v="2025-07-31T00:00:00"/>
    <s v="CUST-0283"/>
    <s v="PROD-006"/>
    <x v="2"/>
    <x v="2"/>
    <n v="7"/>
    <n v="0.05"/>
    <x v="0"/>
    <n v="1"/>
    <n v="4"/>
    <x v="7"/>
    <x v="0"/>
    <n v="98"/>
    <n v="46"/>
    <x v="0"/>
    <n v="651.69999999999993"/>
    <n v="322"/>
    <n v="329.69999999999993"/>
    <n v="0.50590762620837804"/>
  </r>
  <r>
    <x v="1046"/>
    <d v="2025-07-28T00:00:00"/>
    <s v="CUST-0145"/>
    <s v="PROD-014"/>
    <x v="1"/>
    <x v="0"/>
    <n v="5"/>
    <n v="0"/>
    <x v="0"/>
    <n v="5"/>
    <n v="1"/>
    <x v="5"/>
    <x v="3"/>
    <n v="17"/>
    <n v="8"/>
    <x v="1"/>
    <n v="85"/>
    <n v="40"/>
    <n v="45"/>
    <n v="0.52941176470588236"/>
  </r>
  <r>
    <x v="1047"/>
    <d v="2026-04-01T00:00:00"/>
    <s v="CUST-0222"/>
    <s v="PROD-016"/>
    <x v="3"/>
    <x v="2"/>
    <n v="8"/>
    <n v="0.1"/>
    <x v="0"/>
    <n v="4"/>
    <n v="1"/>
    <x v="9"/>
    <x v="3"/>
    <n v="28"/>
    <n v="12"/>
    <x v="0"/>
    <n v="201.6"/>
    <n v="96"/>
    <n v="105.6"/>
    <n v="0.52380952380952384"/>
  </r>
  <r>
    <x v="1048"/>
    <d v="2025-08-16T00:00:00"/>
    <s v="CUST-0039"/>
    <s v="PROD-011"/>
    <x v="2"/>
    <x v="1"/>
    <n v="2"/>
    <n v="0.1"/>
    <x v="0"/>
    <n v="2"/>
    <n v="4"/>
    <x v="8"/>
    <x v="2"/>
    <n v="85"/>
    <n v="39"/>
    <x v="2"/>
    <n v="153"/>
    <n v="78"/>
    <n v="75"/>
    <n v="0.49019607843137253"/>
  </r>
  <r>
    <x v="1049"/>
    <d v="2026-03-20T00:00:00"/>
    <s v="CUST-0052"/>
    <s v="PROD-011"/>
    <x v="2"/>
    <x v="0"/>
    <n v="5"/>
    <n v="0.05"/>
    <x v="1"/>
    <n v="5"/>
    <n v="4"/>
    <x v="8"/>
    <x v="2"/>
    <n v="85"/>
    <n v="39"/>
    <x v="1"/>
    <n v="403.75"/>
    <n v="195"/>
    <n v="208.75"/>
    <n v="0.51702786377708976"/>
  </r>
  <r>
    <x v="1050"/>
    <d v="2026-08-24T00:00:00"/>
    <s v="CUST-0193"/>
    <s v="PROD-008"/>
    <x v="1"/>
    <x v="1"/>
    <n v="1"/>
    <n v="0.1"/>
    <x v="0"/>
    <n v="4"/>
    <n v="2"/>
    <x v="1"/>
    <x v="1"/>
    <n v="255"/>
    <n v="145"/>
    <x v="1"/>
    <n v="229.5"/>
    <n v="145"/>
    <n v="84.5"/>
    <n v="0.36819172113289761"/>
  </r>
  <r>
    <x v="1051"/>
    <d v="2025-04-01T00:00:00"/>
    <s v="CUST-0265"/>
    <s v="PROD-007"/>
    <x v="2"/>
    <x v="1"/>
    <n v="3"/>
    <n v="0"/>
    <x v="0"/>
    <n v="4"/>
    <n v="3"/>
    <x v="6"/>
    <x v="1"/>
    <n v="540"/>
    <n v="320"/>
    <x v="2"/>
    <n v="1620"/>
    <n v="960"/>
    <n v="660"/>
    <n v="0.40740740740740738"/>
  </r>
  <r>
    <x v="1052"/>
    <d v="2026-01-25T00:00:00"/>
    <s v="CUST-0299"/>
    <s v="PROD-008"/>
    <x v="1"/>
    <x v="0"/>
    <n v="3"/>
    <n v="0"/>
    <x v="0"/>
    <n v="3"/>
    <n v="3"/>
    <x v="1"/>
    <x v="1"/>
    <n v="255"/>
    <n v="145"/>
    <x v="1"/>
    <n v="765"/>
    <n v="435"/>
    <n v="330"/>
    <n v="0.43137254901960786"/>
  </r>
  <r>
    <x v="1053"/>
    <d v="2026-05-12T00:00:00"/>
    <s v="CUST-0251"/>
    <s v="PROD-013"/>
    <x v="4"/>
    <x v="0"/>
    <n v="1"/>
    <n v="0"/>
    <x v="1"/>
    <n v="5"/>
    <n v="7"/>
    <x v="4"/>
    <x v="2"/>
    <n v="32"/>
    <n v="13"/>
    <x v="1"/>
    <n v="32"/>
    <n v="13"/>
    <n v="19"/>
    <n v="0.59375"/>
  </r>
  <r>
    <x v="1054"/>
    <d v="2026-04-03T00:00:00"/>
    <s v="CUST-0167"/>
    <s v="PROD-008"/>
    <x v="1"/>
    <x v="1"/>
    <n v="2"/>
    <n v="0"/>
    <x v="0"/>
    <n v="5"/>
    <n v="2"/>
    <x v="1"/>
    <x v="1"/>
    <n v="255"/>
    <n v="145"/>
    <x v="1"/>
    <n v="510"/>
    <n v="290"/>
    <n v="220"/>
    <n v="0.43137254901960786"/>
  </r>
  <r>
    <x v="1055"/>
    <d v="2026-05-11T00:00:00"/>
    <s v="CUST-0251"/>
    <s v="PROD-014"/>
    <x v="1"/>
    <x v="1"/>
    <n v="1"/>
    <n v="0"/>
    <x v="0"/>
    <n v="4"/>
    <n v="5"/>
    <x v="5"/>
    <x v="3"/>
    <n v="17"/>
    <n v="8"/>
    <x v="1"/>
    <n v="17"/>
    <n v="8"/>
    <n v="9"/>
    <n v="0.52941176470588236"/>
  </r>
  <r>
    <x v="1056"/>
    <d v="2025-11-27T00:00:00"/>
    <s v="CUST-0134"/>
    <s v="PROD-011"/>
    <x v="3"/>
    <x v="0"/>
    <n v="2"/>
    <n v="0"/>
    <x v="0"/>
    <n v="4"/>
    <n v="2"/>
    <x v="8"/>
    <x v="2"/>
    <n v="85"/>
    <n v="39"/>
    <x v="2"/>
    <n v="170"/>
    <n v="78"/>
    <n v="92"/>
    <n v="0.54117647058823526"/>
  </r>
  <r>
    <x v="1057"/>
    <d v="2025-12-14T00:00:00"/>
    <s v="CUST-0024"/>
    <s v="PROD-010"/>
    <x v="4"/>
    <x v="1"/>
    <n v="5"/>
    <n v="0.05"/>
    <x v="0"/>
    <n v="3"/>
    <n v="5"/>
    <x v="13"/>
    <x v="2"/>
    <n v="48"/>
    <n v="22"/>
    <x v="1"/>
    <n v="228"/>
    <n v="110"/>
    <n v="118"/>
    <n v="0.51754385964912286"/>
  </r>
  <r>
    <x v="1058"/>
    <d v="2025-12-04T00:00:00"/>
    <s v="CUST-0067"/>
    <s v="PROD-001"/>
    <x v="0"/>
    <x v="1"/>
    <n v="2"/>
    <n v="0.1"/>
    <x v="0"/>
    <n v="4"/>
    <n v="5"/>
    <x v="2"/>
    <x v="0"/>
    <n v="1100"/>
    <n v="720"/>
    <x v="1"/>
    <n v="1980"/>
    <n v="1440"/>
    <n v="540"/>
    <n v="0.27272727272727271"/>
  </r>
  <r>
    <x v="1059"/>
    <d v="2025-03-06T00:00:00"/>
    <s v="CUST-0026"/>
    <s v="PROD-007"/>
    <x v="3"/>
    <x v="1"/>
    <n v="1"/>
    <n v="0.05"/>
    <x v="0"/>
    <n v="3"/>
    <n v="2"/>
    <x v="6"/>
    <x v="1"/>
    <n v="540"/>
    <n v="320"/>
    <x v="1"/>
    <n v="513"/>
    <n v="320"/>
    <n v="193"/>
    <n v="0.37621832358674462"/>
  </r>
  <r>
    <x v="1060"/>
    <d v="2026-01-18T00:00:00"/>
    <s v="CUST-0170"/>
    <s v="PROD-014"/>
    <x v="2"/>
    <x v="0"/>
    <n v="7"/>
    <n v="0"/>
    <x v="0"/>
    <n v="5"/>
    <n v="1"/>
    <x v="5"/>
    <x v="3"/>
    <n v="17"/>
    <n v="8"/>
    <x v="1"/>
    <n v="119"/>
    <n v="56"/>
    <n v="63"/>
    <n v="0.52941176470588236"/>
  </r>
  <r>
    <x v="1061"/>
    <d v="2026-05-29T00:00:00"/>
    <s v="CUST-0204"/>
    <s v="PROD-016"/>
    <x v="2"/>
    <x v="1"/>
    <n v="1"/>
    <n v="0.05"/>
    <x v="0"/>
    <n v="1"/>
    <n v="5"/>
    <x v="9"/>
    <x v="3"/>
    <n v="28"/>
    <n v="12"/>
    <x v="1"/>
    <n v="26.599999999999998"/>
    <n v="12"/>
    <n v="14.599999999999998"/>
    <n v="0.54887218045112773"/>
  </r>
  <r>
    <x v="1062"/>
    <d v="2026-02-15T00:00:00"/>
    <s v="CUST-0068"/>
    <s v="PROD-009"/>
    <x v="0"/>
    <x v="1"/>
    <n v="2"/>
    <n v="0.1"/>
    <x v="0"/>
    <n v="1"/>
    <n v="7"/>
    <x v="14"/>
    <x v="1"/>
    <n v="185"/>
    <n v="105"/>
    <x v="1"/>
    <n v="333"/>
    <n v="210"/>
    <n v="123"/>
    <n v="0.36936936936936937"/>
  </r>
  <r>
    <x v="1063"/>
    <d v="2025-04-08T00:00:00"/>
    <s v="CUST-0201"/>
    <s v="PROD-007"/>
    <x v="0"/>
    <x v="2"/>
    <n v="4"/>
    <n v="0"/>
    <x v="0"/>
    <n v="4"/>
    <n v="4"/>
    <x v="6"/>
    <x v="1"/>
    <n v="540"/>
    <n v="320"/>
    <x v="2"/>
    <n v="2160"/>
    <n v="1280"/>
    <n v="880"/>
    <n v="0.40740740740740738"/>
  </r>
  <r>
    <x v="1064"/>
    <d v="2025-07-27T00:00:00"/>
    <s v="CUST-0052"/>
    <s v="PROD-009"/>
    <x v="0"/>
    <x v="0"/>
    <n v="2"/>
    <n v="0"/>
    <x v="0"/>
    <n v="4"/>
    <n v="3"/>
    <x v="14"/>
    <x v="1"/>
    <n v="185"/>
    <n v="105"/>
    <x v="1"/>
    <n v="370"/>
    <n v="210"/>
    <n v="160"/>
    <n v="0.43243243243243246"/>
  </r>
  <r>
    <x v="1065"/>
    <d v="2026-05-10T00:00:00"/>
    <s v="CUST-0146"/>
    <s v="PROD-008"/>
    <x v="3"/>
    <x v="2"/>
    <n v="4"/>
    <n v="0.2"/>
    <x v="0"/>
    <n v="5"/>
    <n v="4"/>
    <x v="1"/>
    <x v="1"/>
    <n v="255"/>
    <n v="145"/>
    <x v="1"/>
    <n v="816"/>
    <n v="580"/>
    <n v="236"/>
    <n v="0.28921568627450983"/>
  </r>
  <r>
    <x v="1066"/>
    <d v="2025-08-18T00:00:00"/>
    <s v="CUST-0296"/>
    <s v="PROD-001"/>
    <x v="3"/>
    <x v="1"/>
    <n v="2"/>
    <n v="0.05"/>
    <x v="0"/>
    <n v="4"/>
    <n v="1"/>
    <x v="2"/>
    <x v="0"/>
    <n v="1100"/>
    <n v="720"/>
    <x v="0"/>
    <n v="2090"/>
    <n v="1440"/>
    <n v="650"/>
    <n v="0.31100478468899523"/>
  </r>
  <r>
    <x v="1067"/>
    <d v="2025-04-08T00:00:00"/>
    <s v="CUST-0288"/>
    <s v="PROD-006"/>
    <x v="2"/>
    <x v="2"/>
    <n v="3"/>
    <n v="0"/>
    <x v="0"/>
    <n v="5"/>
    <n v="5"/>
    <x v="7"/>
    <x v="0"/>
    <n v="98"/>
    <n v="46"/>
    <x v="1"/>
    <n v="294"/>
    <n v="138"/>
    <n v="156"/>
    <n v="0.53061224489795922"/>
  </r>
  <r>
    <x v="1068"/>
    <d v="2026-08-04T00:00:00"/>
    <s v="CUST-0120"/>
    <s v="PROD-002"/>
    <x v="1"/>
    <x v="1"/>
    <n v="1"/>
    <n v="0"/>
    <x v="0"/>
    <n v="4"/>
    <n v="5"/>
    <x v="0"/>
    <x v="0"/>
    <n v="310"/>
    <n v="190"/>
    <x v="1"/>
    <n v="310"/>
    <n v="190"/>
    <n v="120"/>
    <n v="0.38709677419354838"/>
  </r>
  <r>
    <x v="1069"/>
    <d v="2026-02-21T00:00:00"/>
    <s v="CUST-0003"/>
    <s v="PROD-009"/>
    <x v="1"/>
    <x v="0"/>
    <n v="4"/>
    <n v="0.05"/>
    <x v="0"/>
    <n v="5"/>
    <n v="3"/>
    <x v="14"/>
    <x v="1"/>
    <n v="185"/>
    <n v="105"/>
    <x v="1"/>
    <n v="703"/>
    <n v="420"/>
    <n v="283"/>
    <n v="0.40256045519203415"/>
  </r>
  <r>
    <x v="1070"/>
    <d v="2026-04-18T00:00:00"/>
    <s v="CUST-0248"/>
    <s v="PROD-003"/>
    <x v="0"/>
    <x v="1"/>
    <n v="1"/>
    <n v="0"/>
    <x v="0"/>
    <n v="4"/>
    <n v="1"/>
    <x v="10"/>
    <x v="0"/>
    <n v="75"/>
    <n v="38"/>
    <x v="1"/>
    <n v="75"/>
    <n v="38"/>
    <n v="37"/>
    <n v="0.49333333333333335"/>
  </r>
  <r>
    <x v="1071"/>
    <d v="2025-06-20T00:00:00"/>
    <s v="CUST-0102"/>
    <s v="PROD-015"/>
    <x v="0"/>
    <x v="1"/>
    <n v="5"/>
    <n v="0.05"/>
    <x v="0"/>
    <n v="4"/>
    <n v="2"/>
    <x v="12"/>
    <x v="3"/>
    <n v="23"/>
    <n v="10"/>
    <x v="0"/>
    <n v="109.25"/>
    <n v="50"/>
    <n v="59.25"/>
    <n v="0.54233409610983985"/>
  </r>
  <r>
    <x v="1072"/>
    <d v="2026-07-15T00:00:00"/>
    <s v="CUST-0215"/>
    <s v="PROD-013"/>
    <x v="2"/>
    <x v="1"/>
    <n v="8"/>
    <n v="0.1"/>
    <x v="0"/>
    <n v="4"/>
    <n v="3"/>
    <x v="4"/>
    <x v="2"/>
    <n v="32"/>
    <n v="13"/>
    <x v="2"/>
    <n v="230.4"/>
    <n v="104"/>
    <n v="126.4"/>
    <n v="0.54861111111111116"/>
  </r>
  <r>
    <x v="1073"/>
    <d v="2026-01-16T00:00:00"/>
    <s v="CUST-0289"/>
    <s v="PROD-006"/>
    <x v="2"/>
    <x v="0"/>
    <n v="1"/>
    <n v="0.05"/>
    <x v="0"/>
    <n v="4"/>
    <n v="3"/>
    <x v="7"/>
    <x v="0"/>
    <n v="98"/>
    <n v="46"/>
    <x v="1"/>
    <n v="93.1"/>
    <n v="46"/>
    <n v="47.099999999999994"/>
    <n v="0.50590762620837804"/>
  </r>
  <r>
    <x v="1074"/>
    <d v="2026-04-29T00:00:00"/>
    <s v="CUST-0237"/>
    <s v="PROD-007"/>
    <x v="0"/>
    <x v="2"/>
    <n v="4"/>
    <n v="0.15"/>
    <x v="0"/>
    <n v="4"/>
    <n v="4"/>
    <x v="6"/>
    <x v="1"/>
    <n v="540"/>
    <n v="320"/>
    <x v="2"/>
    <n v="1836"/>
    <n v="1280"/>
    <n v="556"/>
    <n v="0.30283224400871461"/>
  </r>
  <r>
    <x v="1075"/>
    <d v="2025-01-11T00:00:00"/>
    <s v="CUST-0163"/>
    <s v="PROD-014"/>
    <x v="2"/>
    <x v="1"/>
    <n v="8"/>
    <n v="0"/>
    <x v="0"/>
    <n v="3"/>
    <n v="1"/>
    <x v="5"/>
    <x v="3"/>
    <n v="17"/>
    <n v="8"/>
    <x v="1"/>
    <n v="136"/>
    <n v="64"/>
    <n v="72"/>
    <n v="0.52941176470588236"/>
  </r>
  <r>
    <x v="1076"/>
    <d v="2026-07-05T00:00:00"/>
    <s v="CUST-0235"/>
    <s v="PROD-011"/>
    <x v="2"/>
    <x v="0"/>
    <n v="3"/>
    <n v="0"/>
    <x v="0"/>
    <n v="5"/>
    <n v="3"/>
    <x v="8"/>
    <x v="2"/>
    <n v="85"/>
    <n v="39"/>
    <x v="1"/>
    <n v="255"/>
    <n v="117"/>
    <n v="138"/>
    <n v="0.54117647058823526"/>
  </r>
  <r>
    <x v="1077"/>
    <d v="2025-01-15T00:00:00"/>
    <s v="CUST-0099"/>
    <s v="PROD-009"/>
    <x v="3"/>
    <x v="2"/>
    <n v="2"/>
    <n v="0.1"/>
    <x v="0"/>
    <n v="5"/>
    <n v="3"/>
    <x v="14"/>
    <x v="1"/>
    <n v="185"/>
    <n v="105"/>
    <x v="2"/>
    <n v="333"/>
    <n v="210"/>
    <n v="123"/>
    <n v="0.36936936936936937"/>
  </r>
  <r>
    <x v="1078"/>
    <d v="2026-07-29T00:00:00"/>
    <s v="CUST-0278"/>
    <s v="PROD-007"/>
    <x v="2"/>
    <x v="1"/>
    <n v="4"/>
    <n v="0"/>
    <x v="0"/>
    <n v="2"/>
    <n v="9"/>
    <x v="6"/>
    <x v="1"/>
    <n v="540"/>
    <n v="320"/>
    <x v="0"/>
    <n v="2160"/>
    <n v="1280"/>
    <n v="880"/>
    <n v="0.40740740740740738"/>
  </r>
  <r>
    <x v="1079"/>
    <d v="2025-12-05T00:00:00"/>
    <s v="CUST-0295"/>
    <s v="PROD-009"/>
    <x v="0"/>
    <x v="0"/>
    <n v="3"/>
    <n v="0.15"/>
    <x v="0"/>
    <n v="1"/>
    <n v="4"/>
    <x v="14"/>
    <x v="1"/>
    <n v="185"/>
    <n v="105"/>
    <x v="0"/>
    <n v="471.75"/>
    <n v="315"/>
    <n v="156.75"/>
    <n v="0.33227344992050872"/>
  </r>
  <r>
    <x v="1080"/>
    <d v="2025-04-04T00:00:00"/>
    <s v="CUST-0076"/>
    <s v="PROD-005"/>
    <x v="2"/>
    <x v="2"/>
    <n v="2"/>
    <n v="0.15"/>
    <x v="0"/>
    <n v="4"/>
    <n v="4"/>
    <x v="15"/>
    <x v="0"/>
    <n v="115"/>
    <n v="58"/>
    <x v="1"/>
    <n v="195.5"/>
    <n v="116"/>
    <n v="79.5"/>
    <n v="0.40664961636828645"/>
  </r>
  <r>
    <x v="1081"/>
    <d v="2026-03-12T00:00:00"/>
    <s v="CUST-0242"/>
    <s v="PROD-011"/>
    <x v="3"/>
    <x v="0"/>
    <n v="1"/>
    <n v="0"/>
    <x v="0"/>
    <n v="5"/>
    <n v="3"/>
    <x v="8"/>
    <x v="2"/>
    <n v="85"/>
    <n v="39"/>
    <x v="0"/>
    <n v="85"/>
    <n v="39"/>
    <n v="46"/>
    <n v="0.54117647058823526"/>
  </r>
  <r>
    <x v="1082"/>
    <d v="2025-11-16T00:00:00"/>
    <s v="CUST-0268"/>
    <s v="PROD-011"/>
    <x v="4"/>
    <x v="2"/>
    <n v="5"/>
    <n v="0.2"/>
    <x v="1"/>
    <n v="5"/>
    <n v="6"/>
    <x v="8"/>
    <x v="2"/>
    <n v="85"/>
    <n v="39"/>
    <x v="2"/>
    <n v="340"/>
    <n v="195"/>
    <n v="145"/>
    <n v="0.4264705882352941"/>
  </r>
  <r>
    <x v="1083"/>
    <d v="2026-07-28T00:00:00"/>
    <s v="CUST-0227"/>
    <s v="PROD-016"/>
    <x v="1"/>
    <x v="1"/>
    <n v="1"/>
    <n v="0.15"/>
    <x v="0"/>
    <n v="3"/>
    <n v="3"/>
    <x v="9"/>
    <x v="3"/>
    <n v="28"/>
    <n v="12"/>
    <x v="0"/>
    <n v="23.8"/>
    <n v="12"/>
    <n v="11.8"/>
    <n v="0.49579831932773111"/>
  </r>
  <r>
    <x v="1084"/>
    <d v="2026-04-23T00:00:00"/>
    <s v="CUST-0178"/>
    <s v="PROD-014"/>
    <x v="2"/>
    <x v="0"/>
    <n v="8"/>
    <n v="0.15"/>
    <x v="0"/>
    <n v="3"/>
    <n v="1"/>
    <x v="5"/>
    <x v="3"/>
    <n v="17"/>
    <n v="8"/>
    <x v="1"/>
    <n v="115.6"/>
    <n v="64"/>
    <n v="51.599999999999994"/>
    <n v="0.44636678200692037"/>
  </r>
  <r>
    <x v="1085"/>
    <d v="2025-07-20T00:00:00"/>
    <s v="CUST-0227"/>
    <s v="PROD-012"/>
    <x v="4"/>
    <x v="1"/>
    <n v="1"/>
    <n v="0"/>
    <x v="0"/>
    <n v="4"/>
    <n v="1"/>
    <x v="11"/>
    <x v="2"/>
    <n v="68"/>
    <n v="31"/>
    <x v="0"/>
    <n v="68"/>
    <n v="31"/>
    <n v="37"/>
    <n v="0.54411764705882348"/>
  </r>
  <r>
    <x v="1086"/>
    <d v="2025-10-07T00:00:00"/>
    <s v="CUST-0018"/>
    <s v="PROD-009"/>
    <x v="1"/>
    <x v="1"/>
    <n v="8"/>
    <n v="0.1"/>
    <x v="0"/>
    <n v="2"/>
    <n v="6"/>
    <x v="14"/>
    <x v="1"/>
    <n v="185"/>
    <n v="105"/>
    <x v="0"/>
    <n v="1332"/>
    <n v="840"/>
    <n v="492"/>
    <n v="0.36936936936936937"/>
  </r>
  <r>
    <x v="1087"/>
    <d v="2026-04-28T00:00:00"/>
    <s v="CUST-0233"/>
    <s v="PROD-016"/>
    <x v="2"/>
    <x v="0"/>
    <n v="3"/>
    <n v="0.05"/>
    <x v="0"/>
    <n v="4"/>
    <n v="5"/>
    <x v="9"/>
    <x v="3"/>
    <n v="28"/>
    <n v="12"/>
    <x v="0"/>
    <n v="79.8"/>
    <n v="36"/>
    <n v="43.8"/>
    <n v="0.54887218045112784"/>
  </r>
  <r>
    <x v="1088"/>
    <d v="2025-06-06T00:00:00"/>
    <s v="CUST-0091"/>
    <s v="PROD-005"/>
    <x v="2"/>
    <x v="2"/>
    <n v="1"/>
    <n v="0"/>
    <x v="0"/>
    <n v="4"/>
    <n v="5"/>
    <x v="15"/>
    <x v="0"/>
    <n v="115"/>
    <n v="58"/>
    <x v="1"/>
    <n v="115"/>
    <n v="58"/>
    <n v="57"/>
    <n v="0.4956521739130435"/>
  </r>
  <r>
    <x v="1089"/>
    <d v="2025-10-12T00:00:00"/>
    <s v="CUST-0100"/>
    <s v="PROD-001"/>
    <x v="3"/>
    <x v="0"/>
    <n v="6"/>
    <n v="0.15"/>
    <x v="0"/>
    <n v="5"/>
    <n v="3"/>
    <x v="2"/>
    <x v="0"/>
    <n v="1100"/>
    <n v="720"/>
    <x v="2"/>
    <n v="5610"/>
    <n v="4320"/>
    <n v="1290"/>
    <n v="0.22994652406417113"/>
  </r>
  <r>
    <x v="1090"/>
    <d v="2026-06-13T00:00:00"/>
    <s v="CUST-0008"/>
    <s v="PROD-013"/>
    <x v="3"/>
    <x v="0"/>
    <n v="1"/>
    <n v="0"/>
    <x v="0"/>
    <n v="3"/>
    <n v="3"/>
    <x v="4"/>
    <x v="2"/>
    <n v="32"/>
    <n v="13"/>
    <x v="1"/>
    <n v="32"/>
    <n v="13"/>
    <n v="19"/>
    <n v="0.59375"/>
  </r>
  <r>
    <x v="1091"/>
    <d v="2025-03-27T00:00:00"/>
    <s v="CUST-0089"/>
    <s v="PROD-015"/>
    <x v="2"/>
    <x v="0"/>
    <n v="3"/>
    <n v="0"/>
    <x v="0"/>
    <n v="5"/>
    <n v="1"/>
    <x v="12"/>
    <x v="3"/>
    <n v="23"/>
    <n v="10"/>
    <x v="1"/>
    <n v="69"/>
    <n v="30"/>
    <n v="39"/>
    <n v="0.56521739130434778"/>
  </r>
  <r>
    <x v="1092"/>
    <d v="2025-11-15T00:00:00"/>
    <s v="CUST-0141"/>
    <s v="PROD-012"/>
    <x v="2"/>
    <x v="1"/>
    <n v="5"/>
    <n v="0"/>
    <x v="1"/>
    <n v="2"/>
    <n v="3"/>
    <x v="11"/>
    <x v="2"/>
    <n v="68"/>
    <n v="31"/>
    <x v="1"/>
    <n v="340"/>
    <n v="155"/>
    <n v="185"/>
    <n v="0.54411764705882348"/>
  </r>
  <r>
    <x v="1093"/>
    <d v="2025-03-30T00:00:00"/>
    <s v="CUST-0096"/>
    <s v="PROD-011"/>
    <x v="4"/>
    <x v="2"/>
    <n v="4"/>
    <n v="0.1"/>
    <x v="0"/>
    <n v="4"/>
    <n v="1"/>
    <x v="8"/>
    <x v="2"/>
    <n v="85"/>
    <n v="39"/>
    <x v="1"/>
    <n v="306"/>
    <n v="156"/>
    <n v="150"/>
    <n v="0.49019607843137253"/>
  </r>
  <r>
    <x v="1094"/>
    <d v="2025-09-10T00:00:00"/>
    <s v="CUST-0158"/>
    <s v="PROD-007"/>
    <x v="1"/>
    <x v="0"/>
    <n v="1"/>
    <n v="0"/>
    <x v="0"/>
    <n v="4"/>
    <n v="5"/>
    <x v="6"/>
    <x v="1"/>
    <n v="540"/>
    <n v="320"/>
    <x v="0"/>
    <n v="540"/>
    <n v="320"/>
    <n v="220"/>
    <n v="0.40740740740740738"/>
  </r>
  <r>
    <x v="1095"/>
    <d v="2025-11-20T00:00:00"/>
    <s v="CUST-0212"/>
    <s v="PROD-008"/>
    <x v="0"/>
    <x v="1"/>
    <n v="1"/>
    <n v="0.2"/>
    <x v="0"/>
    <n v="4"/>
    <n v="1"/>
    <x v="1"/>
    <x v="1"/>
    <n v="255"/>
    <n v="145"/>
    <x v="0"/>
    <n v="204"/>
    <n v="145"/>
    <n v="59"/>
    <n v="0.28921568627450983"/>
  </r>
  <r>
    <x v="1096"/>
    <d v="2026-05-17T00:00:00"/>
    <s v="CUST-0182"/>
    <s v="PROD-012"/>
    <x v="3"/>
    <x v="0"/>
    <n v="2"/>
    <n v="0.05"/>
    <x v="0"/>
    <n v="1"/>
    <n v="9"/>
    <x v="11"/>
    <x v="2"/>
    <n v="68"/>
    <n v="31"/>
    <x v="0"/>
    <n v="129.19999999999999"/>
    <n v="62"/>
    <n v="67.199999999999989"/>
    <n v="0.52012383900928794"/>
  </r>
  <r>
    <x v="1097"/>
    <d v="2025-06-09T00:00:00"/>
    <s v="CUST-0276"/>
    <s v="PROD-007"/>
    <x v="0"/>
    <x v="1"/>
    <n v="3"/>
    <n v="0.1"/>
    <x v="0"/>
    <n v="4"/>
    <n v="5"/>
    <x v="6"/>
    <x v="1"/>
    <n v="540"/>
    <n v="320"/>
    <x v="1"/>
    <n v="1458"/>
    <n v="960"/>
    <n v="498"/>
    <n v="0.34156378600823045"/>
  </r>
  <r>
    <x v="1098"/>
    <d v="2026-07-19T00:00:00"/>
    <s v="CUST-0138"/>
    <s v="PROD-003"/>
    <x v="4"/>
    <x v="1"/>
    <n v="1"/>
    <n v="0"/>
    <x v="1"/>
    <n v="4"/>
    <n v="6"/>
    <x v="10"/>
    <x v="0"/>
    <n v="75"/>
    <n v="38"/>
    <x v="0"/>
    <n v="75"/>
    <n v="38"/>
    <n v="37"/>
    <n v="0.49333333333333335"/>
  </r>
  <r>
    <x v="1099"/>
    <d v="2025-05-24T00:00:00"/>
    <s v="CUST-0240"/>
    <s v="PROD-011"/>
    <x v="3"/>
    <x v="1"/>
    <n v="3"/>
    <n v="0"/>
    <x v="0"/>
    <n v="5"/>
    <n v="1"/>
    <x v="8"/>
    <x v="2"/>
    <n v="85"/>
    <n v="39"/>
    <x v="0"/>
    <n v="255"/>
    <n v="117"/>
    <n v="138"/>
    <n v="0.54117647058823526"/>
  </r>
  <r>
    <x v="1100"/>
    <d v="2025-06-12T00:00:00"/>
    <s v="CUST-0216"/>
    <s v="PROD-016"/>
    <x v="3"/>
    <x v="0"/>
    <n v="1"/>
    <n v="0.15"/>
    <x v="0"/>
    <n v="4"/>
    <n v="2"/>
    <x v="9"/>
    <x v="3"/>
    <n v="28"/>
    <n v="12"/>
    <x v="2"/>
    <n v="23.8"/>
    <n v="12"/>
    <n v="11.8"/>
    <n v="0.49579831932773111"/>
  </r>
  <r>
    <x v="1101"/>
    <d v="2025-01-23T00:00:00"/>
    <s v="CUST-0225"/>
    <s v="PROD-015"/>
    <x v="4"/>
    <x v="0"/>
    <n v="4"/>
    <n v="0.05"/>
    <x v="0"/>
    <n v="5"/>
    <n v="5"/>
    <x v="12"/>
    <x v="3"/>
    <n v="23"/>
    <n v="10"/>
    <x v="1"/>
    <n v="87.399999999999991"/>
    <n v="40"/>
    <n v="47.399999999999991"/>
    <n v="0.54233409610983974"/>
  </r>
  <r>
    <x v="1102"/>
    <d v="2025-12-12T00:00:00"/>
    <s v="CUST-0248"/>
    <s v="PROD-013"/>
    <x v="3"/>
    <x v="2"/>
    <n v="5"/>
    <n v="0.1"/>
    <x v="0"/>
    <n v="4"/>
    <n v="4"/>
    <x v="4"/>
    <x v="2"/>
    <n v="32"/>
    <n v="13"/>
    <x v="1"/>
    <n v="144"/>
    <n v="65"/>
    <n v="79"/>
    <n v="0.54861111111111116"/>
  </r>
  <r>
    <x v="1103"/>
    <d v="2026-03-13T00:00:00"/>
    <s v="CUST-0138"/>
    <s v="PROD-013"/>
    <x v="4"/>
    <x v="1"/>
    <n v="1"/>
    <n v="0"/>
    <x v="0"/>
    <n v="5"/>
    <n v="5"/>
    <x v="4"/>
    <x v="2"/>
    <n v="32"/>
    <n v="13"/>
    <x v="0"/>
    <n v="32"/>
    <n v="13"/>
    <n v="19"/>
    <n v="0.59375"/>
  </r>
  <r>
    <x v="1104"/>
    <d v="2025-07-23T00:00:00"/>
    <s v="CUST-0291"/>
    <s v="PROD-005"/>
    <x v="2"/>
    <x v="1"/>
    <n v="7"/>
    <n v="0.2"/>
    <x v="0"/>
    <n v="5"/>
    <n v="3"/>
    <x v="15"/>
    <x v="0"/>
    <n v="115"/>
    <n v="58"/>
    <x v="1"/>
    <n v="644"/>
    <n v="406"/>
    <n v="238"/>
    <n v="0.36956521739130432"/>
  </r>
  <r>
    <x v="1105"/>
    <d v="2026-04-15T00:00:00"/>
    <s v="CUST-0203"/>
    <s v="PROD-006"/>
    <x v="4"/>
    <x v="0"/>
    <n v="1"/>
    <n v="0"/>
    <x v="0"/>
    <n v="3"/>
    <n v="2"/>
    <x v="7"/>
    <x v="0"/>
    <n v="98"/>
    <n v="46"/>
    <x v="2"/>
    <n v="98"/>
    <n v="46"/>
    <n v="52"/>
    <n v="0.53061224489795922"/>
  </r>
  <r>
    <x v="1106"/>
    <d v="2026-03-24T00:00:00"/>
    <s v="CUST-0047"/>
    <s v="PROD-008"/>
    <x v="2"/>
    <x v="0"/>
    <n v="4"/>
    <n v="0"/>
    <x v="0"/>
    <n v="2"/>
    <n v="9"/>
    <x v="1"/>
    <x v="1"/>
    <n v="255"/>
    <n v="145"/>
    <x v="1"/>
    <n v="1020"/>
    <n v="580"/>
    <n v="440"/>
    <n v="0.43137254901960786"/>
  </r>
  <r>
    <x v="1107"/>
    <d v="2025-08-06T00:00:00"/>
    <s v="CUST-0242"/>
    <s v="PROD-013"/>
    <x v="0"/>
    <x v="0"/>
    <n v="4"/>
    <n v="0"/>
    <x v="0"/>
    <n v="5"/>
    <n v="2"/>
    <x v="4"/>
    <x v="2"/>
    <n v="32"/>
    <n v="13"/>
    <x v="0"/>
    <n v="128"/>
    <n v="52"/>
    <n v="76"/>
    <n v="0.59375"/>
  </r>
  <r>
    <x v="1108"/>
    <d v="2026-02-14T00:00:00"/>
    <s v="CUST-0168"/>
    <s v="PROD-010"/>
    <x v="0"/>
    <x v="0"/>
    <n v="2"/>
    <n v="0"/>
    <x v="0"/>
    <n v="4"/>
    <n v="5"/>
    <x v="13"/>
    <x v="2"/>
    <n v="48"/>
    <n v="22"/>
    <x v="0"/>
    <n v="96"/>
    <n v="44"/>
    <n v="52"/>
    <n v="0.54166666666666663"/>
  </r>
  <r>
    <x v="1109"/>
    <d v="2025-01-28T00:00:00"/>
    <s v="CUST-0114"/>
    <s v="PROD-006"/>
    <x v="1"/>
    <x v="1"/>
    <n v="2"/>
    <n v="0.1"/>
    <x v="0"/>
    <n v="5"/>
    <n v="1"/>
    <x v="7"/>
    <x v="0"/>
    <n v="98"/>
    <n v="46"/>
    <x v="1"/>
    <n v="176.4"/>
    <n v="92"/>
    <n v="84.4"/>
    <n v="0.47845804988662133"/>
  </r>
  <r>
    <x v="1110"/>
    <d v="2025-08-24T00:00:00"/>
    <s v="CUST-0071"/>
    <s v="PROD-016"/>
    <x v="2"/>
    <x v="1"/>
    <n v="2"/>
    <n v="0"/>
    <x v="0"/>
    <n v="4"/>
    <n v="3"/>
    <x v="9"/>
    <x v="3"/>
    <n v="28"/>
    <n v="12"/>
    <x v="1"/>
    <n v="56"/>
    <n v="24"/>
    <n v="32"/>
    <n v="0.5714285714285714"/>
  </r>
  <r>
    <x v="1111"/>
    <d v="2025-11-15T00:00:00"/>
    <s v="CUST-0199"/>
    <s v="PROD-016"/>
    <x v="2"/>
    <x v="2"/>
    <n v="2"/>
    <n v="0"/>
    <x v="0"/>
    <n v="5"/>
    <n v="4"/>
    <x v="9"/>
    <x v="3"/>
    <n v="28"/>
    <n v="12"/>
    <x v="2"/>
    <n v="56"/>
    <n v="24"/>
    <n v="32"/>
    <n v="0.5714285714285714"/>
  </r>
  <r>
    <x v="1112"/>
    <d v="2025-03-26T00:00:00"/>
    <s v="CUST-0178"/>
    <s v="PROD-004"/>
    <x v="1"/>
    <x v="1"/>
    <n v="4"/>
    <n v="0"/>
    <x v="0"/>
    <n v="4"/>
    <n v="4"/>
    <x v="3"/>
    <x v="0"/>
    <n v="42"/>
    <n v="19"/>
    <x v="1"/>
    <n v="168"/>
    <n v="76"/>
    <n v="92"/>
    <n v="0.54761904761904767"/>
  </r>
  <r>
    <x v="1113"/>
    <d v="2025-01-12T00:00:00"/>
    <s v="CUST-0249"/>
    <s v="PROD-013"/>
    <x v="4"/>
    <x v="1"/>
    <n v="2"/>
    <n v="0.1"/>
    <x v="0"/>
    <n v="5"/>
    <n v="4"/>
    <x v="4"/>
    <x v="2"/>
    <n v="32"/>
    <n v="13"/>
    <x v="0"/>
    <n v="57.6"/>
    <n v="26"/>
    <n v="31.6"/>
    <n v="0.54861111111111116"/>
  </r>
  <r>
    <x v="1114"/>
    <d v="2026-05-30T00:00:00"/>
    <s v="CUST-0191"/>
    <s v="PROD-016"/>
    <x v="1"/>
    <x v="2"/>
    <n v="8"/>
    <n v="0"/>
    <x v="0"/>
    <n v="4"/>
    <n v="4"/>
    <x v="9"/>
    <x v="3"/>
    <n v="28"/>
    <n v="12"/>
    <x v="1"/>
    <n v="224"/>
    <n v="96"/>
    <n v="128"/>
    <n v="0.5714285714285714"/>
  </r>
  <r>
    <x v="1115"/>
    <d v="2025-03-23T00:00:00"/>
    <s v="CUST-0077"/>
    <s v="PROD-001"/>
    <x v="3"/>
    <x v="2"/>
    <n v="3"/>
    <n v="0"/>
    <x v="0"/>
    <n v="5"/>
    <n v="4"/>
    <x v="2"/>
    <x v="0"/>
    <n v="1100"/>
    <n v="720"/>
    <x v="2"/>
    <n v="3300"/>
    <n v="2160"/>
    <n v="1140"/>
    <n v="0.34545454545454546"/>
  </r>
  <r>
    <x v="1116"/>
    <d v="2026-03-22T00:00:00"/>
    <s v="CUST-0025"/>
    <s v="PROD-015"/>
    <x v="3"/>
    <x v="1"/>
    <n v="2"/>
    <n v="0"/>
    <x v="0"/>
    <n v="5"/>
    <n v="3"/>
    <x v="12"/>
    <x v="3"/>
    <n v="23"/>
    <n v="10"/>
    <x v="2"/>
    <n v="46"/>
    <n v="20"/>
    <n v="26"/>
    <n v="0.56521739130434778"/>
  </r>
  <r>
    <x v="1117"/>
    <d v="2026-03-12T00:00:00"/>
    <s v="CUST-0173"/>
    <s v="PROD-010"/>
    <x v="1"/>
    <x v="1"/>
    <n v="1"/>
    <n v="0"/>
    <x v="0"/>
    <n v="4"/>
    <n v="3"/>
    <x v="13"/>
    <x v="2"/>
    <n v="48"/>
    <n v="22"/>
    <x v="1"/>
    <n v="48"/>
    <n v="22"/>
    <n v="26"/>
    <n v="0.54166666666666663"/>
  </r>
  <r>
    <x v="1118"/>
    <d v="2025-02-06T00:00:00"/>
    <s v="CUST-0058"/>
    <s v="PROD-012"/>
    <x v="1"/>
    <x v="0"/>
    <n v="2"/>
    <n v="0"/>
    <x v="0"/>
    <n v="3"/>
    <n v="2"/>
    <x v="11"/>
    <x v="2"/>
    <n v="68"/>
    <n v="31"/>
    <x v="0"/>
    <n v="136"/>
    <n v="62"/>
    <n v="74"/>
    <n v="0.54411764705882348"/>
  </r>
  <r>
    <x v="1119"/>
    <d v="2026-05-21T00:00:00"/>
    <s v="CUST-0221"/>
    <s v="PROD-009"/>
    <x v="3"/>
    <x v="1"/>
    <n v="3"/>
    <n v="0.15"/>
    <x v="0"/>
    <n v="5"/>
    <n v="5"/>
    <x v="14"/>
    <x v="1"/>
    <n v="185"/>
    <n v="105"/>
    <x v="2"/>
    <n v="471.75"/>
    <n v="315"/>
    <n v="156.75"/>
    <n v="0.33227344992050872"/>
  </r>
  <r>
    <x v="1120"/>
    <d v="2026-08-06T00:00:00"/>
    <s v="CUST-0235"/>
    <s v="PROD-002"/>
    <x v="2"/>
    <x v="1"/>
    <n v="1"/>
    <n v="0.2"/>
    <x v="0"/>
    <n v="5"/>
    <n v="4"/>
    <x v="0"/>
    <x v="0"/>
    <n v="310"/>
    <n v="190"/>
    <x v="1"/>
    <n v="248"/>
    <n v="190"/>
    <n v="58"/>
    <n v="0.23387096774193547"/>
  </r>
  <r>
    <x v="1121"/>
    <d v="2026-06-09T00:00:00"/>
    <s v="CUST-0041"/>
    <s v="PROD-011"/>
    <x v="0"/>
    <x v="0"/>
    <n v="2"/>
    <n v="0"/>
    <x v="1"/>
    <n v="4"/>
    <n v="5"/>
    <x v="8"/>
    <x v="2"/>
    <n v="85"/>
    <n v="39"/>
    <x v="0"/>
    <n v="170"/>
    <n v="78"/>
    <n v="92"/>
    <n v="0.54117647058823526"/>
  </r>
  <r>
    <x v="1122"/>
    <d v="2025-04-30T00:00:00"/>
    <s v="CUST-0099"/>
    <s v="PROD-009"/>
    <x v="0"/>
    <x v="0"/>
    <n v="2"/>
    <n v="0.1"/>
    <x v="0"/>
    <n v="2"/>
    <n v="9"/>
    <x v="14"/>
    <x v="1"/>
    <n v="185"/>
    <n v="105"/>
    <x v="2"/>
    <n v="333"/>
    <n v="210"/>
    <n v="123"/>
    <n v="0.36936936936936937"/>
  </r>
  <r>
    <x v="1123"/>
    <d v="2025-08-09T00:00:00"/>
    <s v="CUST-0224"/>
    <s v="PROD-009"/>
    <x v="1"/>
    <x v="0"/>
    <n v="1"/>
    <n v="0.1"/>
    <x v="0"/>
    <n v="5"/>
    <n v="3"/>
    <x v="14"/>
    <x v="1"/>
    <n v="185"/>
    <n v="105"/>
    <x v="0"/>
    <n v="166.5"/>
    <n v="105"/>
    <n v="61.5"/>
    <n v="0.36936936936936937"/>
  </r>
  <r>
    <x v="1124"/>
    <d v="2025-10-07T00:00:00"/>
    <s v="CUST-0003"/>
    <s v="PROD-014"/>
    <x v="2"/>
    <x v="0"/>
    <n v="3"/>
    <n v="0"/>
    <x v="0"/>
    <n v="5"/>
    <n v="3"/>
    <x v="5"/>
    <x v="3"/>
    <n v="17"/>
    <n v="8"/>
    <x v="1"/>
    <n v="51"/>
    <n v="24"/>
    <n v="27"/>
    <n v="0.52941176470588236"/>
  </r>
  <r>
    <x v="1125"/>
    <d v="2025-04-10T00:00:00"/>
    <s v="CUST-0114"/>
    <s v="PROD-008"/>
    <x v="2"/>
    <x v="1"/>
    <n v="1"/>
    <n v="0"/>
    <x v="0"/>
    <n v="5"/>
    <n v="5"/>
    <x v="1"/>
    <x v="1"/>
    <n v="255"/>
    <n v="145"/>
    <x v="1"/>
    <n v="255"/>
    <n v="145"/>
    <n v="110"/>
    <n v="0.43137254901960786"/>
  </r>
  <r>
    <x v="1126"/>
    <d v="2026-03-07T00:00:00"/>
    <s v="CUST-0169"/>
    <s v="PROD-013"/>
    <x v="4"/>
    <x v="0"/>
    <n v="2"/>
    <n v="0"/>
    <x v="0"/>
    <n v="3"/>
    <n v="4"/>
    <x v="4"/>
    <x v="2"/>
    <n v="32"/>
    <n v="13"/>
    <x v="1"/>
    <n v="64"/>
    <n v="26"/>
    <n v="38"/>
    <n v="0.59375"/>
  </r>
  <r>
    <x v="1127"/>
    <d v="2025-08-04T00:00:00"/>
    <s v="CUST-0273"/>
    <s v="PROD-006"/>
    <x v="1"/>
    <x v="1"/>
    <n v="1"/>
    <n v="0.15"/>
    <x v="1"/>
    <n v="5"/>
    <n v="8"/>
    <x v="7"/>
    <x v="0"/>
    <n v="98"/>
    <n v="46"/>
    <x v="0"/>
    <n v="83.3"/>
    <n v="46"/>
    <n v="37.299999999999997"/>
    <n v="0.44777911164465783"/>
  </r>
  <r>
    <x v="1128"/>
    <d v="2025-03-27T00:00:00"/>
    <s v="CUST-0107"/>
    <s v="PROD-012"/>
    <x v="3"/>
    <x v="0"/>
    <n v="2"/>
    <n v="0.05"/>
    <x v="0"/>
    <n v="4"/>
    <n v="5"/>
    <x v="11"/>
    <x v="2"/>
    <n v="68"/>
    <n v="31"/>
    <x v="1"/>
    <n v="129.19999999999999"/>
    <n v="62"/>
    <n v="67.199999999999989"/>
    <n v="0.52012383900928794"/>
  </r>
  <r>
    <x v="1129"/>
    <d v="2025-12-27T00:00:00"/>
    <s v="CUST-0290"/>
    <s v="PROD-014"/>
    <x v="3"/>
    <x v="0"/>
    <n v="4"/>
    <n v="0"/>
    <x v="0"/>
    <n v="5"/>
    <n v="4"/>
    <x v="5"/>
    <x v="3"/>
    <n v="17"/>
    <n v="8"/>
    <x v="1"/>
    <n v="68"/>
    <n v="32"/>
    <n v="36"/>
    <n v="0.52941176470588236"/>
  </r>
  <r>
    <x v="1130"/>
    <d v="2026-07-05T00:00:00"/>
    <s v="CUST-0068"/>
    <s v="PROD-013"/>
    <x v="1"/>
    <x v="2"/>
    <n v="1"/>
    <n v="0"/>
    <x v="1"/>
    <n v="4"/>
    <n v="4"/>
    <x v="4"/>
    <x v="2"/>
    <n v="32"/>
    <n v="13"/>
    <x v="1"/>
    <n v="32"/>
    <n v="13"/>
    <n v="19"/>
    <n v="0.59375"/>
  </r>
  <r>
    <x v="1131"/>
    <d v="2026-02-15T00:00:00"/>
    <s v="CUST-0282"/>
    <s v="PROD-014"/>
    <x v="3"/>
    <x v="1"/>
    <n v="6"/>
    <n v="0"/>
    <x v="0"/>
    <n v="5"/>
    <n v="3"/>
    <x v="5"/>
    <x v="3"/>
    <n v="17"/>
    <n v="8"/>
    <x v="1"/>
    <n v="102"/>
    <n v="48"/>
    <n v="54"/>
    <n v="0.52941176470588236"/>
  </r>
  <r>
    <x v="1132"/>
    <d v="2026-05-30T00:00:00"/>
    <s v="CUST-0275"/>
    <s v="PROD-013"/>
    <x v="3"/>
    <x v="1"/>
    <n v="4"/>
    <n v="0"/>
    <x v="1"/>
    <n v="3"/>
    <n v="6"/>
    <x v="4"/>
    <x v="2"/>
    <n v="32"/>
    <n v="13"/>
    <x v="1"/>
    <n v="128"/>
    <n v="52"/>
    <n v="76"/>
    <n v="0.59375"/>
  </r>
  <r>
    <x v="1133"/>
    <d v="2025-10-23T00:00:00"/>
    <s v="CUST-0002"/>
    <s v="PROD-011"/>
    <x v="1"/>
    <x v="0"/>
    <n v="3"/>
    <n v="0"/>
    <x v="0"/>
    <n v="4"/>
    <n v="4"/>
    <x v="8"/>
    <x v="2"/>
    <n v="85"/>
    <n v="39"/>
    <x v="1"/>
    <n v="255"/>
    <n v="117"/>
    <n v="138"/>
    <n v="0.54117647058823526"/>
  </r>
  <r>
    <x v="1134"/>
    <d v="2026-02-25T00:00:00"/>
    <s v="CUST-0097"/>
    <s v="PROD-001"/>
    <x v="1"/>
    <x v="1"/>
    <n v="3"/>
    <n v="0.2"/>
    <x v="0"/>
    <n v="5"/>
    <n v="1"/>
    <x v="2"/>
    <x v="0"/>
    <n v="1100"/>
    <n v="720"/>
    <x v="2"/>
    <n v="2640"/>
    <n v="2160"/>
    <n v="480"/>
    <n v="0.18181818181818182"/>
  </r>
  <r>
    <x v="1135"/>
    <d v="2025-11-29T00:00:00"/>
    <s v="CUST-0128"/>
    <s v="PROD-006"/>
    <x v="4"/>
    <x v="1"/>
    <n v="1"/>
    <n v="0"/>
    <x v="0"/>
    <n v="5"/>
    <n v="4"/>
    <x v="7"/>
    <x v="0"/>
    <n v="98"/>
    <n v="46"/>
    <x v="2"/>
    <n v="98"/>
    <n v="46"/>
    <n v="52"/>
    <n v="0.53061224489795922"/>
  </r>
  <r>
    <x v="1136"/>
    <d v="2026-07-20T00:00:00"/>
    <s v="CUST-0262"/>
    <s v="PROD-007"/>
    <x v="0"/>
    <x v="1"/>
    <n v="2"/>
    <n v="0.15"/>
    <x v="0"/>
    <n v="5"/>
    <n v="2"/>
    <x v="6"/>
    <x v="1"/>
    <n v="540"/>
    <n v="320"/>
    <x v="2"/>
    <n v="918"/>
    <n v="640"/>
    <n v="278"/>
    <n v="0.30283224400871461"/>
  </r>
  <r>
    <x v="1137"/>
    <d v="2025-11-27T00:00:00"/>
    <s v="CUST-0068"/>
    <s v="PROD-010"/>
    <x v="2"/>
    <x v="1"/>
    <n v="3"/>
    <n v="0"/>
    <x v="0"/>
    <n v="4"/>
    <n v="2"/>
    <x v="13"/>
    <x v="2"/>
    <n v="48"/>
    <n v="22"/>
    <x v="1"/>
    <n v="144"/>
    <n v="66"/>
    <n v="78"/>
    <n v="0.54166666666666663"/>
  </r>
  <r>
    <x v="1138"/>
    <d v="2025-07-01T00:00:00"/>
    <s v="CUST-0237"/>
    <s v="PROD-004"/>
    <x v="0"/>
    <x v="2"/>
    <n v="5"/>
    <n v="0.15"/>
    <x v="0"/>
    <n v="5"/>
    <n v="1"/>
    <x v="3"/>
    <x v="0"/>
    <n v="42"/>
    <n v="19"/>
    <x v="2"/>
    <n v="178.5"/>
    <n v="95"/>
    <n v="83.5"/>
    <n v="0.46778711484593838"/>
  </r>
  <r>
    <x v="1139"/>
    <d v="2025-01-08T00:00:00"/>
    <s v="CUST-0017"/>
    <s v="PROD-014"/>
    <x v="0"/>
    <x v="2"/>
    <n v="5"/>
    <n v="0"/>
    <x v="0"/>
    <n v="4"/>
    <n v="5"/>
    <x v="5"/>
    <x v="3"/>
    <n v="17"/>
    <n v="8"/>
    <x v="1"/>
    <n v="85"/>
    <n v="40"/>
    <n v="45"/>
    <n v="0.52941176470588236"/>
  </r>
  <r>
    <x v="1140"/>
    <d v="2025-05-04T00:00:00"/>
    <s v="CUST-0274"/>
    <s v="PROD-001"/>
    <x v="4"/>
    <x v="0"/>
    <n v="1"/>
    <n v="0.1"/>
    <x v="0"/>
    <n v="5"/>
    <n v="1"/>
    <x v="2"/>
    <x v="0"/>
    <n v="1100"/>
    <n v="720"/>
    <x v="2"/>
    <n v="990"/>
    <n v="720"/>
    <n v="270"/>
    <n v="0.27272727272727271"/>
  </r>
  <r>
    <x v="1141"/>
    <d v="2026-01-08T00:00:00"/>
    <s v="CUST-0205"/>
    <s v="PROD-015"/>
    <x v="4"/>
    <x v="1"/>
    <n v="1"/>
    <n v="0"/>
    <x v="0"/>
    <n v="5"/>
    <n v="1"/>
    <x v="12"/>
    <x v="3"/>
    <n v="23"/>
    <n v="10"/>
    <x v="1"/>
    <n v="23"/>
    <n v="10"/>
    <n v="13"/>
    <n v="0.56521739130434778"/>
  </r>
  <r>
    <x v="1142"/>
    <d v="2025-06-23T00:00:00"/>
    <s v="CUST-0188"/>
    <s v="PROD-014"/>
    <x v="1"/>
    <x v="1"/>
    <n v="1"/>
    <n v="0.05"/>
    <x v="0"/>
    <n v="4"/>
    <n v="1"/>
    <x v="5"/>
    <x v="3"/>
    <n v="17"/>
    <n v="8"/>
    <x v="1"/>
    <n v="16.149999999999999"/>
    <n v="8"/>
    <n v="8.1499999999999986"/>
    <n v="0.50464396284829716"/>
  </r>
  <r>
    <x v="1143"/>
    <d v="2026-04-15T00:00:00"/>
    <s v="CUST-0252"/>
    <s v="PROD-008"/>
    <x v="1"/>
    <x v="1"/>
    <n v="3"/>
    <n v="0"/>
    <x v="0"/>
    <n v="4"/>
    <n v="3"/>
    <x v="1"/>
    <x v="1"/>
    <n v="255"/>
    <n v="145"/>
    <x v="0"/>
    <n v="765"/>
    <n v="435"/>
    <n v="330"/>
    <n v="0.43137254901960786"/>
  </r>
  <r>
    <x v="1144"/>
    <d v="2025-02-06T00:00:00"/>
    <s v="CUST-0072"/>
    <s v="PROD-005"/>
    <x v="4"/>
    <x v="1"/>
    <n v="5"/>
    <n v="0.05"/>
    <x v="0"/>
    <n v="4"/>
    <n v="2"/>
    <x v="15"/>
    <x v="0"/>
    <n v="115"/>
    <n v="58"/>
    <x v="2"/>
    <n v="546.25"/>
    <n v="290"/>
    <n v="256.25"/>
    <n v="0.46910755148741418"/>
  </r>
  <r>
    <x v="1145"/>
    <d v="2026-08-05T00:00:00"/>
    <s v="CUST-0157"/>
    <s v="PROD-016"/>
    <x v="1"/>
    <x v="0"/>
    <n v="1"/>
    <n v="0.1"/>
    <x v="0"/>
    <n v="4"/>
    <n v="4"/>
    <x v="9"/>
    <x v="3"/>
    <n v="28"/>
    <n v="12"/>
    <x v="1"/>
    <n v="25.2"/>
    <n v="12"/>
    <n v="13.2"/>
    <n v="0.52380952380952384"/>
  </r>
  <r>
    <x v="1146"/>
    <d v="2025-09-21T00:00:00"/>
    <s v="CUST-0117"/>
    <s v="PROD-001"/>
    <x v="0"/>
    <x v="0"/>
    <n v="1"/>
    <n v="0"/>
    <x v="0"/>
    <n v="4"/>
    <n v="5"/>
    <x v="2"/>
    <x v="0"/>
    <n v="1100"/>
    <n v="720"/>
    <x v="1"/>
    <n v="1100"/>
    <n v="720"/>
    <n v="380"/>
    <n v="0.34545454545454546"/>
  </r>
  <r>
    <x v="1147"/>
    <d v="2026-02-20T00:00:00"/>
    <s v="CUST-0245"/>
    <s v="PROD-006"/>
    <x v="0"/>
    <x v="0"/>
    <n v="3"/>
    <n v="0.05"/>
    <x v="0"/>
    <n v="4"/>
    <n v="4"/>
    <x v="7"/>
    <x v="0"/>
    <n v="98"/>
    <n v="46"/>
    <x v="1"/>
    <n v="279.3"/>
    <n v="138"/>
    <n v="141.30000000000001"/>
    <n v="0.50590762620837815"/>
  </r>
  <r>
    <x v="1148"/>
    <d v="2025-06-23T00:00:00"/>
    <s v="CUST-0269"/>
    <s v="PROD-016"/>
    <x v="2"/>
    <x v="2"/>
    <n v="1"/>
    <n v="0.2"/>
    <x v="0"/>
    <n v="4"/>
    <n v="2"/>
    <x v="9"/>
    <x v="3"/>
    <n v="28"/>
    <n v="12"/>
    <x v="0"/>
    <n v="22.400000000000002"/>
    <n v="12"/>
    <n v="10.400000000000002"/>
    <n v="0.46428571428571436"/>
  </r>
  <r>
    <x v="1149"/>
    <d v="2025-06-03T00:00:00"/>
    <s v="CUST-0143"/>
    <s v="PROD-004"/>
    <x v="1"/>
    <x v="1"/>
    <n v="2"/>
    <n v="0.15"/>
    <x v="0"/>
    <n v="5"/>
    <n v="5"/>
    <x v="3"/>
    <x v="0"/>
    <n v="42"/>
    <n v="19"/>
    <x v="1"/>
    <n v="71.399999999999991"/>
    <n v="38"/>
    <n v="33.399999999999991"/>
    <n v="0.46778711484593832"/>
  </r>
  <r>
    <x v="1150"/>
    <d v="2025-08-22T00:00:00"/>
    <s v="CUST-0104"/>
    <s v="PROD-012"/>
    <x v="1"/>
    <x v="1"/>
    <n v="1"/>
    <n v="0"/>
    <x v="0"/>
    <n v="4"/>
    <n v="5"/>
    <x v="11"/>
    <x v="2"/>
    <n v="68"/>
    <n v="31"/>
    <x v="0"/>
    <n v="68"/>
    <n v="31"/>
    <n v="37"/>
    <n v="0.54411764705882348"/>
  </r>
  <r>
    <x v="1151"/>
    <d v="2026-07-05T00:00:00"/>
    <s v="CUST-0041"/>
    <s v="PROD-002"/>
    <x v="4"/>
    <x v="0"/>
    <n v="1"/>
    <n v="0.1"/>
    <x v="0"/>
    <n v="5"/>
    <n v="2"/>
    <x v="0"/>
    <x v="0"/>
    <n v="310"/>
    <n v="190"/>
    <x v="0"/>
    <n v="279"/>
    <n v="190"/>
    <n v="89"/>
    <n v="0.31899641577060933"/>
  </r>
  <r>
    <x v="1152"/>
    <d v="2025-08-22T00:00:00"/>
    <s v="CUST-0234"/>
    <s v="PROD-006"/>
    <x v="2"/>
    <x v="0"/>
    <n v="3"/>
    <n v="0"/>
    <x v="0"/>
    <n v="5"/>
    <n v="1"/>
    <x v="7"/>
    <x v="0"/>
    <n v="98"/>
    <n v="46"/>
    <x v="0"/>
    <n v="294"/>
    <n v="138"/>
    <n v="156"/>
    <n v="0.53061224489795922"/>
  </r>
  <r>
    <x v="1153"/>
    <d v="2025-05-16T00:00:00"/>
    <s v="CUST-0268"/>
    <s v="PROD-010"/>
    <x v="2"/>
    <x v="1"/>
    <n v="3"/>
    <n v="0.05"/>
    <x v="0"/>
    <n v="4"/>
    <n v="1"/>
    <x v="13"/>
    <x v="2"/>
    <n v="48"/>
    <n v="22"/>
    <x v="2"/>
    <n v="136.79999999999998"/>
    <n v="66"/>
    <n v="70.799999999999983"/>
    <n v="0.51754385964912275"/>
  </r>
  <r>
    <x v="1154"/>
    <d v="2025-11-23T00:00:00"/>
    <s v="CUST-0038"/>
    <s v="PROD-007"/>
    <x v="4"/>
    <x v="1"/>
    <n v="2"/>
    <n v="0"/>
    <x v="0"/>
    <n v="4"/>
    <n v="3"/>
    <x v="6"/>
    <x v="1"/>
    <n v="540"/>
    <n v="320"/>
    <x v="0"/>
    <n v="1080"/>
    <n v="640"/>
    <n v="440"/>
    <n v="0.40740740740740738"/>
  </r>
  <r>
    <x v="1155"/>
    <d v="2026-08-06T00:00:00"/>
    <s v="CUST-0005"/>
    <s v="PROD-014"/>
    <x v="0"/>
    <x v="1"/>
    <n v="5"/>
    <n v="0.1"/>
    <x v="0"/>
    <n v="5"/>
    <n v="5"/>
    <x v="5"/>
    <x v="3"/>
    <n v="17"/>
    <n v="8"/>
    <x v="0"/>
    <n v="76.5"/>
    <n v="40"/>
    <n v="36.5"/>
    <n v="0.47712418300653597"/>
  </r>
  <r>
    <x v="1156"/>
    <d v="2026-04-13T00:00:00"/>
    <s v="CUST-0001"/>
    <s v="PROD-009"/>
    <x v="1"/>
    <x v="0"/>
    <n v="2"/>
    <n v="0"/>
    <x v="0"/>
    <n v="4"/>
    <n v="3"/>
    <x v="14"/>
    <x v="1"/>
    <n v="185"/>
    <n v="105"/>
    <x v="0"/>
    <n v="370"/>
    <n v="210"/>
    <n v="160"/>
    <n v="0.43243243243243246"/>
  </r>
  <r>
    <x v="1157"/>
    <d v="2025-09-28T00:00:00"/>
    <s v="CUST-0273"/>
    <s v="PROD-008"/>
    <x v="3"/>
    <x v="0"/>
    <n v="2"/>
    <n v="0.05"/>
    <x v="0"/>
    <n v="5"/>
    <n v="2"/>
    <x v="1"/>
    <x v="1"/>
    <n v="255"/>
    <n v="145"/>
    <x v="0"/>
    <n v="484.5"/>
    <n v="290"/>
    <n v="194.5"/>
    <n v="0.40144478844169246"/>
  </r>
  <r>
    <x v="1158"/>
    <d v="2026-05-15T00:00:00"/>
    <s v="CUST-0004"/>
    <s v="PROD-011"/>
    <x v="0"/>
    <x v="0"/>
    <n v="2"/>
    <n v="0"/>
    <x v="0"/>
    <n v="5"/>
    <n v="1"/>
    <x v="8"/>
    <x v="2"/>
    <n v="85"/>
    <n v="39"/>
    <x v="1"/>
    <n v="170"/>
    <n v="78"/>
    <n v="92"/>
    <n v="0.54117647058823526"/>
  </r>
  <r>
    <x v="1159"/>
    <d v="2026-03-30T00:00:00"/>
    <s v="CUST-0176"/>
    <s v="PROD-006"/>
    <x v="2"/>
    <x v="1"/>
    <n v="1"/>
    <n v="0"/>
    <x v="0"/>
    <n v="5"/>
    <n v="4"/>
    <x v="7"/>
    <x v="0"/>
    <n v="98"/>
    <n v="46"/>
    <x v="1"/>
    <n v="98"/>
    <n v="46"/>
    <n v="52"/>
    <n v="0.53061224489795922"/>
  </r>
  <r>
    <x v="1160"/>
    <d v="2025-04-16T00:00:00"/>
    <s v="CUST-0154"/>
    <s v="PROD-007"/>
    <x v="4"/>
    <x v="1"/>
    <n v="1"/>
    <n v="0.1"/>
    <x v="0"/>
    <n v="5"/>
    <n v="5"/>
    <x v="6"/>
    <x v="1"/>
    <n v="540"/>
    <n v="320"/>
    <x v="0"/>
    <n v="486"/>
    <n v="320"/>
    <n v="166"/>
    <n v="0.34156378600823045"/>
  </r>
  <r>
    <x v="1161"/>
    <d v="2025-06-10T00:00:00"/>
    <s v="CUST-0167"/>
    <s v="PROD-016"/>
    <x v="1"/>
    <x v="0"/>
    <n v="4"/>
    <n v="0"/>
    <x v="1"/>
    <n v="4"/>
    <n v="6"/>
    <x v="9"/>
    <x v="3"/>
    <n v="28"/>
    <n v="12"/>
    <x v="1"/>
    <n v="112"/>
    <n v="48"/>
    <n v="64"/>
    <n v="0.5714285714285714"/>
  </r>
  <r>
    <x v="1162"/>
    <d v="2025-05-29T00:00:00"/>
    <s v="CUST-0157"/>
    <s v="PROD-011"/>
    <x v="1"/>
    <x v="0"/>
    <n v="1"/>
    <n v="0"/>
    <x v="0"/>
    <n v="5"/>
    <n v="1"/>
    <x v="8"/>
    <x v="2"/>
    <n v="85"/>
    <n v="39"/>
    <x v="1"/>
    <n v="85"/>
    <n v="39"/>
    <n v="46"/>
    <n v="0.54117647058823526"/>
  </r>
  <r>
    <x v="1163"/>
    <d v="2026-02-18T00:00:00"/>
    <s v="CUST-0029"/>
    <s v="PROD-014"/>
    <x v="3"/>
    <x v="0"/>
    <n v="8"/>
    <n v="0.1"/>
    <x v="0"/>
    <n v="5"/>
    <n v="2"/>
    <x v="5"/>
    <x v="3"/>
    <n v="17"/>
    <n v="8"/>
    <x v="2"/>
    <n v="122.4"/>
    <n v="64"/>
    <n v="58.400000000000006"/>
    <n v="0.47712418300653597"/>
  </r>
  <r>
    <x v="1164"/>
    <d v="2025-09-20T00:00:00"/>
    <s v="CUST-0151"/>
    <s v="PROD-012"/>
    <x v="2"/>
    <x v="1"/>
    <n v="2"/>
    <n v="0.05"/>
    <x v="0"/>
    <n v="5"/>
    <n v="5"/>
    <x v="11"/>
    <x v="2"/>
    <n v="68"/>
    <n v="31"/>
    <x v="2"/>
    <n v="129.19999999999999"/>
    <n v="62"/>
    <n v="67.199999999999989"/>
    <n v="0.52012383900928794"/>
  </r>
  <r>
    <x v="1165"/>
    <d v="2026-05-31T00:00:00"/>
    <s v="CUST-0226"/>
    <s v="PROD-009"/>
    <x v="2"/>
    <x v="1"/>
    <n v="2"/>
    <n v="0.05"/>
    <x v="0"/>
    <n v="4"/>
    <n v="1"/>
    <x v="14"/>
    <x v="1"/>
    <n v="185"/>
    <n v="105"/>
    <x v="0"/>
    <n v="351.5"/>
    <n v="210"/>
    <n v="141.5"/>
    <n v="0.40256045519203415"/>
  </r>
  <r>
    <x v="1166"/>
    <d v="2026-02-04T00:00:00"/>
    <s v="CUST-0250"/>
    <s v="PROD-008"/>
    <x v="3"/>
    <x v="0"/>
    <n v="2"/>
    <n v="0"/>
    <x v="0"/>
    <n v="4"/>
    <n v="3"/>
    <x v="1"/>
    <x v="1"/>
    <n v="255"/>
    <n v="145"/>
    <x v="1"/>
    <n v="510"/>
    <n v="290"/>
    <n v="220"/>
    <n v="0.43137254901960786"/>
  </r>
  <r>
    <x v="1167"/>
    <d v="2026-03-25T00:00:00"/>
    <s v="CUST-0146"/>
    <s v="PROD-004"/>
    <x v="4"/>
    <x v="2"/>
    <n v="1"/>
    <n v="0.2"/>
    <x v="0"/>
    <n v="5"/>
    <n v="2"/>
    <x v="3"/>
    <x v="0"/>
    <n v="42"/>
    <n v="19"/>
    <x v="1"/>
    <n v="33.6"/>
    <n v="19"/>
    <n v="14.600000000000001"/>
    <n v="0.43452380952380953"/>
  </r>
  <r>
    <x v="1168"/>
    <d v="2026-08-27T00:00:00"/>
    <s v="CUST-0154"/>
    <s v="PROD-007"/>
    <x v="4"/>
    <x v="1"/>
    <n v="2"/>
    <n v="0.05"/>
    <x v="0"/>
    <n v="4"/>
    <n v="3"/>
    <x v="6"/>
    <x v="1"/>
    <n v="540"/>
    <n v="320"/>
    <x v="0"/>
    <n v="1026"/>
    <n v="640"/>
    <n v="386"/>
    <n v="0.37621832358674462"/>
  </r>
  <r>
    <x v="1169"/>
    <d v="2025-01-23T00:00:00"/>
    <s v="CUST-0072"/>
    <s v="PROD-003"/>
    <x v="0"/>
    <x v="0"/>
    <n v="4"/>
    <n v="0.2"/>
    <x v="0"/>
    <n v="5"/>
    <n v="2"/>
    <x v="10"/>
    <x v="0"/>
    <n v="75"/>
    <n v="38"/>
    <x v="2"/>
    <n v="240"/>
    <n v="152"/>
    <n v="88"/>
    <n v="0.36666666666666664"/>
  </r>
  <r>
    <x v="1170"/>
    <d v="2025-07-08T00:00:00"/>
    <s v="CUST-0165"/>
    <s v="PROD-015"/>
    <x v="3"/>
    <x v="1"/>
    <n v="1"/>
    <n v="0.2"/>
    <x v="0"/>
    <n v="4"/>
    <n v="1"/>
    <x v="12"/>
    <x v="3"/>
    <n v="23"/>
    <n v="10"/>
    <x v="2"/>
    <n v="18.400000000000002"/>
    <n v="10"/>
    <n v="8.4000000000000021"/>
    <n v="0.45652173913043487"/>
  </r>
  <r>
    <x v="1171"/>
    <d v="2025-05-24T00:00:00"/>
    <s v="CUST-0062"/>
    <s v="PROD-014"/>
    <x v="4"/>
    <x v="0"/>
    <n v="4"/>
    <n v="0.15"/>
    <x v="0"/>
    <n v="5"/>
    <n v="3"/>
    <x v="5"/>
    <x v="3"/>
    <n v="17"/>
    <n v="8"/>
    <x v="0"/>
    <n v="57.8"/>
    <n v="32"/>
    <n v="25.799999999999997"/>
    <n v="0.44636678200692037"/>
  </r>
  <r>
    <x v="1172"/>
    <d v="2025-01-17T00:00:00"/>
    <s v="CUST-0290"/>
    <s v="PROD-014"/>
    <x v="0"/>
    <x v="2"/>
    <n v="5"/>
    <n v="0"/>
    <x v="0"/>
    <n v="4"/>
    <n v="3"/>
    <x v="5"/>
    <x v="3"/>
    <n v="17"/>
    <n v="8"/>
    <x v="1"/>
    <n v="85"/>
    <n v="40"/>
    <n v="45"/>
    <n v="0.52941176470588236"/>
  </r>
  <r>
    <x v="1173"/>
    <d v="2025-03-10T00:00:00"/>
    <s v="CUST-0039"/>
    <s v="PROD-003"/>
    <x v="0"/>
    <x v="0"/>
    <n v="2"/>
    <n v="0.1"/>
    <x v="0"/>
    <n v="2"/>
    <n v="6"/>
    <x v="10"/>
    <x v="0"/>
    <n v="75"/>
    <n v="38"/>
    <x v="2"/>
    <n v="135"/>
    <n v="76"/>
    <n v="59"/>
    <n v="0.43703703703703706"/>
  </r>
  <r>
    <x v="1174"/>
    <d v="2025-03-16T00:00:00"/>
    <s v="CUST-0221"/>
    <s v="PROD-009"/>
    <x v="4"/>
    <x v="2"/>
    <n v="8"/>
    <n v="0"/>
    <x v="0"/>
    <n v="3"/>
    <n v="5"/>
    <x v="14"/>
    <x v="1"/>
    <n v="185"/>
    <n v="105"/>
    <x v="2"/>
    <n v="1480"/>
    <n v="840"/>
    <n v="640"/>
    <n v="0.43243243243243246"/>
  </r>
  <r>
    <x v="1175"/>
    <d v="2025-12-14T00:00:00"/>
    <s v="CUST-0233"/>
    <s v="PROD-014"/>
    <x v="0"/>
    <x v="1"/>
    <n v="1"/>
    <n v="0.05"/>
    <x v="0"/>
    <n v="1"/>
    <n v="7"/>
    <x v="5"/>
    <x v="3"/>
    <n v="17"/>
    <n v="8"/>
    <x v="0"/>
    <n v="16.149999999999999"/>
    <n v="8"/>
    <n v="8.1499999999999986"/>
    <n v="0.50464396284829716"/>
  </r>
  <r>
    <x v="1176"/>
    <d v="2025-06-04T00:00:00"/>
    <s v="CUST-0133"/>
    <s v="PROD-008"/>
    <x v="4"/>
    <x v="0"/>
    <n v="2"/>
    <n v="0.05"/>
    <x v="0"/>
    <n v="5"/>
    <n v="3"/>
    <x v="1"/>
    <x v="1"/>
    <n v="255"/>
    <n v="145"/>
    <x v="2"/>
    <n v="484.5"/>
    <n v="290"/>
    <n v="194.5"/>
    <n v="0.40144478844169246"/>
  </r>
  <r>
    <x v="1177"/>
    <d v="2026-08-14T00:00:00"/>
    <s v="CUST-0079"/>
    <s v="PROD-007"/>
    <x v="0"/>
    <x v="1"/>
    <n v="1"/>
    <n v="0"/>
    <x v="0"/>
    <n v="5"/>
    <n v="2"/>
    <x v="6"/>
    <x v="1"/>
    <n v="540"/>
    <n v="320"/>
    <x v="1"/>
    <n v="540"/>
    <n v="320"/>
    <n v="220"/>
    <n v="0.40740740740740738"/>
  </r>
  <r>
    <x v="1178"/>
    <d v="2026-07-08T00:00:00"/>
    <s v="CUST-0179"/>
    <s v="PROD-003"/>
    <x v="3"/>
    <x v="1"/>
    <n v="1"/>
    <n v="0"/>
    <x v="0"/>
    <n v="4"/>
    <n v="3"/>
    <x v="10"/>
    <x v="0"/>
    <n v="75"/>
    <n v="38"/>
    <x v="1"/>
    <n v="75"/>
    <n v="38"/>
    <n v="37"/>
    <n v="0.49333333333333335"/>
  </r>
  <r>
    <x v="1179"/>
    <d v="2025-08-27T00:00:00"/>
    <s v="CUST-0112"/>
    <s v="PROD-012"/>
    <x v="2"/>
    <x v="2"/>
    <n v="7"/>
    <n v="0"/>
    <x v="1"/>
    <n v="1"/>
    <n v="6"/>
    <x v="11"/>
    <x v="2"/>
    <n v="68"/>
    <n v="31"/>
    <x v="1"/>
    <n v="476"/>
    <n v="217"/>
    <n v="259"/>
    <n v="0.54411764705882348"/>
  </r>
  <r>
    <x v="1180"/>
    <d v="2025-02-20T00:00:00"/>
    <s v="CUST-0229"/>
    <s v="PROD-015"/>
    <x v="3"/>
    <x v="1"/>
    <n v="2"/>
    <n v="0.1"/>
    <x v="0"/>
    <n v="3"/>
    <n v="5"/>
    <x v="12"/>
    <x v="3"/>
    <n v="23"/>
    <n v="10"/>
    <x v="1"/>
    <n v="41.4"/>
    <n v="20"/>
    <n v="21.4"/>
    <n v="0.51690821256038644"/>
  </r>
  <r>
    <x v="1181"/>
    <d v="2026-06-13T00:00:00"/>
    <s v="CUST-0063"/>
    <s v="PROD-006"/>
    <x v="1"/>
    <x v="1"/>
    <n v="2"/>
    <n v="0.05"/>
    <x v="0"/>
    <n v="4"/>
    <n v="2"/>
    <x v="7"/>
    <x v="0"/>
    <n v="98"/>
    <n v="46"/>
    <x v="0"/>
    <n v="186.2"/>
    <n v="92"/>
    <n v="94.199999999999989"/>
    <n v="0.50590762620837804"/>
  </r>
  <r>
    <x v="1182"/>
    <d v="2025-08-04T00:00:00"/>
    <s v="CUST-0047"/>
    <s v="PROD-012"/>
    <x v="4"/>
    <x v="0"/>
    <n v="7"/>
    <n v="0"/>
    <x v="0"/>
    <n v="4"/>
    <n v="1"/>
    <x v="11"/>
    <x v="2"/>
    <n v="68"/>
    <n v="31"/>
    <x v="1"/>
    <n v="476"/>
    <n v="217"/>
    <n v="259"/>
    <n v="0.54411764705882348"/>
  </r>
  <r>
    <x v="1183"/>
    <d v="2025-12-30T00:00:00"/>
    <s v="CUST-0185"/>
    <s v="PROD-010"/>
    <x v="0"/>
    <x v="1"/>
    <n v="5"/>
    <n v="0"/>
    <x v="1"/>
    <n v="2"/>
    <n v="8"/>
    <x v="13"/>
    <x v="2"/>
    <n v="48"/>
    <n v="22"/>
    <x v="1"/>
    <n v="240"/>
    <n v="110"/>
    <n v="130"/>
    <n v="0.54166666666666663"/>
  </r>
  <r>
    <x v="1184"/>
    <d v="2025-01-17T00:00:00"/>
    <s v="CUST-0141"/>
    <s v="PROD-011"/>
    <x v="2"/>
    <x v="2"/>
    <n v="1"/>
    <n v="0"/>
    <x v="0"/>
    <n v="3"/>
    <n v="4"/>
    <x v="8"/>
    <x v="2"/>
    <n v="85"/>
    <n v="39"/>
    <x v="1"/>
    <n v="85"/>
    <n v="39"/>
    <n v="46"/>
    <n v="0.54117647058823526"/>
  </r>
  <r>
    <x v="1185"/>
    <d v="2025-02-09T00:00:00"/>
    <s v="CUST-0032"/>
    <s v="PROD-007"/>
    <x v="0"/>
    <x v="0"/>
    <n v="2"/>
    <n v="0"/>
    <x v="0"/>
    <n v="3"/>
    <n v="5"/>
    <x v="6"/>
    <x v="1"/>
    <n v="540"/>
    <n v="320"/>
    <x v="0"/>
    <n v="1080"/>
    <n v="640"/>
    <n v="440"/>
    <n v="0.40740740740740738"/>
  </r>
  <r>
    <x v="1186"/>
    <d v="2025-06-05T00:00:00"/>
    <s v="CUST-0093"/>
    <s v="PROD-012"/>
    <x v="0"/>
    <x v="1"/>
    <n v="1"/>
    <n v="0.05"/>
    <x v="0"/>
    <n v="5"/>
    <n v="3"/>
    <x v="11"/>
    <x v="2"/>
    <n v="68"/>
    <n v="31"/>
    <x v="0"/>
    <n v="64.599999999999994"/>
    <n v="31"/>
    <n v="33.599999999999994"/>
    <n v="0.52012383900928794"/>
  </r>
  <r>
    <x v="1187"/>
    <d v="2025-11-25T00:00:00"/>
    <s v="CUST-0015"/>
    <s v="PROD-001"/>
    <x v="3"/>
    <x v="2"/>
    <n v="1"/>
    <n v="0.15"/>
    <x v="1"/>
    <n v="2"/>
    <n v="6"/>
    <x v="2"/>
    <x v="0"/>
    <n v="1100"/>
    <n v="720"/>
    <x v="0"/>
    <n v="935"/>
    <n v="720"/>
    <n v="215"/>
    <n v="0.22994652406417113"/>
  </r>
  <r>
    <x v="1188"/>
    <d v="2025-06-11T00:00:00"/>
    <s v="CUST-0052"/>
    <s v="PROD-001"/>
    <x v="3"/>
    <x v="1"/>
    <n v="2"/>
    <n v="0"/>
    <x v="1"/>
    <n v="4"/>
    <n v="8"/>
    <x v="2"/>
    <x v="0"/>
    <n v="1100"/>
    <n v="720"/>
    <x v="1"/>
    <n v="2200"/>
    <n v="1440"/>
    <n v="760"/>
    <n v="0.34545454545454546"/>
  </r>
  <r>
    <x v="1189"/>
    <d v="2025-05-18T00:00:00"/>
    <s v="CUST-0001"/>
    <s v="PROD-010"/>
    <x v="4"/>
    <x v="2"/>
    <n v="1"/>
    <n v="0"/>
    <x v="0"/>
    <n v="5"/>
    <n v="1"/>
    <x v="13"/>
    <x v="2"/>
    <n v="48"/>
    <n v="22"/>
    <x v="0"/>
    <n v="48"/>
    <n v="22"/>
    <n v="26"/>
    <n v="0.54166666666666663"/>
  </r>
  <r>
    <x v="1190"/>
    <d v="2026-05-05T00:00:00"/>
    <s v="CUST-0253"/>
    <s v="PROD-007"/>
    <x v="2"/>
    <x v="0"/>
    <n v="4"/>
    <n v="0"/>
    <x v="0"/>
    <n v="5"/>
    <n v="4"/>
    <x v="6"/>
    <x v="1"/>
    <n v="540"/>
    <n v="320"/>
    <x v="1"/>
    <n v="2160"/>
    <n v="1280"/>
    <n v="880"/>
    <n v="0.40740740740740738"/>
  </r>
  <r>
    <x v="1191"/>
    <d v="2025-10-17T00:00:00"/>
    <s v="CUST-0054"/>
    <s v="PROD-008"/>
    <x v="3"/>
    <x v="1"/>
    <n v="3"/>
    <n v="0"/>
    <x v="1"/>
    <n v="5"/>
    <n v="8"/>
    <x v="1"/>
    <x v="1"/>
    <n v="255"/>
    <n v="145"/>
    <x v="2"/>
    <n v="765"/>
    <n v="435"/>
    <n v="330"/>
    <n v="0.43137254901960786"/>
  </r>
  <r>
    <x v="1192"/>
    <d v="2025-05-15T00:00:00"/>
    <s v="CUST-0168"/>
    <s v="PROD-014"/>
    <x v="3"/>
    <x v="1"/>
    <n v="4"/>
    <n v="0.15"/>
    <x v="0"/>
    <n v="5"/>
    <n v="1"/>
    <x v="5"/>
    <x v="3"/>
    <n v="17"/>
    <n v="8"/>
    <x v="0"/>
    <n v="57.8"/>
    <n v="32"/>
    <n v="25.799999999999997"/>
    <n v="0.44636678200692037"/>
  </r>
  <r>
    <x v="1193"/>
    <d v="2025-07-22T00:00:00"/>
    <s v="CUST-0094"/>
    <s v="PROD-001"/>
    <x v="2"/>
    <x v="1"/>
    <n v="4"/>
    <n v="0"/>
    <x v="0"/>
    <n v="4"/>
    <n v="4"/>
    <x v="2"/>
    <x v="0"/>
    <n v="1100"/>
    <n v="720"/>
    <x v="1"/>
    <n v="4400"/>
    <n v="2880"/>
    <n v="1520"/>
    <n v="0.34545454545454546"/>
  </r>
  <r>
    <x v="1194"/>
    <d v="2025-12-19T00:00:00"/>
    <s v="CUST-0097"/>
    <s v="PROD-013"/>
    <x v="4"/>
    <x v="1"/>
    <n v="3"/>
    <n v="0.05"/>
    <x v="0"/>
    <n v="4"/>
    <n v="5"/>
    <x v="4"/>
    <x v="2"/>
    <n v="32"/>
    <n v="13"/>
    <x v="2"/>
    <n v="91.199999999999989"/>
    <n v="39"/>
    <n v="52.199999999999989"/>
    <n v="0.57236842105263153"/>
  </r>
  <r>
    <x v="1195"/>
    <d v="2025-12-12T00:00:00"/>
    <s v="CUST-0173"/>
    <s v="PROD-006"/>
    <x v="3"/>
    <x v="0"/>
    <n v="2"/>
    <n v="0.05"/>
    <x v="0"/>
    <n v="5"/>
    <n v="3"/>
    <x v="7"/>
    <x v="0"/>
    <n v="98"/>
    <n v="46"/>
    <x v="1"/>
    <n v="186.2"/>
    <n v="92"/>
    <n v="94.199999999999989"/>
    <n v="0.50590762620837804"/>
  </r>
  <r>
    <x v="1196"/>
    <d v="2026-06-16T00:00:00"/>
    <s v="CUST-0135"/>
    <s v="PROD-003"/>
    <x v="0"/>
    <x v="1"/>
    <n v="1"/>
    <n v="0.05"/>
    <x v="0"/>
    <n v="5"/>
    <n v="1"/>
    <x v="10"/>
    <x v="0"/>
    <n v="75"/>
    <n v="38"/>
    <x v="1"/>
    <n v="71.25"/>
    <n v="38"/>
    <n v="33.25"/>
    <n v="0.46666666666666667"/>
  </r>
  <r>
    <x v="1197"/>
    <d v="2025-05-04T00:00:00"/>
    <s v="CUST-0282"/>
    <s v="PROD-010"/>
    <x v="2"/>
    <x v="1"/>
    <n v="2"/>
    <n v="0.05"/>
    <x v="1"/>
    <n v="5"/>
    <n v="7"/>
    <x v="13"/>
    <x v="2"/>
    <n v="48"/>
    <n v="22"/>
    <x v="1"/>
    <n v="91.199999999999989"/>
    <n v="44"/>
    <n v="47.199999999999989"/>
    <n v="0.51754385964912275"/>
  </r>
  <r>
    <x v="1198"/>
    <d v="2026-02-12T00:00:00"/>
    <s v="CUST-0262"/>
    <s v="PROD-007"/>
    <x v="2"/>
    <x v="0"/>
    <n v="4"/>
    <n v="0"/>
    <x v="0"/>
    <n v="4"/>
    <n v="2"/>
    <x v="6"/>
    <x v="1"/>
    <n v="540"/>
    <n v="320"/>
    <x v="2"/>
    <n v="2160"/>
    <n v="1280"/>
    <n v="880"/>
    <n v="0.40740740740740738"/>
  </r>
  <r>
    <x v="1199"/>
    <d v="2026-07-31T00:00:00"/>
    <s v="CUST-0272"/>
    <s v="PROD-002"/>
    <x v="0"/>
    <x v="1"/>
    <n v="1"/>
    <n v="0.2"/>
    <x v="0"/>
    <n v="4"/>
    <n v="1"/>
    <x v="0"/>
    <x v="0"/>
    <n v="310"/>
    <n v="190"/>
    <x v="1"/>
    <n v="248"/>
    <n v="190"/>
    <n v="58"/>
    <n v="0.233870967741935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0D7091-3946-4071-910B-344F873AF71F}" name="PivotTable3" cacheId="17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showHeaders="0" outline="1" outlineData="1" multipleFieldFilters="0" chartFormat="4">
  <location ref="A3:B27" firstHeaderRow="1" firstDataRow="1" firstDataCol="1"/>
  <pivotFields count="23">
    <pivotField showAll="0"/>
    <pivotField showAll="0">
      <items count="539">
        <item x="291"/>
        <item x="468"/>
        <item x="403"/>
        <item x="404"/>
        <item x="492"/>
        <item x="436"/>
        <item x="57"/>
        <item x="166"/>
        <item x="469"/>
        <item x="522"/>
        <item x="434"/>
        <item x="265"/>
        <item x="480"/>
        <item x="348"/>
        <item x="534"/>
        <item x="256"/>
        <item x="102"/>
        <item x="18"/>
        <item x="68"/>
        <item x="467"/>
        <item x="4"/>
        <item x="25"/>
        <item x="179"/>
        <item x="474"/>
        <item x="252"/>
        <item x="23"/>
        <item x="319"/>
        <item x="66"/>
        <item x="398"/>
        <item x="323"/>
        <item x="524"/>
        <item x="50"/>
        <item x="87"/>
        <item x="503"/>
        <item x="41"/>
        <item x="282"/>
        <item x="385"/>
        <item x="329"/>
        <item x="123"/>
        <item x="261"/>
        <item x="486"/>
        <item x="233"/>
        <item x="21"/>
        <item x="499"/>
        <item x="98"/>
        <item x="100"/>
        <item x="335"/>
        <item x="394"/>
        <item x="473"/>
        <item x="160"/>
        <item x="195"/>
        <item x="76"/>
        <item x="67"/>
        <item x="500"/>
        <item x="198"/>
        <item x="369"/>
        <item x="117"/>
        <item x="91"/>
        <item x="498"/>
        <item x="202"/>
        <item x="355"/>
        <item x="275"/>
        <item x="423"/>
        <item x="508"/>
        <item x="465"/>
        <item x="393"/>
        <item x="171"/>
        <item x="506"/>
        <item x="121"/>
        <item x="523"/>
        <item x="72"/>
        <item x="92"/>
        <item x="388"/>
        <item x="520"/>
        <item x="400"/>
        <item x="327"/>
        <item x="373"/>
        <item x="376"/>
        <item x="84"/>
        <item x="62"/>
        <item x="295"/>
        <item x="271"/>
        <item x="170"/>
        <item x="324"/>
        <item x="386"/>
        <item x="364"/>
        <item x="53"/>
        <item x="38"/>
        <item x="294"/>
        <item x="248"/>
        <item x="382"/>
        <item x="35"/>
        <item x="413"/>
        <item x="27"/>
        <item x="352"/>
        <item x="63"/>
        <item x="181"/>
        <item x="472"/>
        <item x="411"/>
        <item x="344"/>
        <item x="194"/>
        <item x="272"/>
        <item x="61"/>
        <item x="264"/>
        <item x="525"/>
        <item x="454"/>
        <item x="460"/>
        <item x="208"/>
        <item x="528"/>
        <item x="103"/>
        <item x="448"/>
        <item x="110"/>
        <item x="120"/>
        <item x="429"/>
        <item x="415"/>
        <item x="119"/>
        <item x="199"/>
        <item x="333"/>
        <item x="150"/>
        <item x="107"/>
        <item x="455"/>
        <item x="108"/>
        <item x="48"/>
        <item x="101"/>
        <item x="190"/>
        <item x="180"/>
        <item x="145"/>
        <item x="213"/>
        <item x="289"/>
        <item x="493"/>
        <item x="337"/>
        <item x="54"/>
        <item x="228"/>
        <item x="215"/>
        <item x="0"/>
        <item x="531"/>
        <item x="86"/>
        <item x="536"/>
        <item x="17"/>
        <item x="318"/>
        <item x="51"/>
        <item x="521"/>
        <item x="431"/>
        <item x="296"/>
        <item x="200"/>
        <item x="217"/>
        <item x="224"/>
        <item x="375"/>
        <item x="223"/>
        <item x="149"/>
        <item x="286"/>
        <item x="222"/>
        <item x="381"/>
        <item x="85"/>
        <item x="176"/>
        <item x="482"/>
        <item x="349"/>
        <item x="354"/>
        <item x="219"/>
        <item x="470"/>
        <item x="2"/>
        <item x="301"/>
        <item x="168"/>
        <item x="304"/>
        <item x="366"/>
        <item x="33"/>
        <item x="406"/>
        <item x="462"/>
        <item x="239"/>
        <item x="402"/>
        <item x="317"/>
        <item x="433"/>
        <item x="313"/>
        <item x="316"/>
        <item x="342"/>
        <item x="241"/>
        <item x="305"/>
        <item x="7"/>
        <item x="40"/>
        <item x="56"/>
        <item x="302"/>
        <item x="495"/>
        <item x="229"/>
        <item x="332"/>
        <item x="328"/>
        <item x="435"/>
        <item x="392"/>
        <item x="509"/>
        <item x="338"/>
        <item x="475"/>
        <item x="409"/>
        <item x="496"/>
        <item x="278"/>
        <item x="488"/>
        <item x="412"/>
        <item x="526"/>
        <item x="484"/>
        <item x="263"/>
        <item x="151"/>
        <item x="58"/>
        <item x="438"/>
        <item x="326"/>
        <item x="118"/>
        <item x="37"/>
        <item x="234"/>
        <item x="401"/>
        <item x="371"/>
        <item x="497"/>
        <item x="69"/>
        <item x="201"/>
        <item x="247"/>
        <item x="314"/>
        <item x="281"/>
        <item x="446"/>
        <item x="322"/>
        <item x="133"/>
        <item x="458"/>
        <item x="421"/>
        <item x="464"/>
        <item x="204"/>
        <item x="408"/>
        <item x="236"/>
        <item x="266"/>
        <item x="396"/>
        <item x="22"/>
        <item x="485"/>
        <item x="260"/>
        <item x="81"/>
        <item x="24"/>
        <item x="298"/>
        <item x="351"/>
        <item x="340"/>
        <item x="240"/>
        <item x="163"/>
        <item x="246"/>
        <item x="504"/>
        <item x="214"/>
        <item x="3"/>
        <item x="471"/>
        <item x="42"/>
        <item x="245"/>
        <item x="139"/>
        <item x="79"/>
        <item x="519"/>
        <item x="422"/>
        <item x="16"/>
        <item x="30"/>
        <item x="280"/>
        <item x="361"/>
        <item x="136"/>
        <item x="129"/>
        <item x="127"/>
        <item x="238"/>
        <item x="365"/>
        <item x="391"/>
        <item x="116"/>
        <item x="152"/>
        <item x="45"/>
        <item x="191"/>
        <item x="142"/>
        <item x="138"/>
        <item x="175"/>
        <item x="193"/>
        <item x="447"/>
        <item x="73"/>
        <item x="276"/>
        <item x="34"/>
        <item x="478"/>
        <item x="453"/>
        <item x="425"/>
        <item x="184"/>
        <item x="397"/>
        <item x="124"/>
        <item x="310"/>
        <item x="356"/>
        <item x="330"/>
        <item x="457"/>
        <item x="384"/>
        <item x="341"/>
        <item x="59"/>
        <item x="93"/>
        <item x="147"/>
        <item x="183"/>
        <item x="268"/>
        <item x="6"/>
        <item x="343"/>
        <item x="293"/>
        <item x="173"/>
        <item x="357"/>
        <item x="158"/>
        <item x="477"/>
        <item x="347"/>
        <item x="243"/>
        <item x="511"/>
        <item x="417"/>
        <item x="370"/>
        <item x="178"/>
        <item x="172"/>
        <item x="112"/>
        <item x="250"/>
        <item x="165"/>
        <item x="518"/>
        <item x="5"/>
        <item x="439"/>
        <item x="346"/>
        <item x="11"/>
        <item x="144"/>
        <item x="427"/>
        <item x="416"/>
        <item x="345"/>
        <item x="331"/>
        <item x="242"/>
        <item x="372"/>
        <item x="32"/>
        <item x="363"/>
        <item x="253"/>
        <item x="221"/>
        <item x="292"/>
        <item x="527"/>
        <item x="490"/>
        <item x="82"/>
        <item x="535"/>
        <item x="350"/>
        <item x="1"/>
        <item x="334"/>
        <item x="249"/>
        <item x="177"/>
        <item x="380"/>
        <item x="426"/>
        <item x="529"/>
        <item x="128"/>
        <item x="459"/>
        <item x="77"/>
        <item x="197"/>
        <item x="78"/>
        <item x="115"/>
        <item x="209"/>
        <item x="169"/>
        <item x="75"/>
        <item x="379"/>
        <item x="95"/>
        <item x="449"/>
        <item x="290"/>
        <item x="52"/>
        <item x="441"/>
        <item x="489"/>
        <item x="244"/>
        <item x="353"/>
        <item x="442"/>
        <item x="106"/>
        <item x="188"/>
        <item x="461"/>
        <item x="533"/>
        <item x="182"/>
        <item x="154"/>
        <item x="452"/>
        <item x="308"/>
        <item x="186"/>
        <item x="395"/>
        <item x="443"/>
        <item x="405"/>
        <item x="456"/>
        <item x="43"/>
        <item x="378"/>
        <item x="255"/>
        <item x="532"/>
        <item x="83"/>
        <item x="530"/>
        <item x="514"/>
        <item x="46"/>
        <item x="64"/>
        <item x="399"/>
        <item x="437"/>
        <item x="300"/>
        <item x="164"/>
        <item x="287"/>
        <item x="148"/>
        <item x="325"/>
        <item x="358"/>
        <item x="125"/>
        <item x="156"/>
        <item x="491"/>
        <item x="307"/>
        <item x="451"/>
        <item x="94"/>
        <item x="155"/>
        <item x="13"/>
        <item x="463"/>
        <item x="339"/>
        <item x="428"/>
        <item x="74"/>
        <item x="507"/>
        <item x="262"/>
        <item x="225"/>
        <item x="113"/>
        <item x="220"/>
        <item x="114"/>
        <item x="157"/>
        <item x="226"/>
        <item x="97"/>
        <item x="10"/>
        <item x="203"/>
        <item x="96"/>
        <item x="510"/>
        <item x="15"/>
        <item x="362"/>
        <item x="153"/>
        <item x="99"/>
        <item x="89"/>
        <item x="216"/>
        <item x="65"/>
        <item x="297"/>
        <item x="12"/>
        <item x="251"/>
        <item x="377"/>
        <item x="299"/>
        <item x="515"/>
        <item x="29"/>
        <item x="237"/>
        <item x="20"/>
        <item x="320"/>
        <item x="283"/>
        <item x="39"/>
        <item x="134"/>
        <item x="516"/>
        <item x="132"/>
        <item x="315"/>
        <item x="140"/>
        <item x="311"/>
        <item x="367"/>
        <item x="162"/>
        <item x="137"/>
        <item x="360"/>
        <item x="512"/>
        <item x="483"/>
        <item x="494"/>
        <item x="232"/>
        <item x="273"/>
        <item x="306"/>
        <item x="368"/>
        <item x="196"/>
        <item x="31"/>
        <item x="36"/>
        <item x="390"/>
        <item x="143"/>
        <item x="450"/>
        <item x="254"/>
        <item x="55"/>
        <item x="126"/>
        <item x="206"/>
        <item x="130"/>
        <item x="359"/>
        <item x="212"/>
        <item x="440"/>
        <item x="418"/>
        <item x="235"/>
        <item x="8"/>
        <item x="257"/>
        <item x="47"/>
        <item x="336"/>
        <item x="432"/>
        <item x="424"/>
        <item x="270"/>
        <item x="104"/>
        <item x="285"/>
        <item x="312"/>
        <item x="205"/>
        <item x="111"/>
        <item x="230"/>
        <item x="71"/>
        <item x="487"/>
        <item x="90"/>
        <item x="105"/>
        <item x="445"/>
        <item x="70"/>
        <item x="407"/>
        <item x="410"/>
        <item x="321"/>
        <item x="14"/>
        <item x="167"/>
        <item x="135"/>
        <item x="274"/>
        <item x="141"/>
        <item x="207"/>
        <item x="517"/>
        <item x="28"/>
        <item x="60"/>
        <item x="505"/>
        <item x="502"/>
        <item x="44"/>
        <item x="109"/>
        <item x="481"/>
        <item x="19"/>
        <item x="259"/>
        <item x="309"/>
        <item x="279"/>
        <item x="466"/>
        <item x="383"/>
        <item x="185"/>
        <item x="277"/>
        <item x="420"/>
        <item x="174"/>
        <item x="374"/>
        <item x="161"/>
        <item x="258"/>
        <item x="267"/>
        <item x="192"/>
        <item x="131"/>
        <item x="288"/>
        <item x="26"/>
        <item x="513"/>
        <item x="501"/>
        <item x="9"/>
        <item x="476"/>
        <item x="479"/>
        <item x="49"/>
        <item x="146"/>
        <item x="211"/>
        <item x="303"/>
        <item x="218"/>
        <item x="210"/>
        <item x="187"/>
        <item x="284"/>
        <item x="387"/>
        <item x="88"/>
        <item x="389"/>
        <item x="231"/>
        <item x="430"/>
        <item x="414"/>
        <item x="419"/>
        <item x="444"/>
        <item x="269"/>
        <item x="227"/>
        <item x="189"/>
        <item x="159"/>
        <item x="122"/>
        <item x="80"/>
        <item x="53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</pivotFields>
  <rowFields count="2">
    <field x="22"/>
    <field x="20"/>
  </rowFields>
  <rowItems count="24">
    <i>
      <x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grand">
      <x/>
    </i>
  </rowItems>
  <colItems count="1">
    <i/>
  </colItems>
  <dataFields count="1">
    <dataField name="Sum of Sales" fld="1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21AB8A-BF91-441C-9FB0-1177E70018BF}" name="PivotTable5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20">
    <pivotField showAll="0"/>
    <pivotField numFmtId="165" showAll="0"/>
    <pivotField showAll="0"/>
    <pivotField showAll="0"/>
    <pivotField axis="axisRow" showAll="0" sortType="descending">
      <items count="6">
        <item x="2"/>
        <item x="3"/>
        <item x="4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9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0" showAll="0"/>
  </pivotFields>
  <rowFields count="1">
    <field x="4"/>
  </rowFields>
  <rowItems count="6">
    <i>
      <x/>
    </i>
    <i>
      <x v="1"/>
    </i>
    <i>
      <x v="4"/>
    </i>
    <i>
      <x v="2"/>
    </i>
    <i>
      <x v="3"/>
    </i>
    <i t="grand">
      <x/>
    </i>
  </rowItems>
  <colItems count="1">
    <i/>
  </colItems>
  <dataFields count="1">
    <dataField name="Sum of Sales" fld="1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FB4345-32DA-4CF3-89CB-0F649791EBDF}" name="PivotTable6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20">
    <pivotField showAll="0"/>
    <pivotField numFmtId="165" showAll="0"/>
    <pivotField showAll="0"/>
    <pivotField showAll="0"/>
    <pivotField showAll="0"/>
    <pivotField showAll="0"/>
    <pivotField showAll="0"/>
    <pivotField numFmtId="9" showAll="0"/>
    <pivotField showAll="0"/>
    <pivotField showAll="0"/>
    <pivotField showAll="0"/>
    <pivotField showAll="0"/>
    <pivotField axis="axisRow" showAll="0" sortType="descending">
      <items count="5">
        <item x="2"/>
        <item x="1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numFmtId="10" showAll="0"/>
  </pivotFields>
  <rowFields count="1">
    <field x="12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Sales" fld="1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CB51F1-33EF-432A-96A8-F91FC80D97EB}" name="PivotTable7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20">
    <pivotField showAll="0"/>
    <pivotField numFmtId="165" showAll="0"/>
    <pivotField showAll="0"/>
    <pivotField showAll="0"/>
    <pivotField showAll="0"/>
    <pivotField showAll="0"/>
    <pivotField showAll="0"/>
    <pivotField numFmtId="9" showAll="0"/>
    <pivotField showAll="0"/>
    <pivotField showAll="0"/>
    <pivotField showAll="0"/>
    <pivotField axis="axisRow" showAll="0" measureFilter="1" sortType="descending">
      <items count="17">
        <item x="8"/>
        <item x="14"/>
        <item x="9"/>
        <item x="12"/>
        <item x="7"/>
        <item x="10"/>
        <item x="2"/>
        <item x="13"/>
        <item x="0"/>
        <item x="3"/>
        <item x="1"/>
        <item x="4"/>
        <item x="5"/>
        <item x="6"/>
        <item x="11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numFmtId="10" showAll="0"/>
  </pivotFields>
  <rowFields count="1">
    <field x="11"/>
  </rowFields>
  <rowItems count="6">
    <i>
      <x v="6"/>
    </i>
    <i>
      <x v="13"/>
    </i>
    <i>
      <x v="8"/>
    </i>
    <i>
      <x v="10"/>
    </i>
    <i>
      <x v="1"/>
    </i>
    <i t="grand">
      <x/>
    </i>
  </rowItems>
  <colItems count="1">
    <i/>
  </colItems>
  <dataFields count="1">
    <dataField name="Sum of Sales" fld="1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2FCF75-CCB0-458A-82A6-1156284E64DC}" name="PivotTable8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20">
    <pivotField showAll="0"/>
    <pivotField numFmtId="165" showAll="0"/>
    <pivotField showAll="0"/>
    <pivotField showAll="0"/>
    <pivotField showAll="0"/>
    <pivotField showAll="0"/>
    <pivotField showAll="0"/>
    <pivotField numFmtId="9"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numFmtId="10" showAl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2D105D-EE13-48D3-B159-D4A9DD06BBD6}" name="PivotTable9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20">
    <pivotField showAll="0"/>
    <pivotField numFmtId="165" showAll="0"/>
    <pivotField showAll="0"/>
    <pivotField showAll="0"/>
    <pivotField showAll="0"/>
    <pivotField axis="axisRow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9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0" showAll="0"/>
  </pivotFields>
  <rowFields count="1">
    <field x="5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Sum of Sales" fld="1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97C7D3-A9EC-40DB-8068-C5D5C335B432}" name="PivotTable10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0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65" showAll="0"/>
    <pivotField showAll="0"/>
    <pivotField showAll="0"/>
    <pivotField showAll="0"/>
    <pivotField showAll="0"/>
    <pivotField showAll="0"/>
    <pivotField numFmtId="9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0"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2E1B77-7C1F-45E4-B42F-9E5A965BF93D}" name="PivotTable11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0">
    <pivotField showAll="0"/>
    <pivotField numFmtId="165"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numFmtId="9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0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ustomer Rating" fld="9" subtotal="average" baseField="5" baseItem="0" numFmtId="2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sTable" displayName="ProductsTable" ref="A1:E17" totalsRowShown="0">
  <tableColumns count="5">
    <tableColumn id="1" xr3:uid="{00000000-0010-0000-0000-000001000000}" name="Product ID"/>
    <tableColumn id="2" xr3:uid="{00000000-0010-0000-0000-000002000000}" name="Product Name"/>
    <tableColumn id="3" xr3:uid="{00000000-0010-0000-0000-000003000000}" name="Category"/>
    <tableColumn id="4" xr3:uid="{00000000-0010-0000-0000-000004000000}" name="Unit Price"/>
    <tableColumn id="5" xr3:uid="{00000000-0010-0000-0000-000005000000}" name="Unit Cos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ustomersTable" displayName="CustomersTable" ref="A1:C301" totalsRowShown="0">
  <tableColumns count="3">
    <tableColumn id="1" xr3:uid="{00000000-0010-0000-0100-000001000000}" name="Customer ID"/>
    <tableColumn id="2" xr3:uid="{00000000-0010-0000-0100-000002000000}" name="Customer Name"/>
    <tableColumn id="3" xr3:uid="{00000000-0010-0000-0100-000003000000}" name="Customer Segm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alesRawTable" displayName="SalesRawTable" ref="A1:T1201" totalsRowShown="0">
  <tableColumns count="20">
    <tableColumn id="1" xr3:uid="{00000000-0010-0000-0200-000001000000}" name="Order ID"/>
    <tableColumn id="2" xr3:uid="{00000000-0010-0000-0200-000002000000}" name="Order Date"/>
    <tableColumn id="3" xr3:uid="{00000000-0010-0000-0200-000003000000}" name="Customer ID"/>
    <tableColumn id="4" xr3:uid="{00000000-0010-0000-0200-000004000000}" name="Product ID"/>
    <tableColumn id="5" xr3:uid="{00000000-0010-0000-0200-000005000000}" name="Region"/>
    <tableColumn id="6" xr3:uid="{00000000-0010-0000-0200-000006000000}" name="Sales Channel"/>
    <tableColumn id="7" xr3:uid="{00000000-0010-0000-0200-000007000000}" name="Quantity"/>
    <tableColumn id="8" xr3:uid="{00000000-0010-0000-0200-000008000000}" name="Discount"/>
    <tableColumn id="9" xr3:uid="{00000000-0010-0000-0200-000009000000}" name="Returned"/>
    <tableColumn id="10" xr3:uid="{00000000-0010-0000-0200-00000A000000}" name="Customer Rating"/>
    <tableColumn id="11" xr3:uid="{00000000-0010-0000-0200-00000B000000}" name="Processing Days"/>
    <tableColumn id="12" xr3:uid="{09339FB4-4DD4-45A2-A764-DAE4D35E5FC2}" name="Product Name" dataDxfId="9">
      <calculatedColumnFormula>VLOOKUP(D2,Products!A:E,2,FALSE)</calculatedColumnFormula>
    </tableColumn>
    <tableColumn id="13" xr3:uid="{FF64C1B1-0C4F-45EF-A283-0D2FDD8BD382}" name="Category" dataDxfId="8">
      <calculatedColumnFormula>VLOOKUP(D2,Products!A:E,3,FALSE)</calculatedColumnFormula>
    </tableColumn>
    <tableColumn id="14" xr3:uid="{94BA0447-D702-4167-96B6-2FBEA77A4EFF}" name="Unit Price" dataDxfId="7">
      <calculatedColumnFormula>VLOOKUP(D2,Products!A:E,4,FALSE)</calculatedColumnFormula>
    </tableColumn>
    <tableColumn id="15" xr3:uid="{15F366C8-E655-4DEE-B8BF-FBEB110371AA}" name="Unit Cost" dataDxfId="6">
      <calculatedColumnFormula>VLOOKUP(D2,Products!A:E,5,FALSE)</calculatedColumnFormula>
    </tableColumn>
    <tableColumn id="16" xr3:uid="{62BAC3E5-5F34-4B82-9B83-731334BD46CD}" name="Customer Segment" dataDxfId="5">
      <calculatedColumnFormula>VLOOKUP(C2,Customers!A:C,3,FALSE)</calculatedColumnFormula>
    </tableColumn>
    <tableColumn id="18" xr3:uid="{E1A8DD5A-BF66-47ED-B924-5220471EF337}" name="Sales" dataDxfId="4">
      <calculatedColumnFormula>G2*N2*(1-H2)</calculatedColumnFormula>
    </tableColumn>
    <tableColumn id="19" xr3:uid="{0131594D-A17F-4B34-99D1-517D1262DC61}" name="Cost" dataDxfId="3">
      <calculatedColumnFormula>G2*O2</calculatedColumnFormula>
    </tableColumn>
    <tableColumn id="20" xr3:uid="{EC2628DB-F7F5-4BC4-A5CF-280846661E7A}" name="Profit" dataDxfId="2">
      <calculatedColumnFormula>Q2-R2</calculatedColumnFormula>
    </tableColumn>
    <tableColumn id="21" xr3:uid="{5A7C9968-B6CD-4832-B945-D1CA7435454C}" name="Profit Margin" dataDxfId="1">
      <calculatedColumnFormula>IFERROR(S2/Q2,0)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zoomScale="73" workbookViewId="0">
      <selection activeCell="F6" sqref="F6"/>
    </sheetView>
  </sheetViews>
  <sheetFormatPr defaultRowHeight="13.8"/>
  <cols>
    <col min="1" max="1" width="24" customWidth="1"/>
    <col min="2" max="2" width="74.59765625" customWidth="1"/>
  </cols>
  <sheetData>
    <row r="1" spans="1:6" ht="17.55" customHeight="1">
      <c r="A1" s="10" t="s">
        <v>0</v>
      </c>
      <c r="B1" s="11"/>
      <c r="C1" s="11"/>
      <c r="D1" s="11"/>
      <c r="E1" s="11"/>
      <c r="F1" s="11"/>
    </row>
    <row r="2" spans="1:6" ht="17.55" customHeight="1"/>
    <row r="3" spans="1:6" ht="17.55" customHeight="1">
      <c r="A3" s="1" t="s">
        <v>1</v>
      </c>
      <c r="B3" s="2" t="s">
        <v>2</v>
      </c>
    </row>
    <row r="4" spans="1:6" ht="17.55" customHeight="1">
      <c r="A4" s="1" t="s">
        <v>3</v>
      </c>
      <c r="B4" s="2" t="s">
        <v>4</v>
      </c>
    </row>
    <row r="5" spans="1:6" ht="17.55" customHeight="1">
      <c r="A5" s="1" t="s">
        <v>5</v>
      </c>
      <c r="B5" s="2" t="s">
        <v>6</v>
      </c>
    </row>
    <row r="6" spans="1:6" ht="17.55" customHeight="1">
      <c r="A6" s="1" t="s">
        <v>7</v>
      </c>
      <c r="B6" s="2" t="s">
        <v>8</v>
      </c>
    </row>
    <row r="7" spans="1:6" ht="17.55" customHeight="1">
      <c r="A7" s="1" t="s">
        <v>9</v>
      </c>
      <c r="B7" s="2" t="s">
        <v>10</v>
      </c>
    </row>
    <row r="8" spans="1:6" ht="17.55" customHeight="1">
      <c r="A8" s="1" t="s">
        <v>11</v>
      </c>
      <c r="B8" s="2" t="s">
        <v>12</v>
      </c>
    </row>
    <row r="9" spans="1:6" ht="17.55" customHeight="1">
      <c r="A9" s="1" t="s">
        <v>13</v>
      </c>
      <c r="B9" s="2" t="s">
        <v>14</v>
      </c>
    </row>
    <row r="10" spans="1:6" ht="17.55" customHeight="1">
      <c r="A10" s="1" t="s">
        <v>15</v>
      </c>
      <c r="B10" s="2" t="s">
        <v>16</v>
      </c>
    </row>
    <row r="11" spans="1:6" ht="17.55" customHeight="1">
      <c r="A11" s="1" t="s">
        <v>17</v>
      </c>
      <c r="B11" s="2" t="s">
        <v>18</v>
      </c>
    </row>
    <row r="12" spans="1:6" ht="17.55" customHeight="1"/>
    <row r="13" spans="1:6" ht="27.6">
      <c r="A13" s="4" t="s">
        <v>19</v>
      </c>
      <c r="B13" s="4"/>
    </row>
    <row r="14" spans="1:6">
      <c r="A14" s="5" t="s">
        <v>20</v>
      </c>
      <c r="B14" s="2" t="s">
        <v>21</v>
      </c>
    </row>
    <row r="15" spans="1:6">
      <c r="A15" s="5" t="s">
        <v>22</v>
      </c>
      <c r="B15" s="2" t="s">
        <v>23</v>
      </c>
    </row>
    <row r="16" spans="1:6">
      <c r="A16" s="5" t="s">
        <v>24</v>
      </c>
      <c r="B16" s="2" t="s">
        <v>25</v>
      </c>
    </row>
    <row r="17" spans="1:2">
      <c r="A17" s="5" t="s">
        <v>26</v>
      </c>
      <c r="B17" s="2" t="s">
        <v>27</v>
      </c>
    </row>
    <row r="18" spans="1:2">
      <c r="A18" s="5" t="s">
        <v>28</v>
      </c>
      <c r="B18" s="2" t="s">
        <v>29</v>
      </c>
    </row>
    <row r="19" spans="1:2">
      <c r="A19" s="5" t="s">
        <v>30</v>
      </c>
      <c r="B19" s="2" t="s">
        <v>31</v>
      </c>
    </row>
    <row r="20" spans="1:2">
      <c r="A20" s="5" t="s">
        <v>32</v>
      </c>
      <c r="B20" s="2" t="s">
        <v>33</v>
      </c>
    </row>
    <row r="21" spans="1:2">
      <c r="A21" s="5" t="s">
        <v>34</v>
      </c>
      <c r="B21" s="2" t="s">
        <v>35</v>
      </c>
    </row>
    <row r="22" spans="1:2">
      <c r="A22" s="5" t="s">
        <v>36</v>
      </c>
      <c r="B22" s="2" t="s">
        <v>37</v>
      </c>
    </row>
    <row r="23" spans="1:2">
      <c r="A23" s="5" t="s">
        <v>38</v>
      </c>
      <c r="B23" s="2" t="s">
        <v>39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workbookViewId="0"/>
  </sheetViews>
  <sheetFormatPr defaultRowHeight="13.8"/>
  <cols>
    <col min="1" max="1" width="16" customWidth="1"/>
    <col min="2" max="2" width="22" customWidth="1"/>
    <col min="3" max="3" width="20" customWidth="1"/>
    <col min="4" max="5" width="14" customWidth="1"/>
  </cols>
  <sheetData>
    <row r="1" spans="1:5">
      <c r="A1" s="3" t="s">
        <v>40</v>
      </c>
      <c r="B1" s="3" t="s">
        <v>41</v>
      </c>
      <c r="C1" s="3" t="s">
        <v>42</v>
      </c>
      <c r="D1" s="3" t="s">
        <v>43</v>
      </c>
      <c r="E1" s="3" t="s">
        <v>44</v>
      </c>
    </row>
    <row r="2" spans="1:5">
      <c r="A2" t="s">
        <v>45</v>
      </c>
      <c r="B2" t="s">
        <v>46</v>
      </c>
      <c r="C2" t="s">
        <v>47</v>
      </c>
      <c r="D2" s="6">
        <v>1100</v>
      </c>
      <c r="E2" s="6">
        <v>720</v>
      </c>
    </row>
    <row r="3" spans="1:5">
      <c r="A3" t="s">
        <v>48</v>
      </c>
      <c r="B3" t="s">
        <v>49</v>
      </c>
      <c r="C3" t="s">
        <v>47</v>
      </c>
      <c r="D3" s="6">
        <v>310</v>
      </c>
      <c r="E3" s="6">
        <v>190</v>
      </c>
    </row>
    <row r="4" spans="1:5">
      <c r="A4" t="s">
        <v>50</v>
      </c>
      <c r="B4" t="s">
        <v>51</v>
      </c>
      <c r="C4" t="s">
        <v>47</v>
      </c>
      <c r="D4" s="6">
        <v>75</v>
      </c>
      <c r="E4" s="6">
        <v>38</v>
      </c>
    </row>
    <row r="5" spans="1:5">
      <c r="A5" t="s">
        <v>52</v>
      </c>
      <c r="B5" t="s">
        <v>53</v>
      </c>
      <c r="C5" t="s">
        <v>47</v>
      </c>
      <c r="D5" s="6">
        <v>42</v>
      </c>
      <c r="E5" s="6">
        <v>19</v>
      </c>
    </row>
    <row r="6" spans="1:5">
      <c r="A6" t="s">
        <v>54</v>
      </c>
      <c r="B6" t="s">
        <v>55</v>
      </c>
      <c r="C6" t="s">
        <v>47</v>
      </c>
      <c r="D6" s="6">
        <v>115</v>
      </c>
      <c r="E6" s="6">
        <v>58</v>
      </c>
    </row>
    <row r="7" spans="1:5">
      <c r="A7" t="s">
        <v>56</v>
      </c>
      <c r="B7" t="s">
        <v>57</v>
      </c>
      <c r="C7" t="s">
        <v>47</v>
      </c>
      <c r="D7" s="6">
        <v>98</v>
      </c>
      <c r="E7" s="6">
        <v>46</v>
      </c>
    </row>
    <row r="8" spans="1:5">
      <c r="A8" t="s">
        <v>58</v>
      </c>
      <c r="B8" t="s">
        <v>59</v>
      </c>
      <c r="C8" t="s">
        <v>60</v>
      </c>
      <c r="D8" s="6">
        <v>540</v>
      </c>
      <c r="E8" s="6">
        <v>320</v>
      </c>
    </row>
    <row r="9" spans="1:5">
      <c r="A9" t="s">
        <v>61</v>
      </c>
      <c r="B9" t="s">
        <v>62</v>
      </c>
      <c r="C9" t="s">
        <v>60</v>
      </c>
      <c r="D9" s="6">
        <v>255</v>
      </c>
      <c r="E9" s="6">
        <v>145</v>
      </c>
    </row>
    <row r="10" spans="1:5">
      <c r="A10" t="s">
        <v>63</v>
      </c>
      <c r="B10" t="s">
        <v>64</v>
      </c>
      <c r="C10" t="s">
        <v>60</v>
      </c>
      <c r="D10" s="6">
        <v>185</v>
      </c>
      <c r="E10" s="6">
        <v>105</v>
      </c>
    </row>
    <row r="11" spans="1:5">
      <c r="A11" t="s">
        <v>65</v>
      </c>
      <c r="B11" t="s">
        <v>66</v>
      </c>
      <c r="C11" t="s">
        <v>67</v>
      </c>
      <c r="D11" s="6">
        <v>48</v>
      </c>
      <c r="E11" s="6">
        <v>22</v>
      </c>
    </row>
    <row r="12" spans="1:5">
      <c r="A12" t="s">
        <v>68</v>
      </c>
      <c r="B12" t="s">
        <v>69</v>
      </c>
      <c r="C12" t="s">
        <v>67</v>
      </c>
      <c r="D12" s="6">
        <v>85</v>
      </c>
      <c r="E12" s="6">
        <v>39</v>
      </c>
    </row>
    <row r="13" spans="1:5">
      <c r="A13" t="s">
        <v>70</v>
      </c>
      <c r="B13" t="s">
        <v>71</v>
      </c>
      <c r="C13" t="s">
        <v>67</v>
      </c>
      <c r="D13" s="6">
        <v>68</v>
      </c>
      <c r="E13" s="6">
        <v>31</v>
      </c>
    </row>
    <row r="14" spans="1:5">
      <c r="A14" t="s">
        <v>72</v>
      </c>
      <c r="B14" t="s">
        <v>73</v>
      </c>
      <c r="C14" t="s">
        <v>67</v>
      </c>
      <c r="D14" s="6">
        <v>32</v>
      </c>
      <c r="E14" s="6">
        <v>13</v>
      </c>
    </row>
    <row r="15" spans="1:5">
      <c r="A15" t="s">
        <v>74</v>
      </c>
      <c r="B15" t="s">
        <v>75</v>
      </c>
      <c r="C15" t="s">
        <v>76</v>
      </c>
      <c r="D15" s="6">
        <v>17</v>
      </c>
      <c r="E15" s="6">
        <v>8</v>
      </c>
    </row>
    <row r="16" spans="1:5">
      <c r="A16" t="s">
        <v>77</v>
      </c>
      <c r="B16" t="s">
        <v>78</v>
      </c>
      <c r="C16" t="s">
        <v>76</v>
      </c>
      <c r="D16" s="6">
        <v>23</v>
      </c>
      <c r="E16" s="6">
        <v>10</v>
      </c>
    </row>
    <row r="17" spans="1:5">
      <c r="A17" t="s">
        <v>79</v>
      </c>
      <c r="B17" t="s">
        <v>80</v>
      </c>
      <c r="C17" t="s">
        <v>76</v>
      </c>
      <c r="D17" s="6">
        <v>28</v>
      </c>
      <c r="E17" s="6">
        <v>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01"/>
  <sheetViews>
    <sheetView workbookViewId="0"/>
  </sheetViews>
  <sheetFormatPr defaultRowHeight="13.8"/>
  <cols>
    <col min="1" max="1" width="16" customWidth="1"/>
    <col min="2" max="3" width="20" customWidth="1"/>
  </cols>
  <sheetData>
    <row r="1" spans="1:3">
      <c r="A1" s="3" t="s">
        <v>81</v>
      </c>
      <c r="B1" s="3" t="s">
        <v>82</v>
      </c>
      <c r="C1" s="3" t="s">
        <v>83</v>
      </c>
    </row>
    <row r="2" spans="1:3">
      <c r="A2" t="s">
        <v>84</v>
      </c>
      <c r="B2" t="s">
        <v>85</v>
      </c>
      <c r="C2" t="s">
        <v>86</v>
      </c>
    </row>
    <row r="3" spans="1:3">
      <c r="A3" t="s">
        <v>87</v>
      </c>
      <c r="B3" t="s">
        <v>88</v>
      </c>
      <c r="C3" t="s">
        <v>89</v>
      </c>
    </row>
    <row r="4" spans="1:3">
      <c r="A4" t="s">
        <v>90</v>
      </c>
      <c r="B4" t="s">
        <v>91</v>
      </c>
      <c r="C4" t="s">
        <v>89</v>
      </c>
    </row>
    <row r="5" spans="1:3">
      <c r="A5" t="s">
        <v>92</v>
      </c>
      <c r="B5" t="s">
        <v>93</v>
      </c>
      <c r="C5" t="s">
        <v>89</v>
      </c>
    </row>
    <row r="6" spans="1:3">
      <c r="A6" t="s">
        <v>94</v>
      </c>
      <c r="B6" t="s">
        <v>95</v>
      </c>
      <c r="C6" t="s">
        <v>86</v>
      </c>
    </row>
    <row r="7" spans="1:3">
      <c r="A7" t="s">
        <v>96</v>
      </c>
      <c r="B7" t="s">
        <v>97</v>
      </c>
      <c r="C7" t="s">
        <v>86</v>
      </c>
    </row>
    <row r="8" spans="1:3">
      <c r="A8" t="s">
        <v>98</v>
      </c>
      <c r="B8" t="s">
        <v>99</v>
      </c>
      <c r="C8" t="s">
        <v>100</v>
      </c>
    </row>
    <row r="9" spans="1:3">
      <c r="A9" t="s">
        <v>101</v>
      </c>
      <c r="B9" t="s">
        <v>102</v>
      </c>
      <c r="C9" t="s">
        <v>89</v>
      </c>
    </row>
    <row r="10" spans="1:3">
      <c r="A10" t="s">
        <v>103</v>
      </c>
      <c r="B10" t="s">
        <v>104</v>
      </c>
      <c r="C10" t="s">
        <v>89</v>
      </c>
    </row>
    <row r="11" spans="1:3">
      <c r="A11" t="s">
        <v>105</v>
      </c>
      <c r="B11" t="s">
        <v>106</v>
      </c>
      <c r="C11" t="s">
        <v>89</v>
      </c>
    </row>
    <row r="12" spans="1:3">
      <c r="A12" t="s">
        <v>107</v>
      </c>
      <c r="B12" t="s">
        <v>108</v>
      </c>
      <c r="C12" t="s">
        <v>89</v>
      </c>
    </row>
    <row r="13" spans="1:3">
      <c r="A13" t="s">
        <v>109</v>
      </c>
      <c r="B13" t="s">
        <v>110</v>
      </c>
      <c r="C13" t="s">
        <v>86</v>
      </c>
    </row>
    <row r="14" spans="1:3">
      <c r="A14" t="s">
        <v>111</v>
      </c>
      <c r="B14" t="s">
        <v>112</v>
      </c>
      <c r="C14" t="s">
        <v>89</v>
      </c>
    </row>
    <row r="15" spans="1:3">
      <c r="A15" t="s">
        <v>113</v>
      </c>
      <c r="B15" t="s">
        <v>114</v>
      </c>
      <c r="C15" t="s">
        <v>89</v>
      </c>
    </row>
    <row r="16" spans="1:3">
      <c r="A16" t="s">
        <v>115</v>
      </c>
      <c r="B16" t="s">
        <v>116</v>
      </c>
      <c r="C16" t="s">
        <v>86</v>
      </c>
    </row>
    <row r="17" spans="1:3">
      <c r="A17" t="s">
        <v>117</v>
      </c>
      <c r="B17" t="s">
        <v>118</v>
      </c>
      <c r="C17" t="s">
        <v>86</v>
      </c>
    </row>
    <row r="18" spans="1:3">
      <c r="A18" t="s">
        <v>119</v>
      </c>
      <c r="B18" t="s">
        <v>120</v>
      </c>
      <c r="C18" t="s">
        <v>89</v>
      </c>
    </row>
    <row r="19" spans="1:3">
      <c r="A19" t="s">
        <v>121</v>
      </c>
      <c r="B19" t="s">
        <v>122</v>
      </c>
      <c r="C19" t="s">
        <v>86</v>
      </c>
    </row>
    <row r="20" spans="1:3">
      <c r="A20" t="s">
        <v>123</v>
      </c>
      <c r="B20" t="s">
        <v>124</v>
      </c>
      <c r="C20" t="s">
        <v>100</v>
      </c>
    </row>
    <row r="21" spans="1:3">
      <c r="A21" t="s">
        <v>125</v>
      </c>
      <c r="B21" t="s">
        <v>126</v>
      </c>
      <c r="C21" t="s">
        <v>89</v>
      </c>
    </row>
    <row r="22" spans="1:3">
      <c r="A22" t="s">
        <v>127</v>
      </c>
      <c r="B22" t="s">
        <v>128</v>
      </c>
      <c r="C22" t="s">
        <v>100</v>
      </c>
    </row>
    <row r="23" spans="1:3">
      <c r="A23" t="s">
        <v>129</v>
      </c>
      <c r="B23" t="s">
        <v>130</v>
      </c>
      <c r="C23" t="s">
        <v>86</v>
      </c>
    </row>
    <row r="24" spans="1:3">
      <c r="A24" t="s">
        <v>131</v>
      </c>
      <c r="B24" t="s">
        <v>132</v>
      </c>
      <c r="C24" t="s">
        <v>89</v>
      </c>
    </row>
    <row r="25" spans="1:3">
      <c r="A25" t="s">
        <v>133</v>
      </c>
      <c r="B25" t="s">
        <v>134</v>
      </c>
      <c r="C25" t="s">
        <v>89</v>
      </c>
    </row>
    <row r="26" spans="1:3">
      <c r="A26" t="s">
        <v>135</v>
      </c>
      <c r="B26" t="s">
        <v>136</v>
      </c>
      <c r="C26" t="s">
        <v>100</v>
      </c>
    </row>
    <row r="27" spans="1:3">
      <c r="A27" t="s">
        <v>137</v>
      </c>
      <c r="B27" t="s">
        <v>138</v>
      </c>
      <c r="C27" t="s">
        <v>89</v>
      </c>
    </row>
    <row r="28" spans="1:3">
      <c r="A28" t="s">
        <v>139</v>
      </c>
      <c r="B28" t="s">
        <v>140</v>
      </c>
      <c r="C28" t="s">
        <v>89</v>
      </c>
    </row>
    <row r="29" spans="1:3">
      <c r="A29" t="s">
        <v>141</v>
      </c>
      <c r="B29" t="s">
        <v>142</v>
      </c>
      <c r="C29" t="s">
        <v>89</v>
      </c>
    </row>
    <row r="30" spans="1:3">
      <c r="A30" t="s">
        <v>143</v>
      </c>
      <c r="B30" t="s">
        <v>144</v>
      </c>
      <c r="C30" t="s">
        <v>100</v>
      </c>
    </row>
    <row r="31" spans="1:3">
      <c r="A31" t="s">
        <v>145</v>
      </c>
      <c r="B31" t="s">
        <v>146</v>
      </c>
      <c r="C31" t="s">
        <v>86</v>
      </c>
    </row>
    <row r="32" spans="1:3">
      <c r="A32" t="s">
        <v>147</v>
      </c>
      <c r="B32" t="s">
        <v>148</v>
      </c>
      <c r="C32" t="s">
        <v>100</v>
      </c>
    </row>
    <row r="33" spans="1:3">
      <c r="A33" t="s">
        <v>149</v>
      </c>
      <c r="B33" t="s">
        <v>150</v>
      </c>
      <c r="C33" t="s">
        <v>86</v>
      </c>
    </row>
    <row r="34" spans="1:3">
      <c r="A34" t="s">
        <v>151</v>
      </c>
      <c r="B34" t="s">
        <v>152</v>
      </c>
      <c r="C34" t="s">
        <v>86</v>
      </c>
    </row>
    <row r="35" spans="1:3">
      <c r="A35" t="s">
        <v>153</v>
      </c>
      <c r="B35" t="s">
        <v>154</v>
      </c>
      <c r="C35" t="s">
        <v>100</v>
      </c>
    </row>
    <row r="36" spans="1:3">
      <c r="A36" t="s">
        <v>155</v>
      </c>
      <c r="B36" t="s">
        <v>156</v>
      </c>
      <c r="C36" t="s">
        <v>89</v>
      </c>
    </row>
    <row r="37" spans="1:3">
      <c r="A37" t="s">
        <v>157</v>
      </c>
      <c r="B37" t="s">
        <v>158</v>
      </c>
      <c r="C37" t="s">
        <v>86</v>
      </c>
    </row>
    <row r="38" spans="1:3">
      <c r="A38" t="s">
        <v>159</v>
      </c>
      <c r="B38" t="s">
        <v>160</v>
      </c>
      <c r="C38" t="s">
        <v>100</v>
      </c>
    </row>
    <row r="39" spans="1:3">
      <c r="A39" t="s">
        <v>161</v>
      </c>
      <c r="B39" t="s">
        <v>162</v>
      </c>
      <c r="C39" t="s">
        <v>86</v>
      </c>
    </row>
    <row r="40" spans="1:3">
      <c r="A40" t="s">
        <v>163</v>
      </c>
      <c r="B40" t="s">
        <v>164</v>
      </c>
      <c r="C40" t="s">
        <v>100</v>
      </c>
    </row>
    <row r="41" spans="1:3">
      <c r="A41" t="s">
        <v>165</v>
      </c>
      <c r="B41" t="s">
        <v>166</v>
      </c>
      <c r="C41" t="s">
        <v>86</v>
      </c>
    </row>
    <row r="42" spans="1:3">
      <c r="A42" t="s">
        <v>167</v>
      </c>
      <c r="B42" t="s">
        <v>168</v>
      </c>
      <c r="C42" t="s">
        <v>86</v>
      </c>
    </row>
    <row r="43" spans="1:3">
      <c r="A43" t="s">
        <v>169</v>
      </c>
      <c r="B43" t="s">
        <v>170</v>
      </c>
      <c r="C43" t="s">
        <v>89</v>
      </c>
    </row>
    <row r="44" spans="1:3">
      <c r="A44" t="s">
        <v>171</v>
      </c>
      <c r="B44" t="s">
        <v>172</v>
      </c>
      <c r="C44" t="s">
        <v>89</v>
      </c>
    </row>
    <row r="45" spans="1:3">
      <c r="A45" t="s">
        <v>173</v>
      </c>
      <c r="B45" t="s">
        <v>174</v>
      </c>
      <c r="C45" t="s">
        <v>89</v>
      </c>
    </row>
    <row r="46" spans="1:3">
      <c r="A46" t="s">
        <v>175</v>
      </c>
      <c r="B46" t="s">
        <v>176</v>
      </c>
      <c r="C46" t="s">
        <v>89</v>
      </c>
    </row>
    <row r="47" spans="1:3">
      <c r="A47" t="s">
        <v>177</v>
      </c>
      <c r="B47" t="s">
        <v>178</v>
      </c>
      <c r="C47" t="s">
        <v>89</v>
      </c>
    </row>
    <row r="48" spans="1:3">
      <c r="A48" t="s">
        <v>179</v>
      </c>
      <c r="B48" t="s">
        <v>180</v>
      </c>
      <c r="C48" t="s">
        <v>89</v>
      </c>
    </row>
    <row r="49" spans="1:3">
      <c r="A49" t="s">
        <v>181</v>
      </c>
      <c r="B49" t="s">
        <v>182</v>
      </c>
      <c r="C49" t="s">
        <v>89</v>
      </c>
    </row>
    <row r="50" spans="1:3">
      <c r="A50" t="s">
        <v>183</v>
      </c>
      <c r="B50" t="s">
        <v>184</v>
      </c>
      <c r="C50" t="s">
        <v>86</v>
      </c>
    </row>
    <row r="51" spans="1:3">
      <c r="A51" t="s">
        <v>185</v>
      </c>
      <c r="B51" t="s">
        <v>186</v>
      </c>
      <c r="C51" t="s">
        <v>89</v>
      </c>
    </row>
    <row r="52" spans="1:3">
      <c r="A52" t="s">
        <v>187</v>
      </c>
      <c r="B52" t="s">
        <v>188</v>
      </c>
      <c r="C52" t="s">
        <v>89</v>
      </c>
    </row>
    <row r="53" spans="1:3">
      <c r="A53" t="s">
        <v>189</v>
      </c>
      <c r="B53" t="s">
        <v>190</v>
      </c>
      <c r="C53" t="s">
        <v>89</v>
      </c>
    </row>
    <row r="54" spans="1:3">
      <c r="A54" t="s">
        <v>191</v>
      </c>
      <c r="B54" t="s">
        <v>192</v>
      </c>
      <c r="C54" t="s">
        <v>89</v>
      </c>
    </row>
    <row r="55" spans="1:3">
      <c r="A55" t="s">
        <v>193</v>
      </c>
      <c r="B55" t="s">
        <v>194</v>
      </c>
      <c r="C55" t="s">
        <v>100</v>
      </c>
    </row>
    <row r="56" spans="1:3">
      <c r="A56" t="s">
        <v>195</v>
      </c>
      <c r="B56" t="s">
        <v>196</v>
      </c>
      <c r="C56" t="s">
        <v>86</v>
      </c>
    </row>
    <row r="57" spans="1:3">
      <c r="A57" t="s">
        <v>197</v>
      </c>
      <c r="B57" t="s">
        <v>198</v>
      </c>
      <c r="C57" t="s">
        <v>86</v>
      </c>
    </row>
    <row r="58" spans="1:3">
      <c r="A58" t="s">
        <v>199</v>
      </c>
      <c r="B58" t="s">
        <v>200</v>
      </c>
      <c r="C58" t="s">
        <v>89</v>
      </c>
    </row>
    <row r="59" spans="1:3">
      <c r="A59" t="s">
        <v>201</v>
      </c>
      <c r="B59" t="s">
        <v>202</v>
      </c>
      <c r="C59" t="s">
        <v>86</v>
      </c>
    </row>
    <row r="60" spans="1:3">
      <c r="A60" t="s">
        <v>203</v>
      </c>
      <c r="B60" t="s">
        <v>204</v>
      </c>
      <c r="C60" t="s">
        <v>89</v>
      </c>
    </row>
    <row r="61" spans="1:3">
      <c r="A61" t="s">
        <v>205</v>
      </c>
      <c r="B61" t="s">
        <v>206</v>
      </c>
      <c r="C61" t="s">
        <v>89</v>
      </c>
    </row>
    <row r="62" spans="1:3">
      <c r="A62" t="s">
        <v>207</v>
      </c>
      <c r="B62" t="s">
        <v>208</v>
      </c>
      <c r="C62" t="s">
        <v>100</v>
      </c>
    </row>
    <row r="63" spans="1:3">
      <c r="A63" t="s">
        <v>209</v>
      </c>
      <c r="B63" t="s">
        <v>210</v>
      </c>
      <c r="C63" t="s">
        <v>86</v>
      </c>
    </row>
    <row r="64" spans="1:3">
      <c r="A64" t="s">
        <v>211</v>
      </c>
      <c r="B64" t="s">
        <v>212</v>
      </c>
      <c r="C64" t="s">
        <v>86</v>
      </c>
    </row>
    <row r="65" spans="1:3">
      <c r="A65" t="s">
        <v>213</v>
      </c>
      <c r="B65" t="s">
        <v>214</v>
      </c>
      <c r="C65" t="s">
        <v>86</v>
      </c>
    </row>
    <row r="66" spans="1:3">
      <c r="A66" t="s">
        <v>215</v>
      </c>
      <c r="B66" t="s">
        <v>216</v>
      </c>
      <c r="C66" t="s">
        <v>100</v>
      </c>
    </row>
    <row r="67" spans="1:3">
      <c r="A67" t="s">
        <v>217</v>
      </c>
      <c r="B67" t="s">
        <v>218</v>
      </c>
      <c r="C67" t="s">
        <v>86</v>
      </c>
    </row>
    <row r="68" spans="1:3">
      <c r="A68" t="s">
        <v>219</v>
      </c>
      <c r="B68" t="s">
        <v>220</v>
      </c>
      <c r="C68" t="s">
        <v>89</v>
      </c>
    </row>
    <row r="69" spans="1:3">
      <c r="A69" t="s">
        <v>221</v>
      </c>
      <c r="B69" t="s">
        <v>222</v>
      </c>
      <c r="C69" t="s">
        <v>89</v>
      </c>
    </row>
    <row r="70" spans="1:3">
      <c r="A70" t="s">
        <v>223</v>
      </c>
      <c r="B70" t="s">
        <v>224</v>
      </c>
      <c r="C70" t="s">
        <v>89</v>
      </c>
    </row>
    <row r="71" spans="1:3">
      <c r="A71" t="s">
        <v>225</v>
      </c>
      <c r="B71" t="s">
        <v>226</v>
      </c>
      <c r="C71" t="s">
        <v>89</v>
      </c>
    </row>
    <row r="72" spans="1:3">
      <c r="A72" t="s">
        <v>227</v>
      </c>
      <c r="B72" t="s">
        <v>228</v>
      </c>
      <c r="C72" t="s">
        <v>89</v>
      </c>
    </row>
    <row r="73" spans="1:3">
      <c r="A73" t="s">
        <v>229</v>
      </c>
      <c r="B73" t="s">
        <v>230</v>
      </c>
      <c r="C73" t="s">
        <v>100</v>
      </c>
    </row>
    <row r="74" spans="1:3">
      <c r="A74" t="s">
        <v>231</v>
      </c>
      <c r="B74" t="s">
        <v>232</v>
      </c>
      <c r="C74" t="s">
        <v>100</v>
      </c>
    </row>
    <row r="75" spans="1:3">
      <c r="A75" t="s">
        <v>233</v>
      </c>
      <c r="B75" t="s">
        <v>234</v>
      </c>
      <c r="C75" t="s">
        <v>89</v>
      </c>
    </row>
    <row r="76" spans="1:3">
      <c r="A76" t="s">
        <v>235</v>
      </c>
      <c r="B76" t="s">
        <v>236</v>
      </c>
      <c r="C76" t="s">
        <v>86</v>
      </c>
    </row>
    <row r="77" spans="1:3">
      <c r="A77" t="s">
        <v>237</v>
      </c>
      <c r="B77" t="s">
        <v>238</v>
      </c>
      <c r="C77" t="s">
        <v>89</v>
      </c>
    </row>
    <row r="78" spans="1:3">
      <c r="A78" t="s">
        <v>239</v>
      </c>
      <c r="B78" t="s">
        <v>240</v>
      </c>
      <c r="C78" t="s">
        <v>100</v>
      </c>
    </row>
    <row r="79" spans="1:3">
      <c r="A79" t="s">
        <v>241</v>
      </c>
      <c r="B79" t="s">
        <v>242</v>
      </c>
      <c r="C79" t="s">
        <v>89</v>
      </c>
    </row>
    <row r="80" spans="1:3">
      <c r="A80" t="s">
        <v>243</v>
      </c>
      <c r="B80" t="s">
        <v>244</v>
      </c>
      <c r="C80" t="s">
        <v>89</v>
      </c>
    </row>
    <row r="81" spans="1:3">
      <c r="A81" t="s">
        <v>245</v>
      </c>
      <c r="B81" t="s">
        <v>246</v>
      </c>
      <c r="C81" t="s">
        <v>89</v>
      </c>
    </row>
    <row r="82" spans="1:3">
      <c r="A82" t="s">
        <v>247</v>
      </c>
      <c r="B82" t="s">
        <v>248</v>
      </c>
      <c r="C82" t="s">
        <v>86</v>
      </c>
    </row>
    <row r="83" spans="1:3">
      <c r="A83" t="s">
        <v>249</v>
      </c>
      <c r="B83" t="s">
        <v>250</v>
      </c>
      <c r="C83" t="s">
        <v>89</v>
      </c>
    </row>
    <row r="84" spans="1:3">
      <c r="A84" t="s">
        <v>251</v>
      </c>
      <c r="B84" t="s">
        <v>252</v>
      </c>
      <c r="C84" t="s">
        <v>86</v>
      </c>
    </row>
    <row r="85" spans="1:3">
      <c r="A85" t="s">
        <v>253</v>
      </c>
      <c r="B85" t="s">
        <v>254</v>
      </c>
      <c r="C85" t="s">
        <v>100</v>
      </c>
    </row>
    <row r="86" spans="1:3">
      <c r="A86" t="s">
        <v>255</v>
      </c>
      <c r="B86" t="s">
        <v>256</v>
      </c>
      <c r="C86" t="s">
        <v>89</v>
      </c>
    </row>
    <row r="87" spans="1:3">
      <c r="A87" t="s">
        <v>257</v>
      </c>
      <c r="B87" t="s">
        <v>258</v>
      </c>
      <c r="C87" t="s">
        <v>89</v>
      </c>
    </row>
    <row r="88" spans="1:3">
      <c r="A88" t="s">
        <v>259</v>
      </c>
      <c r="B88" t="s">
        <v>260</v>
      </c>
      <c r="C88" t="s">
        <v>100</v>
      </c>
    </row>
    <row r="89" spans="1:3">
      <c r="A89" t="s">
        <v>261</v>
      </c>
      <c r="B89" t="s">
        <v>262</v>
      </c>
      <c r="C89" t="s">
        <v>86</v>
      </c>
    </row>
    <row r="90" spans="1:3">
      <c r="A90" t="s">
        <v>263</v>
      </c>
      <c r="B90" t="s">
        <v>264</v>
      </c>
      <c r="C90" t="s">
        <v>89</v>
      </c>
    </row>
    <row r="91" spans="1:3">
      <c r="A91" t="s">
        <v>265</v>
      </c>
      <c r="B91" t="s">
        <v>266</v>
      </c>
      <c r="C91" t="s">
        <v>89</v>
      </c>
    </row>
    <row r="92" spans="1:3">
      <c r="A92" t="s">
        <v>267</v>
      </c>
      <c r="B92" t="s">
        <v>268</v>
      </c>
      <c r="C92" t="s">
        <v>89</v>
      </c>
    </row>
    <row r="93" spans="1:3">
      <c r="A93" t="s">
        <v>269</v>
      </c>
      <c r="B93" t="s">
        <v>270</v>
      </c>
      <c r="C93" t="s">
        <v>86</v>
      </c>
    </row>
    <row r="94" spans="1:3">
      <c r="A94" t="s">
        <v>271</v>
      </c>
      <c r="B94" t="s">
        <v>272</v>
      </c>
      <c r="C94" t="s">
        <v>86</v>
      </c>
    </row>
    <row r="95" spans="1:3">
      <c r="A95" t="s">
        <v>273</v>
      </c>
      <c r="B95" t="s">
        <v>274</v>
      </c>
      <c r="C95" t="s">
        <v>89</v>
      </c>
    </row>
    <row r="96" spans="1:3">
      <c r="A96" t="s">
        <v>275</v>
      </c>
      <c r="B96" t="s">
        <v>276</v>
      </c>
      <c r="C96" t="s">
        <v>89</v>
      </c>
    </row>
    <row r="97" spans="1:3">
      <c r="A97" t="s">
        <v>277</v>
      </c>
      <c r="B97" t="s">
        <v>278</v>
      </c>
      <c r="C97" t="s">
        <v>89</v>
      </c>
    </row>
    <row r="98" spans="1:3">
      <c r="A98" t="s">
        <v>279</v>
      </c>
      <c r="B98" t="s">
        <v>280</v>
      </c>
      <c r="C98" t="s">
        <v>100</v>
      </c>
    </row>
    <row r="99" spans="1:3">
      <c r="A99" t="s">
        <v>281</v>
      </c>
      <c r="B99" t="s">
        <v>282</v>
      </c>
      <c r="C99" t="s">
        <v>86</v>
      </c>
    </row>
    <row r="100" spans="1:3">
      <c r="A100" t="s">
        <v>283</v>
      </c>
      <c r="B100" t="s">
        <v>284</v>
      </c>
      <c r="C100" t="s">
        <v>100</v>
      </c>
    </row>
    <row r="101" spans="1:3">
      <c r="A101" t="s">
        <v>285</v>
      </c>
      <c r="B101" t="s">
        <v>286</v>
      </c>
      <c r="C101" t="s">
        <v>100</v>
      </c>
    </row>
    <row r="102" spans="1:3">
      <c r="A102" t="s">
        <v>287</v>
      </c>
      <c r="B102" t="s">
        <v>288</v>
      </c>
      <c r="C102" t="s">
        <v>89</v>
      </c>
    </row>
    <row r="103" spans="1:3">
      <c r="A103" t="s">
        <v>289</v>
      </c>
      <c r="B103" t="s">
        <v>290</v>
      </c>
      <c r="C103" t="s">
        <v>86</v>
      </c>
    </row>
    <row r="104" spans="1:3">
      <c r="A104" t="s">
        <v>291</v>
      </c>
      <c r="B104" t="s">
        <v>292</v>
      </c>
      <c r="C104" t="s">
        <v>86</v>
      </c>
    </row>
    <row r="105" spans="1:3">
      <c r="A105" t="s">
        <v>293</v>
      </c>
      <c r="B105" t="s">
        <v>294</v>
      </c>
      <c r="C105" t="s">
        <v>86</v>
      </c>
    </row>
    <row r="106" spans="1:3">
      <c r="A106" t="s">
        <v>295</v>
      </c>
      <c r="B106" t="s">
        <v>296</v>
      </c>
      <c r="C106" t="s">
        <v>89</v>
      </c>
    </row>
    <row r="107" spans="1:3">
      <c r="A107" t="s">
        <v>297</v>
      </c>
      <c r="B107" t="s">
        <v>298</v>
      </c>
      <c r="C107" t="s">
        <v>86</v>
      </c>
    </row>
    <row r="108" spans="1:3">
      <c r="A108" t="s">
        <v>299</v>
      </c>
      <c r="B108" t="s">
        <v>300</v>
      </c>
      <c r="C108" t="s">
        <v>89</v>
      </c>
    </row>
    <row r="109" spans="1:3">
      <c r="A109" t="s">
        <v>301</v>
      </c>
      <c r="B109" t="s">
        <v>302</v>
      </c>
      <c r="C109" t="s">
        <v>89</v>
      </c>
    </row>
    <row r="110" spans="1:3">
      <c r="A110" t="s">
        <v>303</v>
      </c>
      <c r="B110" t="s">
        <v>304</v>
      </c>
      <c r="C110" t="s">
        <v>89</v>
      </c>
    </row>
    <row r="111" spans="1:3">
      <c r="A111" t="s">
        <v>305</v>
      </c>
      <c r="B111" t="s">
        <v>306</v>
      </c>
      <c r="C111" t="s">
        <v>100</v>
      </c>
    </row>
    <row r="112" spans="1:3">
      <c r="A112" t="s">
        <v>307</v>
      </c>
      <c r="B112" t="s">
        <v>308</v>
      </c>
      <c r="C112" t="s">
        <v>100</v>
      </c>
    </row>
    <row r="113" spans="1:3">
      <c r="A113" t="s">
        <v>309</v>
      </c>
      <c r="B113" t="s">
        <v>310</v>
      </c>
      <c r="C113" t="s">
        <v>89</v>
      </c>
    </row>
    <row r="114" spans="1:3">
      <c r="A114" t="s">
        <v>311</v>
      </c>
      <c r="B114" t="s">
        <v>312</v>
      </c>
      <c r="C114" t="s">
        <v>86</v>
      </c>
    </row>
    <row r="115" spans="1:3">
      <c r="A115" t="s">
        <v>313</v>
      </c>
      <c r="B115" t="s">
        <v>314</v>
      </c>
      <c r="C115" t="s">
        <v>89</v>
      </c>
    </row>
    <row r="116" spans="1:3">
      <c r="A116" t="s">
        <v>315</v>
      </c>
      <c r="B116" t="s">
        <v>316</v>
      </c>
      <c r="C116" t="s">
        <v>100</v>
      </c>
    </row>
    <row r="117" spans="1:3">
      <c r="A117" t="s">
        <v>317</v>
      </c>
      <c r="B117" t="s">
        <v>318</v>
      </c>
      <c r="C117" t="s">
        <v>100</v>
      </c>
    </row>
    <row r="118" spans="1:3">
      <c r="A118" t="s">
        <v>319</v>
      </c>
      <c r="B118" t="s">
        <v>320</v>
      </c>
      <c r="C118" t="s">
        <v>89</v>
      </c>
    </row>
    <row r="119" spans="1:3">
      <c r="A119" t="s">
        <v>321</v>
      </c>
      <c r="B119" t="s">
        <v>322</v>
      </c>
      <c r="C119" t="s">
        <v>86</v>
      </c>
    </row>
    <row r="120" spans="1:3">
      <c r="A120" t="s">
        <v>323</v>
      </c>
      <c r="B120" t="s">
        <v>324</v>
      </c>
      <c r="C120" t="s">
        <v>86</v>
      </c>
    </row>
    <row r="121" spans="1:3">
      <c r="A121" t="s">
        <v>325</v>
      </c>
      <c r="B121" t="s">
        <v>326</v>
      </c>
      <c r="C121" t="s">
        <v>89</v>
      </c>
    </row>
    <row r="122" spans="1:3">
      <c r="A122" t="s">
        <v>327</v>
      </c>
      <c r="B122" t="s">
        <v>328</v>
      </c>
      <c r="C122" t="s">
        <v>86</v>
      </c>
    </row>
    <row r="123" spans="1:3">
      <c r="A123" t="s">
        <v>329</v>
      </c>
      <c r="B123" t="s">
        <v>330</v>
      </c>
      <c r="C123" t="s">
        <v>86</v>
      </c>
    </row>
    <row r="124" spans="1:3">
      <c r="A124" t="s">
        <v>331</v>
      </c>
      <c r="B124" t="s">
        <v>332</v>
      </c>
      <c r="C124" t="s">
        <v>86</v>
      </c>
    </row>
    <row r="125" spans="1:3">
      <c r="A125" t="s">
        <v>333</v>
      </c>
      <c r="B125" t="s">
        <v>334</v>
      </c>
      <c r="C125" t="s">
        <v>86</v>
      </c>
    </row>
    <row r="126" spans="1:3">
      <c r="A126" t="s">
        <v>335</v>
      </c>
      <c r="B126" t="s">
        <v>336</v>
      </c>
      <c r="C126" t="s">
        <v>89</v>
      </c>
    </row>
    <row r="127" spans="1:3">
      <c r="A127" t="s">
        <v>337</v>
      </c>
      <c r="B127" t="s">
        <v>338</v>
      </c>
      <c r="C127" t="s">
        <v>89</v>
      </c>
    </row>
    <row r="128" spans="1:3">
      <c r="A128" t="s">
        <v>339</v>
      </c>
      <c r="B128" t="s">
        <v>340</v>
      </c>
      <c r="C128" t="s">
        <v>89</v>
      </c>
    </row>
    <row r="129" spans="1:3">
      <c r="A129" t="s">
        <v>341</v>
      </c>
      <c r="B129" t="s">
        <v>342</v>
      </c>
      <c r="C129" t="s">
        <v>100</v>
      </c>
    </row>
    <row r="130" spans="1:3">
      <c r="A130" t="s">
        <v>343</v>
      </c>
      <c r="B130" t="s">
        <v>344</v>
      </c>
      <c r="C130" t="s">
        <v>100</v>
      </c>
    </row>
    <row r="131" spans="1:3">
      <c r="A131" t="s">
        <v>345</v>
      </c>
      <c r="B131" t="s">
        <v>346</v>
      </c>
      <c r="C131" t="s">
        <v>100</v>
      </c>
    </row>
    <row r="132" spans="1:3">
      <c r="A132" t="s">
        <v>347</v>
      </c>
      <c r="B132" t="s">
        <v>348</v>
      </c>
      <c r="C132" t="s">
        <v>89</v>
      </c>
    </row>
    <row r="133" spans="1:3">
      <c r="A133" t="s">
        <v>349</v>
      </c>
      <c r="B133" t="s">
        <v>350</v>
      </c>
      <c r="C133" t="s">
        <v>89</v>
      </c>
    </row>
    <row r="134" spans="1:3">
      <c r="A134" t="s">
        <v>351</v>
      </c>
      <c r="B134" t="s">
        <v>352</v>
      </c>
      <c r="C134" t="s">
        <v>100</v>
      </c>
    </row>
    <row r="135" spans="1:3">
      <c r="A135" t="s">
        <v>353</v>
      </c>
      <c r="B135" t="s">
        <v>354</v>
      </c>
      <c r="C135" t="s">
        <v>100</v>
      </c>
    </row>
    <row r="136" spans="1:3">
      <c r="A136" t="s">
        <v>355</v>
      </c>
      <c r="B136" t="s">
        <v>356</v>
      </c>
      <c r="C136" t="s">
        <v>89</v>
      </c>
    </row>
    <row r="137" spans="1:3">
      <c r="A137" t="s">
        <v>357</v>
      </c>
      <c r="B137" t="s">
        <v>358</v>
      </c>
      <c r="C137" t="s">
        <v>89</v>
      </c>
    </row>
    <row r="138" spans="1:3">
      <c r="A138" t="s">
        <v>359</v>
      </c>
      <c r="B138" t="s">
        <v>360</v>
      </c>
      <c r="C138" t="s">
        <v>89</v>
      </c>
    </row>
    <row r="139" spans="1:3">
      <c r="A139" t="s">
        <v>361</v>
      </c>
      <c r="B139" t="s">
        <v>362</v>
      </c>
      <c r="C139" t="s">
        <v>86</v>
      </c>
    </row>
    <row r="140" spans="1:3">
      <c r="A140" t="s">
        <v>363</v>
      </c>
      <c r="B140" t="s">
        <v>364</v>
      </c>
      <c r="C140" t="s">
        <v>86</v>
      </c>
    </row>
    <row r="141" spans="1:3">
      <c r="A141" t="s">
        <v>365</v>
      </c>
      <c r="B141" t="s">
        <v>366</v>
      </c>
      <c r="C141" t="s">
        <v>89</v>
      </c>
    </row>
    <row r="142" spans="1:3">
      <c r="A142" t="s">
        <v>367</v>
      </c>
      <c r="B142" t="s">
        <v>368</v>
      </c>
      <c r="C142" t="s">
        <v>89</v>
      </c>
    </row>
    <row r="143" spans="1:3">
      <c r="A143" t="s">
        <v>369</v>
      </c>
      <c r="B143" t="s">
        <v>370</v>
      </c>
      <c r="C143" t="s">
        <v>86</v>
      </c>
    </row>
    <row r="144" spans="1:3">
      <c r="A144" t="s">
        <v>371</v>
      </c>
      <c r="B144" t="s">
        <v>372</v>
      </c>
      <c r="C144" t="s">
        <v>89</v>
      </c>
    </row>
    <row r="145" spans="1:3">
      <c r="A145" t="s">
        <v>373</v>
      </c>
      <c r="B145" t="s">
        <v>374</v>
      </c>
      <c r="C145" t="s">
        <v>100</v>
      </c>
    </row>
    <row r="146" spans="1:3">
      <c r="A146" t="s">
        <v>375</v>
      </c>
      <c r="B146" t="s">
        <v>376</v>
      </c>
      <c r="C146" t="s">
        <v>89</v>
      </c>
    </row>
    <row r="147" spans="1:3">
      <c r="A147" t="s">
        <v>377</v>
      </c>
      <c r="B147" t="s">
        <v>378</v>
      </c>
      <c r="C147" t="s">
        <v>89</v>
      </c>
    </row>
    <row r="148" spans="1:3">
      <c r="A148" t="s">
        <v>379</v>
      </c>
      <c r="B148" t="s">
        <v>380</v>
      </c>
      <c r="C148" t="s">
        <v>86</v>
      </c>
    </row>
    <row r="149" spans="1:3">
      <c r="A149" t="s">
        <v>381</v>
      </c>
      <c r="B149" t="s">
        <v>382</v>
      </c>
      <c r="C149" t="s">
        <v>86</v>
      </c>
    </row>
    <row r="150" spans="1:3">
      <c r="A150" t="s">
        <v>383</v>
      </c>
      <c r="B150" t="s">
        <v>384</v>
      </c>
      <c r="C150" t="s">
        <v>89</v>
      </c>
    </row>
    <row r="151" spans="1:3">
      <c r="A151" t="s">
        <v>385</v>
      </c>
      <c r="B151" t="s">
        <v>386</v>
      </c>
      <c r="C151" t="s">
        <v>89</v>
      </c>
    </row>
    <row r="152" spans="1:3">
      <c r="A152" t="s">
        <v>387</v>
      </c>
      <c r="B152" t="s">
        <v>388</v>
      </c>
      <c r="C152" t="s">
        <v>100</v>
      </c>
    </row>
    <row r="153" spans="1:3">
      <c r="A153" t="s">
        <v>389</v>
      </c>
      <c r="B153" t="s">
        <v>390</v>
      </c>
      <c r="C153" t="s">
        <v>86</v>
      </c>
    </row>
    <row r="154" spans="1:3">
      <c r="A154" t="s">
        <v>391</v>
      </c>
      <c r="B154" t="s">
        <v>392</v>
      </c>
      <c r="C154" t="s">
        <v>89</v>
      </c>
    </row>
    <row r="155" spans="1:3">
      <c r="A155" t="s">
        <v>393</v>
      </c>
      <c r="B155" t="s">
        <v>394</v>
      </c>
      <c r="C155" t="s">
        <v>86</v>
      </c>
    </row>
    <row r="156" spans="1:3">
      <c r="A156" t="s">
        <v>395</v>
      </c>
      <c r="B156" t="s">
        <v>396</v>
      </c>
      <c r="C156" t="s">
        <v>89</v>
      </c>
    </row>
    <row r="157" spans="1:3">
      <c r="A157" t="s">
        <v>397</v>
      </c>
      <c r="B157" t="s">
        <v>398</v>
      </c>
      <c r="C157" t="s">
        <v>89</v>
      </c>
    </row>
    <row r="158" spans="1:3">
      <c r="A158" t="s">
        <v>399</v>
      </c>
      <c r="B158" t="s">
        <v>400</v>
      </c>
      <c r="C158" t="s">
        <v>89</v>
      </c>
    </row>
    <row r="159" spans="1:3">
      <c r="A159" t="s">
        <v>401</v>
      </c>
      <c r="B159" t="s">
        <v>402</v>
      </c>
      <c r="C159" t="s">
        <v>86</v>
      </c>
    </row>
    <row r="160" spans="1:3">
      <c r="A160" t="s">
        <v>403</v>
      </c>
      <c r="B160" t="s">
        <v>404</v>
      </c>
      <c r="C160" t="s">
        <v>89</v>
      </c>
    </row>
    <row r="161" spans="1:3">
      <c r="A161" t="s">
        <v>405</v>
      </c>
      <c r="B161" t="s">
        <v>406</v>
      </c>
      <c r="C161" t="s">
        <v>89</v>
      </c>
    </row>
    <row r="162" spans="1:3">
      <c r="A162" t="s">
        <v>407</v>
      </c>
      <c r="B162" t="s">
        <v>408</v>
      </c>
      <c r="C162" t="s">
        <v>89</v>
      </c>
    </row>
    <row r="163" spans="1:3">
      <c r="A163" t="s">
        <v>409</v>
      </c>
      <c r="B163" t="s">
        <v>410</v>
      </c>
      <c r="C163" t="s">
        <v>86</v>
      </c>
    </row>
    <row r="164" spans="1:3">
      <c r="A164" t="s">
        <v>411</v>
      </c>
      <c r="B164" t="s">
        <v>412</v>
      </c>
      <c r="C164" t="s">
        <v>89</v>
      </c>
    </row>
    <row r="165" spans="1:3">
      <c r="A165" t="s">
        <v>413</v>
      </c>
      <c r="B165" t="s">
        <v>414</v>
      </c>
      <c r="C165" t="s">
        <v>100</v>
      </c>
    </row>
    <row r="166" spans="1:3">
      <c r="A166" t="s">
        <v>415</v>
      </c>
      <c r="B166" t="s">
        <v>416</v>
      </c>
      <c r="C166" t="s">
        <v>100</v>
      </c>
    </row>
    <row r="167" spans="1:3">
      <c r="A167" t="s">
        <v>417</v>
      </c>
      <c r="B167" t="s">
        <v>418</v>
      </c>
      <c r="C167" t="s">
        <v>89</v>
      </c>
    </row>
    <row r="168" spans="1:3">
      <c r="A168" t="s">
        <v>419</v>
      </c>
      <c r="B168" t="s">
        <v>420</v>
      </c>
      <c r="C168" t="s">
        <v>89</v>
      </c>
    </row>
    <row r="169" spans="1:3">
      <c r="A169" t="s">
        <v>421</v>
      </c>
      <c r="B169" t="s">
        <v>422</v>
      </c>
      <c r="C169" t="s">
        <v>86</v>
      </c>
    </row>
    <row r="170" spans="1:3">
      <c r="A170" t="s">
        <v>423</v>
      </c>
      <c r="B170" t="s">
        <v>424</v>
      </c>
      <c r="C170" t="s">
        <v>89</v>
      </c>
    </row>
    <row r="171" spans="1:3">
      <c r="A171" t="s">
        <v>425</v>
      </c>
      <c r="B171" t="s">
        <v>426</v>
      </c>
      <c r="C171" t="s">
        <v>89</v>
      </c>
    </row>
    <row r="172" spans="1:3">
      <c r="A172" t="s">
        <v>427</v>
      </c>
      <c r="B172" t="s">
        <v>428</v>
      </c>
      <c r="C172" t="s">
        <v>100</v>
      </c>
    </row>
    <row r="173" spans="1:3">
      <c r="A173" t="s">
        <v>429</v>
      </c>
      <c r="B173" t="s">
        <v>430</v>
      </c>
      <c r="C173" t="s">
        <v>86</v>
      </c>
    </row>
    <row r="174" spans="1:3">
      <c r="A174" t="s">
        <v>431</v>
      </c>
      <c r="B174" t="s">
        <v>432</v>
      </c>
      <c r="C174" t="s">
        <v>89</v>
      </c>
    </row>
    <row r="175" spans="1:3">
      <c r="A175" t="s">
        <v>433</v>
      </c>
      <c r="B175" t="s">
        <v>434</v>
      </c>
      <c r="C175" t="s">
        <v>86</v>
      </c>
    </row>
    <row r="176" spans="1:3">
      <c r="A176" t="s">
        <v>435</v>
      </c>
      <c r="B176" t="s">
        <v>436</v>
      </c>
      <c r="C176" t="s">
        <v>100</v>
      </c>
    </row>
    <row r="177" spans="1:3">
      <c r="A177" t="s">
        <v>437</v>
      </c>
      <c r="B177" t="s">
        <v>438</v>
      </c>
      <c r="C177" t="s">
        <v>89</v>
      </c>
    </row>
    <row r="178" spans="1:3">
      <c r="A178" t="s">
        <v>439</v>
      </c>
      <c r="B178" t="s">
        <v>440</v>
      </c>
      <c r="C178" t="s">
        <v>89</v>
      </c>
    </row>
    <row r="179" spans="1:3">
      <c r="A179" t="s">
        <v>441</v>
      </c>
      <c r="B179" t="s">
        <v>442</v>
      </c>
      <c r="C179" t="s">
        <v>89</v>
      </c>
    </row>
    <row r="180" spans="1:3">
      <c r="A180" t="s">
        <v>443</v>
      </c>
      <c r="B180" t="s">
        <v>444</v>
      </c>
      <c r="C180" t="s">
        <v>89</v>
      </c>
    </row>
    <row r="181" spans="1:3">
      <c r="A181" t="s">
        <v>445</v>
      </c>
      <c r="B181" t="s">
        <v>446</v>
      </c>
      <c r="C181" t="s">
        <v>89</v>
      </c>
    </row>
    <row r="182" spans="1:3">
      <c r="A182" t="s">
        <v>447</v>
      </c>
      <c r="B182" t="s">
        <v>448</v>
      </c>
      <c r="C182" t="s">
        <v>86</v>
      </c>
    </row>
    <row r="183" spans="1:3">
      <c r="A183" t="s">
        <v>449</v>
      </c>
      <c r="B183" t="s">
        <v>450</v>
      </c>
      <c r="C183" t="s">
        <v>86</v>
      </c>
    </row>
    <row r="184" spans="1:3">
      <c r="A184" t="s">
        <v>451</v>
      </c>
      <c r="B184" t="s">
        <v>452</v>
      </c>
      <c r="C184" t="s">
        <v>100</v>
      </c>
    </row>
    <row r="185" spans="1:3">
      <c r="A185" t="s">
        <v>453</v>
      </c>
      <c r="B185" t="s">
        <v>454</v>
      </c>
      <c r="C185" t="s">
        <v>89</v>
      </c>
    </row>
    <row r="186" spans="1:3">
      <c r="A186" t="s">
        <v>455</v>
      </c>
      <c r="B186" t="s">
        <v>456</v>
      </c>
      <c r="C186" t="s">
        <v>89</v>
      </c>
    </row>
    <row r="187" spans="1:3">
      <c r="A187" t="s">
        <v>457</v>
      </c>
      <c r="B187" t="s">
        <v>458</v>
      </c>
      <c r="C187" t="s">
        <v>89</v>
      </c>
    </row>
    <row r="188" spans="1:3">
      <c r="A188" t="s">
        <v>459</v>
      </c>
      <c r="B188" t="s">
        <v>460</v>
      </c>
      <c r="C188" t="s">
        <v>100</v>
      </c>
    </row>
    <row r="189" spans="1:3">
      <c r="A189" t="s">
        <v>461</v>
      </c>
      <c r="B189" t="s">
        <v>462</v>
      </c>
      <c r="C189" t="s">
        <v>89</v>
      </c>
    </row>
    <row r="190" spans="1:3">
      <c r="A190" t="s">
        <v>463</v>
      </c>
      <c r="B190" t="s">
        <v>464</v>
      </c>
      <c r="C190" t="s">
        <v>89</v>
      </c>
    </row>
    <row r="191" spans="1:3">
      <c r="A191" t="s">
        <v>465</v>
      </c>
      <c r="B191" t="s">
        <v>466</v>
      </c>
      <c r="C191" t="s">
        <v>89</v>
      </c>
    </row>
    <row r="192" spans="1:3">
      <c r="A192" t="s">
        <v>467</v>
      </c>
      <c r="B192" t="s">
        <v>468</v>
      </c>
      <c r="C192" t="s">
        <v>89</v>
      </c>
    </row>
    <row r="193" spans="1:3">
      <c r="A193" t="s">
        <v>469</v>
      </c>
      <c r="B193" t="s">
        <v>470</v>
      </c>
      <c r="C193" t="s">
        <v>89</v>
      </c>
    </row>
    <row r="194" spans="1:3">
      <c r="A194" t="s">
        <v>471</v>
      </c>
      <c r="B194" t="s">
        <v>472</v>
      </c>
      <c r="C194" t="s">
        <v>89</v>
      </c>
    </row>
    <row r="195" spans="1:3">
      <c r="A195" t="s">
        <v>473</v>
      </c>
      <c r="B195" t="s">
        <v>474</v>
      </c>
      <c r="C195" t="s">
        <v>100</v>
      </c>
    </row>
    <row r="196" spans="1:3">
      <c r="A196" t="s">
        <v>475</v>
      </c>
      <c r="B196" t="s">
        <v>476</v>
      </c>
      <c r="C196" t="s">
        <v>89</v>
      </c>
    </row>
    <row r="197" spans="1:3">
      <c r="A197" t="s">
        <v>477</v>
      </c>
      <c r="B197" t="s">
        <v>478</v>
      </c>
      <c r="C197" t="s">
        <v>100</v>
      </c>
    </row>
    <row r="198" spans="1:3">
      <c r="A198" t="s">
        <v>479</v>
      </c>
      <c r="B198" t="s">
        <v>480</v>
      </c>
      <c r="C198" t="s">
        <v>86</v>
      </c>
    </row>
    <row r="199" spans="1:3">
      <c r="A199" t="s">
        <v>481</v>
      </c>
      <c r="B199" t="s">
        <v>482</v>
      </c>
      <c r="C199" t="s">
        <v>89</v>
      </c>
    </row>
    <row r="200" spans="1:3">
      <c r="A200" t="s">
        <v>483</v>
      </c>
      <c r="B200" t="s">
        <v>484</v>
      </c>
      <c r="C200" t="s">
        <v>100</v>
      </c>
    </row>
    <row r="201" spans="1:3">
      <c r="A201" t="s">
        <v>485</v>
      </c>
      <c r="B201" t="s">
        <v>486</v>
      </c>
      <c r="C201" t="s">
        <v>100</v>
      </c>
    </row>
    <row r="202" spans="1:3">
      <c r="A202" t="s">
        <v>487</v>
      </c>
      <c r="B202" t="s">
        <v>488</v>
      </c>
      <c r="C202" t="s">
        <v>100</v>
      </c>
    </row>
    <row r="203" spans="1:3">
      <c r="A203" t="s">
        <v>489</v>
      </c>
      <c r="B203" t="s">
        <v>490</v>
      </c>
      <c r="C203" t="s">
        <v>100</v>
      </c>
    </row>
    <row r="204" spans="1:3">
      <c r="A204" t="s">
        <v>491</v>
      </c>
      <c r="B204" t="s">
        <v>492</v>
      </c>
      <c r="C204" t="s">
        <v>100</v>
      </c>
    </row>
    <row r="205" spans="1:3">
      <c r="A205" t="s">
        <v>493</v>
      </c>
      <c r="B205" t="s">
        <v>494</v>
      </c>
      <c r="C205" t="s">
        <v>89</v>
      </c>
    </row>
    <row r="206" spans="1:3">
      <c r="A206" t="s">
        <v>495</v>
      </c>
      <c r="B206" t="s">
        <v>496</v>
      </c>
      <c r="C206" t="s">
        <v>89</v>
      </c>
    </row>
    <row r="207" spans="1:3">
      <c r="A207" t="s">
        <v>497</v>
      </c>
      <c r="B207" t="s">
        <v>498</v>
      </c>
      <c r="C207" t="s">
        <v>89</v>
      </c>
    </row>
    <row r="208" spans="1:3">
      <c r="A208" t="s">
        <v>499</v>
      </c>
      <c r="B208" t="s">
        <v>500</v>
      </c>
      <c r="C208" t="s">
        <v>89</v>
      </c>
    </row>
    <row r="209" spans="1:3">
      <c r="A209" t="s">
        <v>501</v>
      </c>
      <c r="B209" t="s">
        <v>502</v>
      </c>
      <c r="C209" t="s">
        <v>89</v>
      </c>
    </row>
    <row r="210" spans="1:3">
      <c r="A210" t="s">
        <v>503</v>
      </c>
      <c r="B210" t="s">
        <v>504</v>
      </c>
      <c r="C210" t="s">
        <v>89</v>
      </c>
    </row>
    <row r="211" spans="1:3">
      <c r="A211" t="s">
        <v>505</v>
      </c>
      <c r="B211" t="s">
        <v>506</v>
      </c>
      <c r="C211" t="s">
        <v>100</v>
      </c>
    </row>
    <row r="212" spans="1:3">
      <c r="A212" t="s">
        <v>507</v>
      </c>
      <c r="B212" t="s">
        <v>508</v>
      </c>
      <c r="C212" t="s">
        <v>89</v>
      </c>
    </row>
    <row r="213" spans="1:3">
      <c r="A213" t="s">
        <v>509</v>
      </c>
      <c r="B213" t="s">
        <v>510</v>
      </c>
      <c r="C213" t="s">
        <v>86</v>
      </c>
    </row>
    <row r="214" spans="1:3">
      <c r="A214" t="s">
        <v>511</v>
      </c>
      <c r="B214" t="s">
        <v>512</v>
      </c>
      <c r="C214" t="s">
        <v>89</v>
      </c>
    </row>
    <row r="215" spans="1:3">
      <c r="A215" t="s">
        <v>513</v>
      </c>
      <c r="B215" t="s">
        <v>514</v>
      </c>
      <c r="C215" t="s">
        <v>89</v>
      </c>
    </row>
    <row r="216" spans="1:3">
      <c r="A216" t="s">
        <v>515</v>
      </c>
      <c r="B216" t="s">
        <v>516</v>
      </c>
      <c r="C216" t="s">
        <v>100</v>
      </c>
    </row>
    <row r="217" spans="1:3">
      <c r="A217" t="s">
        <v>517</v>
      </c>
      <c r="B217" t="s">
        <v>518</v>
      </c>
      <c r="C217" t="s">
        <v>100</v>
      </c>
    </row>
    <row r="218" spans="1:3">
      <c r="A218" t="s">
        <v>519</v>
      </c>
      <c r="B218" t="s">
        <v>520</v>
      </c>
      <c r="C218" t="s">
        <v>86</v>
      </c>
    </row>
    <row r="219" spans="1:3">
      <c r="A219" t="s">
        <v>521</v>
      </c>
      <c r="B219" t="s">
        <v>522</v>
      </c>
      <c r="C219" t="s">
        <v>86</v>
      </c>
    </row>
    <row r="220" spans="1:3">
      <c r="A220" t="s">
        <v>523</v>
      </c>
      <c r="B220" t="s">
        <v>524</v>
      </c>
      <c r="C220" t="s">
        <v>89</v>
      </c>
    </row>
    <row r="221" spans="1:3">
      <c r="A221" t="s">
        <v>525</v>
      </c>
      <c r="B221" t="s">
        <v>526</v>
      </c>
      <c r="C221" t="s">
        <v>89</v>
      </c>
    </row>
    <row r="222" spans="1:3">
      <c r="A222" t="s">
        <v>527</v>
      </c>
      <c r="B222" t="s">
        <v>528</v>
      </c>
      <c r="C222" t="s">
        <v>100</v>
      </c>
    </row>
    <row r="223" spans="1:3">
      <c r="A223" t="s">
        <v>529</v>
      </c>
      <c r="B223" t="s">
        <v>530</v>
      </c>
      <c r="C223" t="s">
        <v>86</v>
      </c>
    </row>
    <row r="224" spans="1:3">
      <c r="A224" t="s">
        <v>531</v>
      </c>
      <c r="B224" t="s">
        <v>532</v>
      </c>
      <c r="C224" t="s">
        <v>86</v>
      </c>
    </row>
    <row r="225" spans="1:3">
      <c r="A225" t="s">
        <v>533</v>
      </c>
      <c r="B225" t="s">
        <v>534</v>
      </c>
      <c r="C225" t="s">
        <v>86</v>
      </c>
    </row>
    <row r="226" spans="1:3">
      <c r="A226" t="s">
        <v>535</v>
      </c>
      <c r="B226" t="s">
        <v>536</v>
      </c>
      <c r="C226" t="s">
        <v>89</v>
      </c>
    </row>
    <row r="227" spans="1:3">
      <c r="A227" t="s">
        <v>537</v>
      </c>
      <c r="B227" t="s">
        <v>538</v>
      </c>
      <c r="C227" t="s">
        <v>86</v>
      </c>
    </row>
    <row r="228" spans="1:3">
      <c r="A228" t="s">
        <v>539</v>
      </c>
      <c r="B228" t="s">
        <v>540</v>
      </c>
      <c r="C228" t="s">
        <v>86</v>
      </c>
    </row>
    <row r="229" spans="1:3">
      <c r="A229" t="s">
        <v>541</v>
      </c>
      <c r="B229" t="s">
        <v>542</v>
      </c>
      <c r="C229" t="s">
        <v>100</v>
      </c>
    </row>
    <row r="230" spans="1:3">
      <c r="A230" t="s">
        <v>543</v>
      </c>
      <c r="B230" t="s">
        <v>544</v>
      </c>
      <c r="C230" t="s">
        <v>89</v>
      </c>
    </row>
    <row r="231" spans="1:3">
      <c r="A231" t="s">
        <v>545</v>
      </c>
      <c r="B231" t="s">
        <v>546</v>
      </c>
      <c r="C231" t="s">
        <v>100</v>
      </c>
    </row>
    <row r="232" spans="1:3">
      <c r="A232" t="s">
        <v>547</v>
      </c>
      <c r="B232" t="s">
        <v>548</v>
      </c>
      <c r="C232" t="s">
        <v>89</v>
      </c>
    </row>
    <row r="233" spans="1:3">
      <c r="A233" t="s">
        <v>549</v>
      </c>
      <c r="B233" t="s">
        <v>550</v>
      </c>
      <c r="C233" t="s">
        <v>89</v>
      </c>
    </row>
    <row r="234" spans="1:3">
      <c r="A234" t="s">
        <v>551</v>
      </c>
      <c r="B234" t="s">
        <v>552</v>
      </c>
      <c r="C234" t="s">
        <v>86</v>
      </c>
    </row>
    <row r="235" spans="1:3">
      <c r="A235" t="s">
        <v>553</v>
      </c>
      <c r="B235" t="s">
        <v>554</v>
      </c>
      <c r="C235" t="s">
        <v>86</v>
      </c>
    </row>
    <row r="236" spans="1:3">
      <c r="A236" t="s">
        <v>555</v>
      </c>
      <c r="B236" t="s">
        <v>556</v>
      </c>
      <c r="C236" t="s">
        <v>89</v>
      </c>
    </row>
    <row r="237" spans="1:3">
      <c r="A237" t="s">
        <v>557</v>
      </c>
      <c r="B237" t="s">
        <v>558</v>
      </c>
      <c r="C237" t="s">
        <v>89</v>
      </c>
    </row>
    <row r="238" spans="1:3">
      <c r="A238" t="s">
        <v>559</v>
      </c>
      <c r="B238" t="s">
        <v>560</v>
      </c>
      <c r="C238" t="s">
        <v>100</v>
      </c>
    </row>
    <row r="239" spans="1:3">
      <c r="A239" t="s">
        <v>561</v>
      </c>
      <c r="B239" t="s">
        <v>562</v>
      </c>
      <c r="C239" t="s">
        <v>89</v>
      </c>
    </row>
    <row r="240" spans="1:3">
      <c r="A240" t="s">
        <v>563</v>
      </c>
      <c r="B240" t="s">
        <v>564</v>
      </c>
      <c r="C240" t="s">
        <v>86</v>
      </c>
    </row>
    <row r="241" spans="1:3">
      <c r="A241" t="s">
        <v>565</v>
      </c>
      <c r="B241" t="s">
        <v>566</v>
      </c>
      <c r="C241" t="s">
        <v>86</v>
      </c>
    </row>
    <row r="242" spans="1:3">
      <c r="A242" t="s">
        <v>567</v>
      </c>
      <c r="B242" t="s">
        <v>568</v>
      </c>
      <c r="C242" t="s">
        <v>89</v>
      </c>
    </row>
    <row r="243" spans="1:3">
      <c r="A243" t="s">
        <v>569</v>
      </c>
      <c r="B243" t="s">
        <v>570</v>
      </c>
      <c r="C243" t="s">
        <v>86</v>
      </c>
    </row>
    <row r="244" spans="1:3">
      <c r="A244" t="s">
        <v>571</v>
      </c>
      <c r="B244" t="s">
        <v>572</v>
      </c>
      <c r="C244" t="s">
        <v>86</v>
      </c>
    </row>
    <row r="245" spans="1:3">
      <c r="A245" t="s">
        <v>573</v>
      </c>
      <c r="B245" t="s">
        <v>574</v>
      </c>
      <c r="C245" t="s">
        <v>100</v>
      </c>
    </row>
    <row r="246" spans="1:3">
      <c r="A246" t="s">
        <v>575</v>
      </c>
      <c r="B246" t="s">
        <v>576</v>
      </c>
      <c r="C246" t="s">
        <v>89</v>
      </c>
    </row>
    <row r="247" spans="1:3">
      <c r="A247" t="s">
        <v>577</v>
      </c>
      <c r="B247" t="s">
        <v>578</v>
      </c>
      <c r="C247" t="s">
        <v>86</v>
      </c>
    </row>
    <row r="248" spans="1:3">
      <c r="A248" t="s">
        <v>579</v>
      </c>
      <c r="B248" t="s">
        <v>580</v>
      </c>
      <c r="C248" t="s">
        <v>89</v>
      </c>
    </row>
    <row r="249" spans="1:3">
      <c r="A249" t="s">
        <v>581</v>
      </c>
      <c r="B249" t="s">
        <v>582</v>
      </c>
      <c r="C249" t="s">
        <v>89</v>
      </c>
    </row>
    <row r="250" spans="1:3">
      <c r="A250" t="s">
        <v>583</v>
      </c>
      <c r="B250" t="s">
        <v>584</v>
      </c>
      <c r="C250" t="s">
        <v>86</v>
      </c>
    </row>
    <row r="251" spans="1:3">
      <c r="A251" t="s">
        <v>585</v>
      </c>
      <c r="B251" t="s">
        <v>586</v>
      </c>
      <c r="C251" t="s">
        <v>89</v>
      </c>
    </row>
    <row r="252" spans="1:3">
      <c r="A252" t="s">
        <v>587</v>
      </c>
      <c r="B252" t="s">
        <v>588</v>
      </c>
      <c r="C252" t="s">
        <v>89</v>
      </c>
    </row>
    <row r="253" spans="1:3">
      <c r="A253" t="s">
        <v>589</v>
      </c>
      <c r="B253" t="s">
        <v>590</v>
      </c>
      <c r="C253" t="s">
        <v>86</v>
      </c>
    </row>
    <row r="254" spans="1:3">
      <c r="A254" t="s">
        <v>591</v>
      </c>
      <c r="B254" t="s">
        <v>592</v>
      </c>
      <c r="C254" t="s">
        <v>89</v>
      </c>
    </row>
    <row r="255" spans="1:3">
      <c r="A255" t="s">
        <v>593</v>
      </c>
      <c r="B255" t="s">
        <v>594</v>
      </c>
      <c r="C255" t="s">
        <v>89</v>
      </c>
    </row>
    <row r="256" spans="1:3">
      <c r="A256" t="s">
        <v>595</v>
      </c>
      <c r="B256" t="s">
        <v>596</v>
      </c>
      <c r="C256" t="s">
        <v>100</v>
      </c>
    </row>
    <row r="257" spans="1:3">
      <c r="A257" t="s">
        <v>597</v>
      </c>
      <c r="B257" t="s">
        <v>598</v>
      </c>
      <c r="C257" t="s">
        <v>100</v>
      </c>
    </row>
    <row r="258" spans="1:3">
      <c r="A258" t="s">
        <v>599</v>
      </c>
      <c r="B258" t="s">
        <v>600</v>
      </c>
      <c r="C258" t="s">
        <v>89</v>
      </c>
    </row>
    <row r="259" spans="1:3">
      <c r="A259" t="s">
        <v>601</v>
      </c>
      <c r="B259" t="s">
        <v>602</v>
      </c>
      <c r="C259" t="s">
        <v>89</v>
      </c>
    </row>
    <row r="260" spans="1:3">
      <c r="A260" t="s">
        <v>603</v>
      </c>
      <c r="B260" t="s">
        <v>604</v>
      </c>
      <c r="C260" t="s">
        <v>89</v>
      </c>
    </row>
    <row r="261" spans="1:3">
      <c r="A261" t="s">
        <v>605</v>
      </c>
      <c r="B261" t="s">
        <v>606</v>
      </c>
      <c r="C261" t="s">
        <v>100</v>
      </c>
    </row>
    <row r="262" spans="1:3">
      <c r="A262" t="s">
        <v>607</v>
      </c>
      <c r="B262" t="s">
        <v>608</v>
      </c>
      <c r="C262" t="s">
        <v>100</v>
      </c>
    </row>
    <row r="263" spans="1:3">
      <c r="A263" t="s">
        <v>609</v>
      </c>
      <c r="B263" t="s">
        <v>610</v>
      </c>
      <c r="C263" t="s">
        <v>100</v>
      </c>
    </row>
    <row r="264" spans="1:3">
      <c r="A264" t="s">
        <v>611</v>
      </c>
      <c r="B264" t="s">
        <v>612</v>
      </c>
      <c r="C264" t="s">
        <v>89</v>
      </c>
    </row>
    <row r="265" spans="1:3">
      <c r="A265" t="s">
        <v>613</v>
      </c>
      <c r="B265" t="s">
        <v>614</v>
      </c>
      <c r="C265" t="s">
        <v>89</v>
      </c>
    </row>
    <row r="266" spans="1:3">
      <c r="A266" t="s">
        <v>615</v>
      </c>
      <c r="B266" t="s">
        <v>616</v>
      </c>
      <c r="C266" t="s">
        <v>100</v>
      </c>
    </row>
    <row r="267" spans="1:3">
      <c r="A267" t="s">
        <v>617</v>
      </c>
      <c r="B267" t="s">
        <v>618</v>
      </c>
      <c r="C267" t="s">
        <v>86</v>
      </c>
    </row>
    <row r="268" spans="1:3">
      <c r="A268" t="s">
        <v>619</v>
      </c>
      <c r="B268" t="s">
        <v>620</v>
      </c>
      <c r="C268" t="s">
        <v>86</v>
      </c>
    </row>
    <row r="269" spans="1:3">
      <c r="A269" t="s">
        <v>621</v>
      </c>
      <c r="B269" t="s">
        <v>622</v>
      </c>
      <c r="C269" t="s">
        <v>100</v>
      </c>
    </row>
    <row r="270" spans="1:3">
      <c r="A270" t="s">
        <v>623</v>
      </c>
      <c r="B270" t="s">
        <v>624</v>
      </c>
      <c r="C270" t="s">
        <v>86</v>
      </c>
    </row>
    <row r="271" spans="1:3">
      <c r="A271" t="s">
        <v>625</v>
      </c>
      <c r="B271" t="s">
        <v>626</v>
      </c>
      <c r="C271" t="s">
        <v>89</v>
      </c>
    </row>
    <row r="272" spans="1:3">
      <c r="A272" t="s">
        <v>627</v>
      </c>
      <c r="B272" t="s">
        <v>628</v>
      </c>
      <c r="C272" t="s">
        <v>100</v>
      </c>
    </row>
    <row r="273" spans="1:3">
      <c r="A273" t="s">
        <v>629</v>
      </c>
      <c r="B273" t="s">
        <v>630</v>
      </c>
      <c r="C273" t="s">
        <v>89</v>
      </c>
    </row>
    <row r="274" spans="1:3">
      <c r="A274" t="s">
        <v>631</v>
      </c>
      <c r="B274" t="s">
        <v>632</v>
      </c>
      <c r="C274" t="s">
        <v>86</v>
      </c>
    </row>
    <row r="275" spans="1:3">
      <c r="A275" t="s">
        <v>633</v>
      </c>
      <c r="B275" t="s">
        <v>634</v>
      </c>
      <c r="C275" t="s">
        <v>100</v>
      </c>
    </row>
    <row r="276" spans="1:3">
      <c r="A276" t="s">
        <v>635</v>
      </c>
      <c r="B276" t="s">
        <v>636</v>
      </c>
      <c r="C276" t="s">
        <v>89</v>
      </c>
    </row>
    <row r="277" spans="1:3">
      <c r="A277" t="s">
        <v>637</v>
      </c>
      <c r="B277" t="s">
        <v>638</v>
      </c>
      <c r="C277" t="s">
        <v>89</v>
      </c>
    </row>
    <row r="278" spans="1:3">
      <c r="A278" t="s">
        <v>639</v>
      </c>
      <c r="B278" t="s">
        <v>640</v>
      </c>
      <c r="C278" t="s">
        <v>89</v>
      </c>
    </row>
    <row r="279" spans="1:3">
      <c r="A279" t="s">
        <v>641</v>
      </c>
      <c r="B279" t="s">
        <v>642</v>
      </c>
      <c r="C279" t="s">
        <v>86</v>
      </c>
    </row>
    <row r="280" spans="1:3">
      <c r="A280" t="s">
        <v>643</v>
      </c>
      <c r="B280" t="s">
        <v>644</v>
      </c>
      <c r="C280" t="s">
        <v>89</v>
      </c>
    </row>
    <row r="281" spans="1:3">
      <c r="A281" t="s">
        <v>645</v>
      </c>
      <c r="B281" t="s">
        <v>646</v>
      </c>
      <c r="C281" t="s">
        <v>86</v>
      </c>
    </row>
    <row r="282" spans="1:3">
      <c r="A282" t="s">
        <v>647</v>
      </c>
      <c r="B282" t="s">
        <v>648</v>
      </c>
      <c r="C282" t="s">
        <v>86</v>
      </c>
    </row>
    <row r="283" spans="1:3">
      <c r="A283" t="s">
        <v>649</v>
      </c>
      <c r="B283" t="s">
        <v>650</v>
      </c>
      <c r="C283" t="s">
        <v>89</v>
      </c>
    </row>
    <row r="284" spans="1:3">
      <c r="A284" t="s">
        <v>651</v>
      </c>
      <c r="B284" t="s">
        <v>652</v>
      </c>
      <c r="C284" t="s">
        <v>86</v>
      </c>
    </row>
    <row r="285" spans="1:3">
      <c r="A285" t="s">
        <v>653</v>
      </c>
      <c r="B285" t="s">
        <v>654</v>
      </c>
      <c r="C285" t="s">
        <v>89</v>
      </c>
    </row>
    <row r="286" spans="1:3">
      <c r="A286" t="s">
        <v>655</v>
      </c>
      <c r="B286" t="s">
        <v>656</v>
      </c>
      <c r="C286" t="s">
        <v>89</v>
      </c>
    </row>
    <row r="287" spans="1:3">
      <c r="A287" t="s">
        <v>657</v>
      </c>
      <c r="B287" t="s">
        <v>658</v>
      </c>
      <c r="C287" t="s">
        <v>100</v>
      </c>
    </row>
    <row r="288" spans="1:3">
      <c r="A288" t="s">
        <v>659</v>
      </c>
      <c r="B288" t="s">
        <v>660</v>
      </c>
      <c r="C288" t="s">
        <v>100</v>
      </c>
    </row>
    <row r="289" spans="1:3">
      <c r="A289" t="s">
        <v>661</v>
      </c>
      <c r="B289" t="s">
        <v>662</v>
      </c>
      <c r="C289" t="s">
        <v>89</v>
      </c>
    </row>
    <row r="290" spans="1:3">
      <c r="A290" t="s">
        <v>663</v>
      </c>
      <c r="B290" t="s">
        <v>664</v>
      </c>
      <c r="C290" t="s">
        <v>89</v>
      </c>
    </row>
    <row r="291" spans="1:3">
      <c r="A291" t="s">
        <v>665</v>
      </c>
      <c r="B291" t="s">
        <v>666</v>
      </c>
      <c r="C291" t="s">
        <v>89</v>
      </c>
    </row>
    <row r="292" spans="1:3">
      <c r="A292" t="s">
        <v>667</v>
      </c>
      <c r="B292" t="s">
        <v>668</v>
      </c>
      <c r="C292" t="s">
        <v>89</v>
      </c>
    </row>
    <row r="293" spans="1:3">
      <c r="A293" t="s">
        <v>669</v>
      </c>
      <c r="B293" t="s">
        <v>670</v>
      </c>
      <c r="C293" t="s">
        <v>86</v>
      </c>
    </row>
    <row r="294" spans="1:3">
      <c r="A294" t="s">
        <v>671</v>
      </c>
      <c r="B294" t="s">
        <v>672</v>
      </c>
      <c r="C294" t="s">
        <v>86</v>
      </c>
    </row>
    <row r="295" spans="1:3">
      <c r="A295" t="s">
        <v>673</v>
      </c>
      <c r="B295" t="s">
        <v>674</v>
      </c>
      <c r="C295" t="s">
        <v>89</v>
      </c>
    </row>
    <row r="296" spans="1:3">
      <c r="A296" t="s">
        <v>675</v>
      </c>
      <c r="B296" t="s">
        <v>676</v>
      </c>
      <c r="C296" t="s">
        <v>86</v>
      </c>
    </row>
    <row r="297" spans="1:3">
      <c r="A297" t="s">
        <v>677</v>
      </c>
      <c r="B297" t="s">
        <v>678</v>
      </c>
      <c r="C297" t="s">
        <v>86</v>
      </c>
    </row>
    <row r="298" spans="1:3">
      <c r="A298" t="s">
        <v>679</v>
      </c>
      <c r="B298" t="s">
        <v>680</v>
      </c>
      <c r="C298" t="s">
        <v>89</v>
      </c>
    </row>
    <row r="299" spans="1:3">
      <c r="A299" t="s">
        <v>681</v>
      </c>
      <c r="B299" t="s">
        <v>682</v>
      </c>
      <c r="C299" t="s">
        <v>89</v>
      </c>
    </row>
    <row r="300" spans="1:3">
      <c r="A300" t="s">
        <v>683</v>
      </c>
      <c r="B300" t="s">
        <v>684</v>
      </c>
      <c r="C300" t="s">
        <v>89</v>
      </c>
    </row>
    <row r="301" spans="1:3">
      <c r="A301" t="s">
        <v>685</v>
      </c>
      <c r="B301" t="s">
        <v>686</v>
      </c>
      <c r="C301" t="s">
        <v>100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93525-C8DD-4FE8-A5D4-89A4FEC8FEEC}">
  <dimension ref="A3:B27"/>
  <sheetViews>
    <sheetView workbookViewId="0">
      <selection activeCell="K20" sqref="K20"/>
    </sheetView>
  </sheetViews>
  <sheetFormatPr defaultRowHeight="13.8"/>
  <cols>
    <col min="1" max="1" width="11" bestFit="1" customWidth="1"/>
    <col min="2" max="2" width="12.3984375" bestFit="1" customWidth="1"/>
  </cols>
  <sheetData>
    <row r="3" spans="1:2">
      <c r="B3" t="s">
        <v>1925</v>
      </c>
    </row>
    <row r="4" spans="1:2">
      <c r="A4" s="15" t="s">
        <v>1922</v>
      </c>
      <c r="B4" s="13"/>
    </row>
    <row r="5" spans="1:2">
      <c r="A5" s="15" t="s">
        <v>1923</v>
      </c>
      <c r="B5" s="13">
        <v>339481.85</v>
      </c>
    </row>
    <row r="6" spans="1:2">
      <c r="A6" s="16" t="s">
        <v>1926</v>
      </c>
      <c r="B6" s="13">
        <v>22206.550000000003</v>
      </c>
    </row>
    <row r="7" spans="1:2">
      <c r="A7" s="16" t="s">
        <v>1927</v>
      </c>
      <c r="B7" s="13">
        <v>21471.1</v>
      </c>
    </row>
    <row r="8" spans="1:2">
      <c r="A8" s="16" t="s">
        <v>1928</v>
      </c>
      <c r="B8" s="13">
        <v>36290.299999999988</v>
      </c>
    </row>
    <row r="9" spans="1:2">
      <c r="A9" s="16" t="s">
        <v>1929</v>
      </c>
      <c r="B9" s="13">
        <v>40434.799999999996</v>
      </c>
    </row>
    <row r="10" spans="1:2">
      <c r="A10" s="16" t="s">
        <v>1930</v>
      </c>
      <c r="B10" s="13">
        <v>25769.8</v>
      </c>
    </row>
    <row r="11" spans="1:2">
      <c r="A11" s="16" t="s">
        <v>1931</v>
      </c>
      <c r="B11" s="13">
        <v>22615</v>
      </c>
    </row>
    <row r="12" spans="1:2">
      <c r="A12" s="16" t="s">
        <v>1932</v>
      </c>
      <c r="B12" s="13">
        <v>31152.799999999999</v>
      </c>
    </row>
    <row r="13" spans="1:2">
      <c r="A13" s="16" t="s">
        <v>1933</v>
      </c>
      <c r="B13" s="13">
        <v>24810.899999999998</v>
      </c>
    </row>
    <row r="14" spans="1:2">
      <c r="A14" s="16" t="s">
        <v>1934</v>
      </c>
      <c r="B14" s="13">
        <v>21480.25</v>
      </c>
    </row>
    <row r="15" spans="1:2">
      <c r="A15" s="16" t="s">
        <v>1935</v>
      </c>
      <c r="B15" s="13">
        <v>47335.94999999999</v>
      </c>
    </row>
    <row r="16" spans="1:2">
      <c r="A16" s="16" t="s">
        <v>1936</v>
      </c>
      <c r="B16" s="13">
        <v>26374.000000000004</v>
      </c>
    </row>
    <row r="17" spans="1:2">
      <c r="A17" s="16" t="s">
        <v>1937</v>
      </c>
      <c r="B17" s="13">
        <v>19540.400000000001</v>
      </c>
    </row>
    <row r="18" spans="1:2">
      <c r="A18" s="15" t="s">
        <v>1924</v>
      </c>
      <c r="B18" s="13">
        <v>229376.3</v>
      </c>
    </row>
    <row r="19" spans="1:2">
      <c r="A19" s="16" t="s">
        <v>1926</v>
      </c>
      <c r="B19" s="13">
        <v>25327.55</v>
      </c>
    </row>
    <row r="20" spans="1:2">
      <c r="A20" s="16" t="s">
        <v>1927</v>
      </c>
      <c r="B20" s="13">
        <v>26102.95</v>
      </c>
    </row>
    <row r="21" spans="1:2">
      <c r="A21" s="16" t="s">
        <v>1928</v>
      </c>
      <c r="B21" s="13">
        <v>33149.949999999997</v>
      </c>
    </row>
    <row r="22" spans="1:2">
      <c r="A22" s="16" t="s">
        <v>1929</v>
      </c>
      <c r="B22" s="13">
        <v>32468.899999999994</v>
      </c>
    </row>
    <row r="23" spans="1:2">
      <c r="A23" s="16" t="s">
        <v>1930</v>
      </c>
      <c r="B23" s="13">
        <v>48413.899999999994</v>
      </c>
    </row>
    <row r="24" spans="1:2">
      <c r="A24" s="16" t="s">
        <v>1931</v>
      </c>
      <c r="B24" s="13">
        <v>24034.65</v>
      </c>
    </row>
    <row r="25" spans="1:2">
      <c r="A25" s="16" t="s">
        <v>1932</v>
      </c>
      <c r="B25" s="13">
        <v>17846</v>
      </c>
    </row>
    <row r="26" spans="1:2">
      <c r="A26" s="16" t="s">
        <v>1933</v>
      </c>
      <c r="B26" s="13">
        <v>22032.399999999998</v>
      </c>
    </row>
    <row r="27" spans="1:2">
      <c r="A27" s="15" t="s">
        <v>1921</v>
      </c>
      <c r="B27" s="13">
        <v>568858.15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61AD9-44C1-4AD3-8326-AD447CC51699}">
  <dimension ref="A3:B9"/>
  <sheetViews>
    <sheetView workbookViewId="0">
      <selection activeCell="C1" sqref="C1"/>
    </sheetView>
  </sheetViews>
  <sheetFormatPr defaultRowHeight="13.8"/>
  <cols>
    <col min="1" max="1" width="13.09765625" bestFit="1" customWidth="1"/>
    <col min="2" max="2" width="12.3984375" bestFit="1" customWidth="1"/>
  </cols>
  <sheetData>
    <row r="3" spans="1:2">
      <c r="A3" s="17" t="s">
        <v>1938</v>
      </c>
      <c r="B3" t="s">
        <v>1925</v>
      </c>
    </row>
    <row r="4" spans="1:2">
      <c r="A4" s="15" t="s">
        <v>705</v>
      </c>
      <c r="B4" s="13">
        <v>150122.30000000002</v>
      </c>
    </row>
    <row r="5" spans="1:2">
      <c r="A5" s="15" t="s">
        <v>708</v>
      </c>
      <c r="B5" s="13">
        <v>118440.25</v>
      </c>
    </row>
    <row r="6" spans="1:2">
      <c r="A6" s="15" t="s">
        <v>697</v>
      </c>
      <c r="B6" s="13">
        <v>115811.39999999998</v>
      </c>
    </row>
    <row r="7" spans="1:2">
      <c r="A7" s="15" t="s">
        <v>715</v>
      </c>
      <c r="B7" s="13">
        <v>100391.95</v>
      </c>
    </row>
    <row r="8" spans="1:2">
      <c r="A8" s="15" t="s">
        <v>701</v>
      </c>
      <c r="B8" s="13">
        <v>84092.249999999956</v>
      </c>
    </row>
    <row r="9" spans="1:2">
      <c r="A9" s="15" t="s">
        <v>1921</v>
      </c>
      <c r="B9" s="13">
        <v>568858.15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8FD5-D833-4836-97B6-2014FA5684EA}">
  <dimension ref="A3:B8"/>
  <sheetViews>
    <sheetView workbookViewId="0">
      <selection activeCell="L8" sqref="L8"/>
    </sheetView>
  </sheetViews>
  <sheetFormatPr defaultRowHeight="13.8"/>
  <cols>
    <col min="1" max="1" width="13.09765625" bestFit="1" customWidth="1"/>
    <col min="2" max="2" width="12.3984375" bestFit="1" customWidth="1"/>
  </cols>
  <sheetData>
    <row r="3" spans="1:2">
      <c r="A3" s="17" t="s">
        <v>1938</v>
      </c>
      <c r="B3" t="s">
        <v>1925</v>
      </c>
    </row>
    <row r="4" spans="1:2">
      <c r="A4" s="15" t="s">
        <v>47</v>
      </c>
      <c r="B4" s="13">
        <v>305560.2</v>
      </c>
    </row>
    <row r="5" spans="1:2">
      <c r="A5" s="15" t="s">
        <v>60</v>
      </c>
      <c r="B5" s="13">
        <v>204800.75</v>
      </c>
    </row>
    <row r="6" spans="1:2">
      <c r="A6" s="15" t="s">
        <v>67</v>
      </c>
      <c r="B6" s="13">
        <v>44533.049999999996</v>
      </c>
    </row>
    <row r="7" spans="1:2">
      <c r="A7" s="15" t="s">
        <v>76</v>
      </c>
      <c r="B7" s="13">
        <v>13964.149999999994</v>
      </c>
    </row>
    <row r="8" spans="1:2">
      <c r="A8" s="15" t="s">
        <v>1921</v>
      </c>
      <c r="B8" s="13">
        <v>568858.14999999991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0297D-1902-4935-BF44-F29BFB968592}">
  <dimension ref="A3:B9"/>
  <sheetViews>
    <sheetView workbookViewId="0">
      <selection activeCell="I25" sqref="I25"/>
    </sheetView>
  </sheetViews>
  <sheetFormatPr defaultRowHeight="13.8"/>
  <cols>
    <col min="1" max="1" width="13.09765625" bestFit="1" customWidth="1"/>
    <col min="2" max="2" width="12.3984375" bestFit="1" customWidth="1"/>
  </cols>
  <sheetData>
    <row r="3" spans="1:2">
      <c r="A3" s="17" t="s">
        <v>1938</v>
      </c>
      <c r="B3" t="s">
        <v>1925</v>
      </c>
    </row>
    <row r="4" spans="1:2">
      <c r="A4" s="15" t="s">
        <v>46</v>
      </c>
      <c r="B4" s="13">
        <v>183590</v>
      </c>
    </row>
    <row r="5" spans="1:2">
      <c r="A5" s="15" t="s">
        <v>59</v>
      </c>
      <c r="B5" s="13">
        <v>117018</v>
      </c>
    </row>
    <row r="6" spans="1:2">
      <c r="A6" s="15" t="s">
        <v>49</v>
      </c>
      <c r="B6" s="13">
        <v>58590</v>
      </c>
    </row>
    <row r="7" spans="1:2">
      <c r="A7" s="15" t="s">
        <v>62</v>
      </c>
      <c r="B7" s="13">
        <v>47277</v>
      </c>
    </row>
    <row r="8" spans="1:2">
      <c r="A8" s="15" t="s">
        <v>64</v>
      </c>
      <c r="B8" s="13">
        <v>40505.75</v>
      </c>
    </row>
    <row r="9" spans="1:2">
      <c r="A9" s="15" t="s">
        <v>1921</v>
      </c>
      <c r="B9" s="13">
        <v>446980.75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FE73-98E3-4DA9-A173-49EB5B2D7429}">
  <dimension ref="A3:B7"/>
  <sheetViews>
    <sheetView workbookViewId="0">
      <selection activeCell="I29" sqref="I29"/>
    </sheetView>
  </sheetViews>
  <sheetFormatPr defaultRowHeight="13.8"/>
  <cols>
    <col min="1" max="1" width="13.19921875" bestFit="1" customWidth="1"/>
    <col min="2" max="2" width="12.3984375" bestFit="1" customWidth="1"/>
  </cols>
  <sheetData>
    <row r="3" spans="1:2">
      <c r="A3" s="17" t="s">
        <v>1938</v>
      </c>
      <c r="B3" t="s">
        <v>1925</v>
      </c>
    </row>
    <row r="4" spans="1:2">
      <c r="A4" s="15" t="s">
        <v>89</v>
      </c>
      <c r="B4" s="13">
        <v>268511.79999999993</v>
      </c>
    </row>
    <row r="5" spans="1:2">
      <c r="A5" s="15" t="s">
        <v>86</v>
      </c>
      <c r="B5" s="13">
        <v>164755.64999999997</v>
      </c>
    </row>
    <row r="6" spans="1:2">
      <c r="A6" s="15" t="s">
        <v>100</v>
      </c>
      <c r="B6" s="13">
        <v>135590.69999999995</v>
      </c>
    </row>
    <row r="7" spans="1:2">
      <c r="A7" s="15" t="s">
        <v>1921</v>
      </c>
      <c r="B7" s="13">
        <v>568858.14999999991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110A7-B946-473A-B291-2E1ED0E6C5B5}">
  <dimension ref="A3:B7"/>
  <sheetViews>
    <sheetView workbookViewId="0">
      <selection activeCell="L25" sqref="L25"/>
    </sheetView>
  </sheetViews>
  <sheetFormatPr defaultRowHeight="13.8"/>
  <cols>
    <col min="1" max="1" width="13.09765625" bestFit="1" customWidth="1"/>
    <col min="2" max="2" width="12.3984375" bestFit="1" customWidth="1"/>
  </cols>
  <sheetData>
    <row r="3" spans="1:2">
      <c r="A3" s="17" t="s">
        <v>1938</v>
      </c>
      <c r="B3" t="s">
        <v>1925</v>
      </c>
    </row>
    <row r="4" spans="1:2">
      <c r="A4" s="15" t="s">
        <v>702</v>
      </c>
      <c r="B4" s="13">
        <v>265764.19999999984</v>
      </c>
    </row>
    <row r="5" spans="1:2">
      <c r="A5" s="15" t="s">
        <v>698</v>
      </c>
      <c r="B5" s="13">
        <v>202401.90000000005</v>
      </c>
    </row>
    <row r="6" spans="1:2">
      <c r="A6" s="15" t="s">
        <v>706</v>
      </c>
      <c r="B6" s="13">
        <v>100692.05</v>
      </c>
    </row>
    <row r="7" spans="1:2">
      <c r="A7" s="15" t="s">
        <v>1921</v>
      </c>
      <c r="B7" s="13">
        <v>568858.14999999991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D8315-7D86-4797-AA90-4927CE41C4BB}">
  <dimension ref="A3:G9"/>
  <sheetViews>
    <sheetView workbookViewId="0">
      <selection activeCell="H27" sqref="H27"/>
    </sheetView>
  </sheetViews>
  <sheetFormatPr defaultRowHeight="13.8"/>
  <cols>
    <col min="1" max="1" width="13.09765625" bestFit="1" customWidth="1"/>
    <col min="2" max="2" width="20.5" customWidth="1"/>
  </cols>
  <sheetData>
    <row r="3" spans="1:7">
      <c r="A3" s="17" t="s">
        <v>1938</v>
      </c>
      <c r="B3" t="s">
        <v>1939</v>
      </c>
    </row>
    <row r="4" spans="1:7">
      <c r="A4" s="15" t="s">
        <v>699</v>
      </c>
      <c r="B4" s="13">
        <v>1108</v>
      </c>
    </row>
    <row r="5" spans="1:7">
      <c r="A5" s="15" t="s">
        <v>703</v>
      </c>
      <c r="B5" s="13">
        <v>92</v>
      </c>
    </row>
    <row r="6" spans="1:7">
      <c r="A6" s="15" t="s">
        <v>1921</v>
      </c>
      <c r="B6" s="13">
        <v>1200</v>
      </c>
    </row>
    <row r="8" spans="1:7">
      <c r="A8" s="15" t="s">
        <v>1940</v>
      </c>
      <c r="B8" s="19">
        <f>92/1200</f>
        <v>7.6666666666666661E-2</v>
      </c>
    </row>
    <row r="9" spans="1:7">
      <c r="G9" s="1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601D8-9150-4342-86CD-45B7EA9BE0D8}">
  <dimension ref="A3:B7"/>
  <sheetViews>
    <sheetView workbookViewId="0">
      <selection activeCell="H5" sqref="H5"/>
    </sheetView>
  </sheetViews>
  <sheetFormatPr defaultRowHeight="13.8"/>
  <cols>
    <col min="1" max="1" width="13.09765625" bestFit="1" customWidth="1"/>
    <col min="2" max="2" width="26.09765625" bestFit="1" customWidth="1"/>
  </cols>
  <sheetData>
    <row r="3" spans="1:2">
      <c r="A3" s="17" t="s">
        <v>1938</v>
      </c>
      <c r="B3" t="s">
        <v>1941</v>
      </c>
    </row>
    <row r="4" spans="1:2">
      <c r="A4" s="15" t="s">
        <v>706</v>
      </c>
      <c r="B4" s="20">
        <v>3.9897435897435898</v>
      </c>
    </row>
    <row r="5" spans="1:2">
      <c r="A5" s="15" t="s">
        <v>702</v>
      </c>
      <c r="B5" s="20">
        <v>4.0346020761245676</v>
      </c>
    </row>
    <row r="6" spans="1:2">
      <c r="A6" s="15" t="s">
        <v>698</v>
      </c>
      <c r="B6" s="20">
        <v>4.0281030444964872</v>
      </c>
    </row>
    <row r="7" spans="1:2">
      <c r="A7" s="15" t="s">
        <v>1921</v>
      </c>
      <c r="B7" s="20">
        <v>4.0250000000000004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3D7E1-802C-4E69-87B4-DD4DA45DE5CA}">
  <dimension ref="B3:H31"/>
  <sheetViews>
    <sheetView tabSelected="1" zoomScale="55" zoomScaleNormal="55" workbookViewId="0">
      <selection activeCell="P17" sqref="P17"/>
    </sheetView>
  </sheetViews>
  <sheetFormatPr defaultRowHeight="13.8"/>
  <cols>
    <col min="2" max="2" width="26.296875" customWidth="1"/>
    <col min="3" max="3" width="22.296875" bestFit="1" customWidth="1"/>
    <col min="4" max="4" width="33.8984375" customWidth="1"/>
    <col min="5" max="5" width="23.296875" bestFit="1" customWidth="1"/>
    <col min="6" max="6" width="26.296875" bestFit="1" customWidth="1"/>
    <col min="7" max="7" width="21.69921875" bestFit="1" customWidth="1"/>
    <col min="8" max="8" width="26.8984375" bestFit="1" customWidth="1"/>
  </cols>
  <sheetData>
    <row r="3" spans="2:8" ht="24.6">
      <c r="B3" s="31" t="s">
        <v>1944</v>
      </c>
      <c r="C3" s="32"/>
      <c r="D3" s="32"/>
    </row>
    <row r="5" spans="2:8">
      <c r="B5" s="28" t="s">
        <v>1942</v>
      </c>
      <c r="C5" s="29" t="s">
        <v>1943</v>
      </c>
      <c r="D5" s="28" t="s">
        <v>1945</v>
      </c>
      <c r="E5" s="28" t="s">
        <v>1920</v>
      </c>
      <c r="F5" s="28" t="s">
        <v>1940</v>
      </c>
      <c r="G5" s="28" t="s">
        <v>1946</v>
      </c>
    </row>
    <row r="6" spans="2:8">
      <c r="B6" s="22">
        <f>SUM(Sales_Data!Q:Q)</f>
        <v>568858.15000000014</v>
      </c>
      <c r="C6" s="23">
        <f>SUM(Sales_Data!S:S)</f>
        <v>216480.15</v>
      </c>
      <c r="D6" s="24">
        <f>COUNTA(Sales_Data!A:A)-1</f>
        <v>1200</v>
      </c>
      <c r="E6" s="25">
        <f>IFERROR(SUM(Sales_Data!S:S)/SUM(Sales_Data!Q:Q),0)</f>
        <v>0.38055207611950348</v>
      </c>
      <c r="F6" s="26">
        <f>COUNTIF(Sales_Data!I:I,"Yes")/(COUNTA(Sales_Data!A:A)-1)</f>
        <v>7.6666666666666661E-2</v>
      </c>
      <c r="G6" s="27">
        <f>AVERAGE(Sales_Data!J:J)</f>
        <v>4.0250000000000004</v>
      </c>
    </row>
    <row r="10" spans="2:8">
      <c r="B10" s="30" t="s">
        <v>1947</v>
      </c>
      <c r="C10" s="21"/>
      <c r="D10" s="21"/>
      <c r="E10" s="30" t="s">
        <v>1948</v>
      </c>
      <c r="F10" s="21"/>
      <c r="G10" s="21"/>
      <c r="H10" s="30" t="s">
        <v>1951</v>
      </c>
    </row>
    <row r="13" spans="2:8">
      <c r="B13" s="21"/>
      <c r="C13" s="21"/>
    </row>
    <row r="15" spans="2:8">
      <c r="B15" s="21"/>
      <c r="C15" s="21"/>
    </row>
    <row r="16" spans="2:8">
      <c r="B16" s="21"/>
      <c r="C16" s="21"/>
    </row>
    <row r="20" spans="2:8">
      <c r="B20" s="21"/>
      <c r="C20" s="21"/>
    </row>
    <row r="31" spans="2:8">
      <c r="B31" s="30" t="s">
        <v>1949</v>
      </c>
      <c r="E31" s="30" t="s">
        <v>1950</v>
      </c>
      <c r="H31" s="30" t="s">
        <v>1952</v>
      </c>
    </row>
  </sheetData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01"/>
  <sheetViews>
    <sheetView topLeftCell="A2" workbookViewId="0">
      <selection activeCell="H15" sqref="A2:T1201"/>
    </sheetView>
  </sheetViews>
  <sheetFormatPr defaultRowHeight="13.8"/>
  <cols>
    <col min="1" max="5" width="14" customWidth="1"/>
    <col min="6" max="6" width="16" customWidth="1"/>
    <col min="7" max="9" width="10" customWidth="1"/>
    <col min="10" max="10" width="15" customWidth="1"/>
    <col min="11" max="11" width="16" customWidth="1"/>
    <col min="12" max="12" width="14" bestFit="1" customWidth="1"/>
    <col min="13" max="13" width="13.09765625" bestFit="1" customWidth="1"/>
    <col min="14" max="14" width="9.3984375" bestFit="1" customWidth="1"/>
    <col min="15" max="15" width="8.8984375" bestFit="1" customWidth="1"/>
    <col min="16" max="16" width="18.09765625" bestFit="1" customWidth="1"/>
    <col min="17" max="17" width="7.8984375" bestFit="1" customWidth="1"/>
    <col min="18" max="18" width="4.8984375" bestFit="1" customWidth="1"/>
    <col min="19" max="19" width="6.8984375" bestFit="1" customWidth="1"/>
    <col min="20" max="20" width="12" style="14" bestFit="1" customWidth="1"/>
  </cols>
  <sheetData>
    <row r="1" spans="1:20">
      <c r="A1" s="7" t="s">
        <v>687</v>
      </c>
      <c r="B1" s="7" t="s">
        <v>688</v>
      </c>
      <c r="C1" s="7" t="s">
        <v>81</v>
      </c>
      <c r="D1" s="7" t="s">
        <v>40</v>
      </c>
      <c r="E1" s="7" t="s">
        <v>689</v>
      </c>
      <c r="F1" s="7" t="s">
        <v>690</v>
      </c>
      <c r="G1" s="7" t="s">
        <v>691</v>
      </c>
      <c r="H1" s="7" t="s">
        <v>692</v>
      </c>
      <c r="I1" s="7" t="s">
        <v>693</v>
      </c>
      <c r="J1" s="7" t="s">
        <v>694</v>
      </c>
      <c r="K1" s="7" t="s">
        <v>695</v>
      </c>
      <c r="L1" t="s">
        <v>41</v>
      </c>
      <c r="M1" t="s">
        <v>42</v>
      </c>
      <c r="N1" t="s">
        <v>43</v>
      </c>
      <c r="O1" t="s">
        <v>44</v>
      </c>
      <c r="P1" t="s">
        <v>83</v>
      </c>
      <c r="Q1" t="s">
        <v>1917</v>
      </c>
      <c r="R1" t="s">
        <v>1918</v>
      </c>
      <c r="S1" t="s">
        <v>1919</v>
      </c>
      <c r="T1" s="14" t="s">
        <v>1920</v>
      </c>
    </row>
    <row r="2" spans="1:20">
      <c r="A2" t="s">
        <v>696</v>
      </c>
      <c r="B2" s="8">
        <v>45810</v>
      </c>
      <c r="C2" t="s">
        <v>645</v>
      </c>
      <c r="D2" t="s">
        <v>48</v>
      </c>
      <c r="E2" t="s">
        <v>697</v>
      </c>
      <c r="F2" t="s">
        <v>698</v>
      </c>
      <c r="G2">
        <v>1</v>
      </c>
      <c r="H2" s="9">
        <v>0</v>
      </c>
      <c r="I2" t="s">
        <v>699</v>
      </c>
      <c r="J2">
        <v>5</v>
      </c>
      <c r="K2">
        <v>1</v>
      </c>
      <c r="L2" t="str">
        <f>VLOOKUP(D2,Products!A:E,2,FALSE)</f>
        <v>Monitor</v>
      </c>
      <c r="M2" t="str">
        <f>VLOOKUP(D2,Products!A:E,3,FALSE)</f>
        <v>Technology</v>
      </c>
      <c r="N2">
        <f>VLOOKUP(D2,Products!A:E,4,FALSE)</f>
        <v>310</v>
      </c>
      <c r="O2" s="13">
        <f>VLOOKUP(D2,Products!A:E,5,FALSE)</f>
        <v>190</v>
      </c>
      <c r="P2" s="13" t="str">
        <f>VLOOKUP(C2,Customers!A:C,3,FALSE)</f>
        <v>Corporate</v>
      </c>
      <c r="Q2" s="13">
        <f t="shared" ref="Q2:Q65" si="0">G2*N2*(1-H2)</f>
        <v>310</v>
      </c>
      <c r="R2" s="13">
        <f t="shared" ref="R2:R65" si="1">G2*O2</f>
        <v>190</v>
      </c>
      <c r="S2" s="13">
        <f t="shared" ref="S2:S65" si="2">Q2-R2</f>
        <v>120</v>
      </c>
      <c r="T2" s="14">
        <f t="shared" ref="T2:T65" si="3">IFERROR(S2/Q2,0)</f>
        <v>0.38709677419354838</v>
      </c>
    </row>
    <row r="3" spans="1:20">
      <c r="A3" t="s">
        <v>700</v>
      </c>
      <c r="B3" s="8">
        <v>46024</v>
      </c>
      <c r="C3" t="s">
        <v>301</v>
      </c>
      <c r="D3" t="s">
        <v>61</v>
      </c>
      <c r="E3" t="s">
        <v>701</v>
      </c>
      <c r="F3" t="s">
        <v>702</v>
      </c>
      <c r="G3">
        <v>3</v>
      </c>
      <c r="H3" s="9">
        <v>0.15</v>
      </c>
      <c r="I3" t="s">
        <v>703</v>
      </c>
      <c r="J3">
        <v>5</v>
      </c>
      <c r="K3">
        <v>4</v>
      </c>
      <c r="L3" t="str">
        <f>VLOOKUP(D3,Products!A:E,2,FALSE)</f>
        <v>Office Chair</v>
      </c>
      <c r="M3" t="str">
        <f>VLOOKUP(D3,Products!A:E,3,FALSE)</f>
        <v>Furniture</v>
      </c>
      <c r="N3">
        <f>VLOOKUP(D3,Products!A:E,4,FALSE)</f>
        <v>255</v>
      </c>
      <c r="O3" s="13">
        <f>VLOOKUP(D3,Products!A:E,5,FALSE)</f>
        <v>145</v>
      </c>
      <c r="P3" s="13" t="str">
        <f>VLOOKUP(C3,Customers!A:C,3,FALSE)</f>
        <v>Consumer</v>
      </c>
      <c r="Q3" s="13">
        <f t="shared" si="0"/>
        <v>650.25</v>
      </c>
      <c r="R3" s="13">
        <f t="shared" si="1"/>
        <v>435</v>
      </c>
      <c r="S3" s="13">
        <f t="shared" si="2"/>
        <v>215.25</v>
      </c>
      <c r="T3" s="14">
        <f t="shared" si="3"/>
        <v>0.33102652825836215</v>
      </c>
    </row>
    <row r="4" spans="1:20">
      <c r="A4" t="s">
        <v>704</v>
      </c>
      <c r="B4" s="8">
        <v>45839</v>
      </c>
      <c r="C4" t="s">
        <v>509</v>
      </c>
      <c r="D4" t="s">
        <v>45</v>
      </c>
      <c r="E4" t="s">
        <v>705</v>
      </c>
      <c r="F4" t="s">
        <v>706</v>
      </c>
      <c r="G4">
        <v>4</v>
      </c>
      <c r="H4" s="9">
        <v>0</v>
      </c>
      <c r="I4" t="s">
        <v>699</v>
      </c>
      <c r="J4">
        <v>5</v>
      </c>
      <c r="K4">
        <v>2</v>
      </c>
      <c r="L4" t="str">
        <f>VLOOKUP(D4,Products!A:E,2,FALSE)</f>
        <v>Laptop</v>
      </c>
      <c r="M4" t="str">
        <f>VLOOKUP(D4,Products!A:E,3,FALSE)</f>
        <v>Technology</v>
      </c>
      <c r="N4">
        <f>VLOOKUP(D4,Products!A:E,4,FALSE)</f>
        <v>1100</v>
      </c>
      <c r="O4" s="13">
        <f>VLOOKUP(D4,Products!A:E,5,FALSE)</f>
        <v>720</v>
      </c>
      <c r="P4" s="13" t="str">
        <f>VLOOKUP(C4,Customers!A:C,3,FALSE)</f>
        <v>Corporate</v>
      </c>
      <c r="Q4" s="13">
        <f t="shared" si="0"/>
        <v>4400</v>
      </c>
      <c r="R4" s="13">
        <f t="shared" si="1"/>
        <v>2880</v>
      </c>
      <c r="S4" s="13">
        <f t="shared" si="2"/>
        <v>1520</v>
      </c>
      <c r="T4" s="14">
        <f t="shared" si="3"/>
        <v>0.34545454545454546</v>
      </c>
    </row>
    <row r="5" spans="1:20">
      <c r="A5" t="s">
        <v>707</v>
      </c>
      <c r="B5" s="8">
        <v>45931</v>
      </c>
      <c r="C5" t="s">
        <v>249</v>
      </c>
      <c r="D5" t="s">
        <v>52</v>
      </c>
      <c r="E5" t="s">
        <v>708</v>
      </c>
      <c r="F5" t="s">
        <v>702</v>
      </c>
      <c r="G5">
        <v>2</v>
      </c>
      <c r="H5" s="9">
        <v>0</v>
      </c>
      <c r="I5" t="s">
        <v>703</v>
      </c>
      <c r="J5">
        <v>4</v>
      </c>
      <c r="K5">
        <v>4</v>
      </c>
      <c r="L5" t="str">
        <f>VLOOKUP(D5,Products!A:E,2,FALSE)</f>
        <v>Mouse</v>
      </c>
      <c r="M5" t="str">
        <f>VLOOKUP(D5,Products!A:E,3,FALSE)</f>
        <v>Technology</v>
      </c>
      <c r="N5">
        <f>VLOOKUP(D5,Products!A:E,4,FALSE)</f>
        <v>42</v>
      </c>
      <c r="O5" s="13">
        <f>VLOOKUP(D5,Products!A:E,5,FALSE)</f>
        <v>19</v>
      </c>
      <c r="P5" s="13" t="str">
        <f>VLOOKUP(C5,Customers!A:C,3,FALSE)</f>
        <v>Consumer</v>
      </c>
      <c r="Q5" s="13">
        <f t="shared" si="0"/>
        <v>84</v>
      </c>
      <c r="R5" s="13">
        <f t="shared" si="1"/>
        <v>38</v>
      </c>
      <c r="S5" s="13">
        <f t="shared" si="2"/>
        <v>46</v>
      </c>
      <c r="T5" s="14">
        <f t="shared" si="3"/>
        <v>0.54761904761904767</v>
      </c>
    </row>
    <row r="6" spans="1:20">
      <c r="A6" t="s">
        <v>709</v>
      </c>
      <c r="B6" s="8">
        <v>45682</v>
      </c>
      <c r="C6" t="s">
        <v>283</v>
      </c>
      <c r="D6" t="s">
        <v>72</v>
      </c>
      <c r="E6" t="s">
        <v>708</v>
      </c>
      <c r="F6" t="s">
        <v>706</v>
      </c>
      <c r="G6">
        <v>7</v>
      </c>
      <c r="H6" s="9">
        <v>0</v>
      </c>
      <c r="I6" t="s">
        <v>699</v>
      </c>
      <c r="J6">
        <v>4</v>
      </c>
      <c r="K6">
        <v>5</v>
      </c>
      <c r="L6" t="str">
        <f>VLOOKUP(D6,Products!A:E,2,FALSE)</f>
        <v>Phone Charger</v>
      </c>
      <c r="M6" t="str">
        <f>VLOOKUP(D6,Products!A:E,3,FALSE)</f>
        <v>Accessories</v>
      </c>
      <c r="N6">
        <f>VLOOKUP(D6,Products!A:E,4,FALSE)</f>
        <v>32</v>
      </c>
      <c r="O6" s="13">
        <f>VLOOKUP(D6,Products!A:E,5,FALSE)</f>
        <v>13</v>
      </c>
      <c r="P6" s="13" t="str">
        <f>VLOOKUP(C6,Customers!A:C,3,FALSE)</f>
        <v>Small Business</v>
      </c>
      <c r="Q6" s="13">
        <f t="shared" si="0"/>
        <v>224</v>
      </c>
      <c r="R6" s="13">
        <f t="shared" si="1"/>
        <v>91</v>
      </c>
      <c r="S6" s="13">
        <f t="shared" si="2"/>
        <v>133</v>
      </c>
      <c r="T6" s="14">
        <f t="shared" si="3"/>
        <v>0.59375</v>
      </c>
    </row>
    <row r="7" spans="1:20">
      <c r="A7" t="s">
        <v>710</v>
      </c>
      <c r="B7" s="8">
        <v>45997</v>
      </c>
      <c r="C7" t="s">
        <v>115</v>
      </c>
      <c r="D7" t="s">
        <v>52</v>
      </c>
      <c r="E7" t="s">
        <v>697</v>
      </c>
      <c r="F7" t="s">
        <v>702</v>
      </c>
      <c r="G7">
        <v>3</v>
      </c>
      <c r="H7" s="9">
        <v>0.2</v>
      </c>
      <c r="I7" t="s">
        <v>699</v>
      </c>
      <c r="J7">
        <v>4</v>
      </c>
      <c r="K7">
        <v>3</v>
      </c>
      <c r="L7" t="str">
        <f>VLOOKUP(D7,Products!A:E,2,FALSE)</f>
        <v>Mouse</v>
      </c>
      <c r="M7" t="str">
        <f>VLOOKUP(D7,Products!A:E,3,FALSE)</f>
        <v>Technology</v>
      </c>
      <c r="N7">
        <f>VLOOKUP(D7,Products!A:E,4,FALSE)</f>
        <v>42</v>
      </c>
      <c r="O7" s="13">
        <f>VLOOKUP(D7,Products!A:E,5,FALSE)</f>
        <v>19</v>
      </c>
      <c r="P7" s="13" t="str">
        <f>VLOOKUP(C7,Customers!A:C,3,FALSE)</f>
        <v>Corporate</v>
      </c>
      <c r="Q7" s="13">
        <f t="shared" si="0"/>
        <v>100.80000000000001</v>
      </c>
      <c r="R7" s="13">
        <f t="shared" si="1"/>
        <v>57</v>
      </c>
      <c r="S7" s="13">
        <f t="shared" si="2"/>
        <v>43.800000000000011</v>
      </c>
      <c r="T7" s="14">
        <f t="shared" si="3"/>
        <v>0.43452380952380959</v>
      </c>
    </row>
    <row r="8" spans="1:20">
      <c r="A8" t="s">
        <v>711</v>
      </c>
      <c r="B8" s="8">
        <v>45979</v>
      </c>
      <c r="C8" t="s">
        <v>533</v>
      </c>
      <c r="D8" t="s">
        <v>52</v>
      </c>
      <c r="E8" t="s">
        <v>708</v>
      </c>
      <c r="F8" t="s">
        <v>698</v>
      </c>
      <c r="G8">
        <v>1</v>
      </c>
      <c r="H8" s="9">
        <v>0.1</v>
      </c>
      <c r="I8" t="s">
        <v>699</v>
      </c>
      <c r="J8">
        <v>5</v>
      </c>
      <c r="K8">
        <v>5</v>
      </c>
      <c r="L8" t="str">
        <f>VLOOKUP(D8,Products!A:E,2,FALSE)</f>
        <v>Mouse</v>
      </c>
      <c r="M8" t="str">
        <f>VLOOKUP(D8,Products!A:E,3,FALSE)</f>
        <v>Technology</v>
      </c>
      <c r="N8">
        <f>VLOOKUP(D8,Products!A:E,4,FALSE)</f>
        <v>42</v>
      </c>
      <c r="O8" s="13">
        <f>VLOOKUP(D8,Products!A:E,5,FALSE)</f>
        <v>19</v>
      </c>
      <c r="P8" s="13" t="str">
        <f>VLOOKUP(C8,Customers!A:C,3,FALSE)</f>
        <v>Corporate</v>
      </c>
      <c r="Q8" s="13">
        <f t="shared" si="0"/>
        <v>37.800000000000004</v>
      </c>
      <c r="R8" s="13">
        <f t="shared" si="1"/>
        <v>19</v>
      </c>
      <c r="S8" s="13">
        <f t="shared" si="2"/>
        <v>18.800000000000004</v>
      </c>
      <c r="T8" s="14">
        <f t="shared" si="3"/>
        <v>0.49735449735449744</v>
      </c>
    </row>
    <row r="9" spans="1:20">
      <c r="A9" t="s">
        <v>712</v>
      </c>
      <c r="B9" s="8">
        <v>45859</v>
      </c>
      <c r="C9" t="s">
        <v>459</v>
      </c>
      <c r="D9" t="s">
        <v>74</v>
      </c>
      <c r="E9" t="s">
        <v>705</v>
      </c>
      <c r="F9" t="s">
        <v>698</v>
      </c>
      <c r="G9">
        <v>2</v>
      </c>
      <c r="H9" s="9">
        <v>0</v>
      </c>
      <c r="I9" t="s">
        <v>699</v>
      </c>
      <c r="J9">
        <v>5</v>
      </c>
      <c r="K9">
        <v>3</v>
      </c>
      <c r="L9" t="str">
        <f>VLOOKUP(D9,Products!A:E,2,FALSE)</f>
        <v>Printer Paper</v>
      </c>
      <c r="M9" t="str">
        <f>VLOOKUP(D9,Products!A:E,3,FALSE)</f>
        <v>Office Supplies</v>
      </c>
      <c r="N9">
        <f>VLOOKUP(D9,Products!A:E,4,FALSE)</f>
        <v>17</v>
      </c>
      <c r="O9" s="13">
        <f>VLOOKUP(D9,Products!A:E,5,FALSE)</f>
        <v>8</v>
      </c>
      <c r="P9" s="13" t="str">
        <f>VLOOKUP(C9,Customers!A:C,3,FALSE)</f>
        <v>Small Business</v>
      </c>
      <c r="Q9" s="13">
        <f t="shared" si="0"/>
        <v>34</v>
      </c>
      <c r="R9" s="13">
        <f t="shared" si="1"/>
        <v>16</v>
      </c>
      <c r="S9" s="13">
        <f t="shared" si="2"/>
        <v>18</v>
      </c>
      <c r="T9" s="14">
        <f t="shared" si="3"/>
        <v>0.52941176470588236</v>
      </c>
    </row>
    <row r="10" spans="1:20">
      <c r="A10" t="s">
        <v>713</v>
      </c>
      <c r="B10" s="8">
        <v>46177</v>
      </c>
      <c r="C10" t="s">
        <v>403</v>
      </c>
      <c r="D10" t="s">
        <v>74</v>
      </c>
      <c r="E10" t="s">
        <v>708</v>
      </c>
      <c r="F10" t="s">
        <v>698</v>
      </c>
      <c r="G10">
        <v>3</v>
      </c>
      <c r="H10" s="9">
        <v>0</v>
      </c>
      <c r="I10" t="s">
        <v>699</v>
      </c>
      <c r="J10">
        <v>4</v>
      </c>
      <c r="K10">
        <v>2</v>
      </c>
      <c r="L10" t="str">
        <f>VLOOKUP(D10,Products!A:E,2,FALSE)</f>
        <v>Printer Paper</v>
      </c>
      <c r="M10" t="str">
        <f>VLOOKUP(D10,Products!A:E,3,FALSE)</f>
        <v>Office Supplies</v>
      </c>
      <c r="N10">
        <f>VLOOKUP(D10,Products!A:E,4,FALSE)</f>
        <v>17</v>
      </c>
      <c r="O10" s="13">
        <f>VLOOKUP(D10,Products!A:E,5,FALSE)</f>
        <v>8</v>
      </c>
      <c r="P10" s="13" t="str">
        <f>VLOOKUP(C10,Customers!A:C,3,FALSE)</f>
        <v>Consumer</v>
      </c>
      <c r="Q10" s="13">
        <f t="shared" si="0"/>
        <v>51</v>
      </c>
      <c r="R10" s="13">
        <f t="shared" si="1"/>
        <v>24</v>
      </c>
      <c r="S10" s="13">
        <f t="shared" si="2"/>
        <v>27</v>
      </c>
      <c r="T10" s="14">
        <f t="shared" si="3"/>
        <v>0.52941176470588236</v>
      </c>
    </row>
    <row r="11" spans="1:20">
      <c r="A11" t="s">
        <v>714</v>
      </c>
      <c r="B11" s="8">
        <v>46240</v>
      </c>
      <c r="C11" t="s">
        <v>395</v>
      </c>
      <c r="D11" t="s">
        <v>72</v>
      </c>
      <c r="E11" t="s">
        <v>715</v>
      </c>
      <c r="F11" t="s">
        <v>702</v>
      </c>
      <c r="G11">
        <v>1</v>
      </c>
      <c r="H11" s="9">
        <v>0</v>
      </c>
      <c r="I11" t="s">
        <v>699</v>
      </c>
      <c r="J11">
        <v>5</v>
      </c>
      <c r="K11">
        <v>4</v>
      </c>
      <c r="L11" t="str">
        <f>VLOOKUP(D11,Products!A:E,2,FALSE)</f>
        <v>Phone Charger</v>
      </c>
      <c r="M11" t="str">
        <f>VLOOKUP(D11,Products!A:E,3,FALSE)</f>
        <v>Accessories</v>
      </c>
      <c r="N11">
        <f>VLOOKUP(D11,Products!A:E,4,FALSE)</f>
        <v>32</v>
      </c>
      <c r="O11" s="13">
        <f>VLOOKUP(D11,Products!A:E,5,FALSE)</f>
        <v>13</v>
      </c>
      <c r="P11" s="13" t="str">
        <f>VLOOKUP(C11,Customers!A:C,3,FALSE)</f>
        <v>Consumer</v>
      </c>
      <c r="Q11" s="13">
        <f t="shared" si="0"/>
        <v>32</v>
      </c>
      <c r="R11" s="13">
        <f t="shared" si="1"/>
        <v>13</v>
      </c>
      <c r="S11" s="13">
        <f t="shared" si="2"/>
        <v>19</v>
      </c>
      <c r="T11" s="14">
        <f t="shared" si="3"/>
        <v>0.59375</v>
      </c>
    </row>
    <row r="12" spans="1:20">
      <c r="A12" t="s">
        <v>716</v>
      </c>
      <c r="B12" s="8">
        <v>46110</v>
      </c>
      <c r="C12" t="s">
        <v>539</v>
      </c>
      <c r="D12" t="s">
        <v>58</v>
      </c>
      <c r="E12" t="s">
        <v>715</v>
      </c>
      <c r="F12" t="s">
        <v>698</v>
      </c>
      <c r="G12">
        <v>7</v>
      </c>
      <c r="H12" s="9">
        <v>0.1</v>
      </c>
      <c r="I12" t="s">
        <v>699</v>
      </c>
      <c r="J12">
        <v>4</v>
      </c>
      <c r="K12">
        <v>5</v>
      </c>
      <c r="L12" t="str">
        <f>VLOOKUP(D12,Products!A:E,2,FALSE)</f>
        <v>Standing Desk</v>
      </c>
      <c r="M12" t="str">
        <f>VLOOKUP(D12,Products!A:E,3,FALSE)</f>
        <v>Furniture</v>
      </c>
      <c r="N12">
        <f>VLOOKUP(D12,Products!A:E,4,FALSE)</f>
        <v>540</v>
      </c>
      <c r="O12" s="13">
        <f>VLOOKUP(D12,Products!A:E,5,FALSE)</f>
        <v>320</v>
      </c>
      <c r="P12" s="13" t="str">
        <f>VLOOKUP(C12,Customers!A:C,3,FALSE)</f>
        <v>Corporate</v>
      </c>
      <c r="Q12" s="13">
        <f t="shared" si="0"/>
        <v>3402</v>
      </c>
      <c r="R12" s="13">
        <f t="shared" si="1"/>
        <v>2240</v>
      </c>
      <c r="S12" s="13">
        <f t="shared" si="2"/>
        <v>1162</v>
      </c>
      <c r="T12" s="14">
        <f t="shared" si="3"/>
        <v>0.34156378600823045</v>
      </c>
    </row>
    <row r="13" spans="1:20">
      <c r="A13" t="s">
        <v>717</v>
      </c>
      <c r="B13" s="8">
        <v>46001</v>
      </c>
      <c r="C13" t="s">
        <v>181</v>
      </c>
      <c r="D13" t="s">
        <v>61</v>
      </c>
      <c r="E13" t="s">
        <v>701</v>
      </c>
      <c r="F13" t="s">
        <v>702</v>
      </c>
      <c r="G13">
        <v>1</v>
      </c>
      <c r="H13" s="9">
        <v>0</v>
      </c>
      <c r="I13" t="s">
        <v>699</v>
      </c>
      <c r="J13">
        <v>4</v>
      </c>
      <c r="K13">
        <v>1</v>
      </c>
      <c r="L13" t="str">
        <f>VLOOKUP(D13,Products!A:E,2,FALSE)</f>
        <v>Office Chair</v>
      </c>
      <c r="M13" t="str">
        <f>VLOOKUP(D13,Products!A:E,3,FALSE)</f>
        <v>Furniture</v>
      </c>
      <c r="N13">
        <f>VLOOKUP(D13,Products!A:E,4,FALSE)</f>
        <v>255</v>
      </c>
      <c r="O13" s="13">
        <f>VLOOKUP(D13,Products!A:E,5,FALSE)</f>
        <v>145</v>
      </c>
      <c r="P13" s="13" t="str">
        <f>VLOOKUP(C13,Customers!A:C,3,FALSE)</f>
        <v>Consumer</v>
      </c>
      <c r="Q13" s="13">
        <f t="shared" si="0"/>
        <v>255</v>
      </c>
      <c r="R13" s="13">
        <f t="shared" si="1"/>
        <v>145</v>
      </c>
      <c r="S13" s="13">
        <f t="shared" si="2"/>
        <v>110</v>
      </c>
      <c r="T13" s="14">
        <f t="shared" si="3"/>
        <v>0.43137254901960786</v>
      </c>
    </row>
    <row r="14" spans="1:20">
      <c r="A14" t="s">
        <v>718</v>
      </c>
      <c r="B14" s="8">
        <v>46124</v>
      </c>
      <c r="C14" t="s">
        <v>511</v>
      </c>
      <c r="D14" t="s">
        <v>58</v>
      </c>
      <c r="E14" t="s">
        <v>701</v>
      </c>
      <c r="F14" t="s">
        <v>702</v>
      </c>
      <c r="G14">
        <v>2</v>
      </c>
      <c r="H14" s="9">
        <v>0</v>
      </c>
      <c r="I14" t="s">
        <v>699</v>
      </c>
      <c r="J14">
        <v>5</v>
      </c>
      <c r="K14">
        <v>1</v>
      </c>
      <c r="L14" t="str">
        <f>VLOOKUP(D14,Products!A:E,2,FALSE)</f>
        <v>Standing Desk</v>
      </c>
      <c r="M14" t="str">
        <f>VLOOKUP(D14,Products!A:E,3,FALSE)</f>
        <v>Furniture</v>
      </c>
      <c r="N14">
        <f>VLOOKUP(D14,Products!A:E,4,FALSE)</f>
        <v>540</v>
      </c>
      <c r="O14" s="13">
        <f>VLOOKUP(D14,Products!A:E,5,FALSE)</f>
        <v>320</v>
      </c>
      <c r="P14" s="13" t="str">
        <f>VLOOKUP(C14,Customers!A:C,3,FALSE)</f>
        <v>Consumer</v>
      </c>
      <c r="Q14" s="13">
        <f t="shared" si="0"/>
        <v>1080</v>
      </c>
      <c r="R14" s="13">
        <f t="shared" si="1"/>
        <v>640</v>
      </c>
      <c r="S14" s="13">
        <f t="shared" si="2"/>
        <v>440</v>
      </c>
      <c r="T14" s="14">
        <f t="shared" si="3"/>
        <v>0.40740740740740738</v>
      </c>
    </row>
    <row r="15" spans="1:20">
      <c r="A15" t="s">
        <v>719</v>
      </c>
      <c r="B15" s="8">
        <v>46093</v>
      </c>
      <c r="C15" t="s">
        <v>311</v>
      </c>
      <c r="D15" t="s">
        <v>56</v>
      </c>
      <c r="E15" t="s">
        <v>697</v>
      </c>
      <c r="F15" t="s">
        <v>698</v>
      </c>
      <c r="G15">
        <v>2</v>
      </c>
      <c r="H15" s="9">
        <v>0.05</v>
      </c>
      <c r="I15" t="s">
        <v>703</v>
      </c>
      <c r="J15">
        <v>3</v>
      </c>
      <c r="K15">
        <v>6</v>
      </c>
      <c r="L15" t="str">
        <f>VLOOKUP(D15,Products!A:E,2,FALSE)</f>
        <v>Headset</v>
      </c>
      <c r="M15" t="str">
        <f>VLOOKUP(D15,Products!A:E,3,FALSE)</f>
        <v>Technology</v>
      </c>
      <c r="N15">
        <f>VLOOKUP(D15,Products!A:E,4,FALSE)</f>
        <v>98</v>
      </c>
      <c r="O15" s="13">
        <f>VLOOKUP(D15,Products!A:E,5,FALSE)</f>
        <v>46</v>
      </c>
      <c r="P15" s="13" t="str">
        <f>VLOOKUP(C15,Customers!A:C,3,FALSE)</f>
        <v>Corporate</v>
      </c>
      <c r="Q15" s="13">
        <f t="shared" si="0"/>
        <v>186.2</v>
      </c>
      <c r="R15" s="13">
        <f t="shared" si="1"/>
        <v>92</v>
      </c>
      <c r="S15" s="13">
        <f t="shared" si="2"/>
        <v>94.199999999999989</v>
      </c>
      <c r="T15" s="14">
        <f t="shared" si="3"/>
        <v>0.50590762620837804</v>
      </c>
    </row>
    <row r="16" spans="1:20">
      <c r="A16" t="s">
        <v>720</v>
      </c>
      <c r="B16" s="8">
        <v>46201</v>
      </c>
      <c r="C16" t="s">
        <v>659</v>
      </c>
      <c r="D16" t="s">
        <v>68</v>
      </c>
      <c r="E16" t="s">
        <v>697</v>
      </c>
      <c r="F16" t="s">
        <v>706</v>
      </c>
      <c r="G16">
        <v>3</v>
      </c>
      <c r="H16" s="9">
        <v>0.1</v>
      </c>
      <c r="I16" t="s">
        <v>699</v>
      </c>
      <c r="J16">
        <v>5</v>
      </c>
      <c r="K16">
        <v>5</v>
      </c>
      <c r="L16" t="str">
        <f>VLOOKUP(D16,Products!A:E,2,FALSE)</f>
        <v>Backpack</v>
      </c>
      <c r="M16" t="str">
        <f>VLOOKUP(D16,Products!A:E,3,FALSE)</f>
        <v>Accessories</v>
      </c>
      <c r="N16">
        <f>VLOOKUP(D16,Products!A:E,4,FALSE)</f>
        <v>85</v>
      </c>
      <c r="O16" s="13">
        <f>VLOOKUP(D16,Products!A:E,5,FALSE)</f>
        <v>39</v>
      </c>
      <c r="P16" s="13" t="str">
        <f>VLOOKUP(C16,Customers!A:C,3,FALSE)</f>
        <v>Small Business</v>
      </c>
      <c r="Q16" s="13">
        <f t="shared" si="0"/>
        <v>229.5</v>
      </c>
      <c r="R16" s="13">
        <f t="shared" si="1"/>
        <v>117</v>
      </c>
      <c r="S16" s="13">
        <f t="shared" si="2"/>
        <v>112.5</v>
      </c>
      <c r="T16" s="14">
        <f t="shared" si="3"/>
        <v>0.49019607843137253</v>
      </c>
    </row>
    <row r="17" spans="1:20">
      <c r="A17" t="s">
        <v>721</v>
      </c>
      <c r="B17" s="8">
        <v>46114</v>
      </c>
      <c r="C17" t="s">
        <v>249</v>
      </c>
      <c r="D17" t="s">
        <v>79</v>
      </c>
      <c r="E17" t="s">
        <v>715</v>
      </c>
      <c r="F17" t="s">
        <v>698</v>
      </c>
      <c r="G17">
        <v>5</v>
      </c>
      <c r="H17" s="9">
        <v>0</v>
      </c>
      <c r="I17" t="s">
        <v>699</v>
      </c>
      <c r="J17">
        <v>4</v>
      </c>
      <c r="K17">
        <v>2</v>
      </c>
      <c r="L17" t="str">
        <f>VLOOKUP(D17,Products!A:E,2,FALSE)</f>
        <v>Desk Organiser</v>
      </c>
      <c r="M17" t="str">
        <f>VLOOKUP(D17,Products!A:E,3,FALSE)</f>
        <v>Office Supplies</v>
      </c>
      <c r="N17">
        <f>VLOOKUP(D17,Products!A:E,4,FALSE)</f>
        <v>28</v>
      </c>
      <c r="O17" s="13">
        <f>VLOOKUP(D17,Products!A:E,5,FALSE)</f>
        <v>12</v>
      </c>
      <c r="P17" s="13" t="str">
        <f>VLOOKUP(C17,Customers!A:C,3,FALSE)</f>
        <v>Consumer</v>
      </c>
      <c r="Q17" s="13">
        <f t="shared" si="0"/>
        <v>140</v>
      </c>
      <c r="R17" s="13">
        <f t="shared" si="1"/>
        <v>60</v>
      </c>
      <c r="S17" s="13">
        <f t="shared" si="2"/>
        <v>80</v>
      </c>
      <c r="T17" s="14">
        <f t="shared" si="3"/>
        <v>0.5714285714285714</v>
      </c>
    </row>
    <row r="18" spans="1:20">
      <c r="A18" t="s">
        <v>722</v>
      </c>
      <c r="B18" s="8">
        <v>45939</v>
      </c>
      <c r="C18" t="s">
        <v>537</v>
      </c>
      <c r="D18" t="s">
        <v>50</v>
      </c>
      <c r="E18" t="s">
        <v>701</v>
      </c>
      <c r="F18" t="s">
        <v>702</v>
      </c>
      <c r="G18">
        <v>2</v>
      </c>
      <c r="H18" s="9">
        <v>0.15</v>
      </c>
      <c r="I18" t="s">
        <v>699</v>
      </c>
      <c r="J18">
        <v>3</v>
      </c>
      <c r="K18">
        <v>4</v>
      </c>
      <c r="L18" t="str">
        <f>VLOOKUP(D18,Products!A:E,2,FALSE)</f>
        <v>Keyboard</v>
      </c>
      <c r="M18" t="str">
        <f>VLOOKUP(D18,Products!A:E,3,FALSE)</f>
        <v>Technology</v>
      </c>
      <c r="N18">
        <f>VLOOKUP(D18,Products!A:E,4,FALSE)</f>
        <v>75</v>
      </c>
      <c r="O18" s="13">
        <f>VLOOKUP(D18,Products!A:E,5,FALSE)</f>
        <v>38</v>
      </c>
      <c r="P18" s="13" t="str">
        <f>VLOOKUP(C18,Customers!A:C,3,FALSE)</f>
        <v>Corporate</v>
      </c>
      <c r="Q18" s="13">
        <f t="shared" si="0"/>
        <v>127.5</v>
      </c>
      <c r="R18" s="13">
        <f t="shared" si="1"/>
        <v>76</v>
      </c>
      <c r="S18" s="13">
        <f t="shared" si="2"/>
        <v>51.5</v>
      </c>
      <c r="T18" s="14">
        <f t="shared" si="3"/>
        <v>0.40392156862745099</v>
      </c>
    </row>
    <row r="19" spans="1:20">
      <c r="A19" t="s">
        <v>723</v>
      </c>
      <c r="B19" s="8">
        <v>45814</v>
      </c>
      <c r="C19" t="s">
        <v>305</v>
      </c>
      <c r="D19" t="s">
        <v>50</v>
      </c>
      <c r="E19" t="s">
        <v>708</v>
      </c>
      <c r="F19" t="s">
        <v>702</v>
      </c>
      <c r="G19">
        <v>2</v>
      </c>
      <c r="H19" s="9">
        <v>0</v>
      </c>
      <c r="I19" t="s">
        <v>699</v>
      </c>
      <c r="J19">
        <v>4</v>
      </c>
      <c r="K19">
        <v>5</v>
      </c>
      <c r="L19" t="str">
        <f>VLOOKUP(D19,Products!A:E,2,FALSE)</f>
        <v>Keyboard</v>
      </c>
      <c r="M19" t="str">
        <f>VLOOKUP(D19,Products!A:E,3,FALSE)</f>
        <v>Technology</v>
      </c>
      <c r="N19">
        <f>VLOOKUP(D19,Products!A:E,4,FALSE)</f>
        <v>75</v>
      </c>
      <c r="O19" s="13">
        <f>VLOOKUP(D19,Products!A:E,5,FALSE)</f>
        <v>38</v>
      </c>
      <c r="P19" s="13" t="str">
        <f>VLOOKUP(C19,Customers!A:C,3,FALSE)</f>
        <v>Small Business</v>
      </c>
      <c r="Q19" s="13">
        <f t="shared" si="0"/>
        <v>150</v>
      </c>
      <c r="R19" s="13">
        <f t="shared" si="1"/>
        <v>76</v>
      </c>
      <c r="S19" s="13">
        <f t="shared" si="2"/>
        <v>74</v>
      </c>
      <c r="T19" s="14">
        <f t="shared" si="3"/>
        <v>0.49333333333333335</v>
      </c>
    </row>
    <row r="20" spans="1:20">
      <c r="A20" t="s">
        <v>724</v>
      </c>
      <c r="B20" s="8">
        <v>45678</v>
      </c>
      <c r="C20" t="s">
        <v>675</v>
      </c>
      <c r="D20" t="s">
        <v>72</v>
      </c>
      <c r="E20" t="s">
        <v>715</v>
      </c>
      <c r="F20" t="s">
        <v>706</v>
      </c>
      <c r="G20">
        <v>1</v>
      </c>
      <c r="H20" s="9">
        <v>0</v>
      </c>
      <c r="I20" t="s">
        <v>699</v>
      </c>
      <c r="J20">
        <v>5</v>
      </c>
      <c r="K20">
        <v>5</v>
      </c>
      <c r="L20" t="str">
        <f>VLOOKUP(D20,Products!A:E,2,FALSE)</f>
        <v>Phone Charger</v>
      </c>
      <c r="M20" t="str">
        <f>VLOOKUP(D20,Products!A:E,3,FALSE)</f>
        <v>Accessories</v>
      </c>
      <c r="N20">
        <f>VLOOKUP(D20,Products!A:E,4,FALSE)</f>
        <v>32</v>
      </c>
      <c r="O20" s="13">
        <f>VLOOKUP(D20,Products!A:E,5,FALSE)</f>
        <v>13</v>
      </c>
      <c r="P20" s="13" t="str">
        <f>VLOOKUP(C20,Customers!A:C,3,FALSE)</f>
        <v>Corporate</v>
      </c>
      <c r="Q20" s="13">
        <f t="shared" si="0"/>
        <v>32</v>
      </c>
      <c r="R20" s="13">
        <f t="shared" si="1"/>
        <v>13</v>
      </c>
      <c r="S20" s="13">
        <f t="shared" si="2"/>
        <v>19</v>
      </c>
      <c r="T20" s="14">
        <f t="shared" si="3"/>
        <v>0.59375</v>
      </c>
    </row>
    <row r="21" spans="1:20">
      <c r="A21" t="s">
        <v>725</v>
      </c>
      <c r="B21" s="8">
        <v>46217</v>
      </c>
      <c r="C21" t="s">
        <v>311</v>
      </c>
      <c r="D21" t="s">
        <v>79</v>
      </c>
      <c r="E21" t="s">
        <v>705</v>
      </c>
      <c r="F21" t="s">
        <v>702</v>
      </c>
      <c r="G21">
        <v>1</v>
      </c>
      <c r="H21" s="9">
        <v>0</v>
      </c>
      <c r="I21" t="s">
        <v>699</v>
      </c>
      <c r="J21">
        <v>4</v>
      </c>
      <c r="K21">
        <v>2</v>
      </c>
      <c r="L21" t="str">
        <f>VLOOKUP(D21,Products!A:E,2,FALSE)</f>
        <v>Desk Organiser</v>
      </c>
      <c r="M21" t="str">
        <f>VLOOKUP(D21,Products!A:E,3,FALSE)</f>
        <v>Office Supplies</v>
      </c>
      <c r="N21">
        <f>VLOOKUP(D21,Products!A:E,4,FALSE)</f>
        <v>28</v>
      </c>
      <c r="O21" s="13">
        <f>VLOOKUP(D21,Products!A:E,5,FALSE)</f>
        <v>12</v>
      </c>
      <c r="P21" s="13" t="str">
        <f>VLOOKUP(C21,Customers!A:C,3,FALSE)</f>
        <v>Corporate</v>
      </c>
      <c r="Q21" s="13">
        <f t="shared" si="0"/>
        <v>28</v>
      </c>
      <c r="R21" s="13">
        <f t="shared" si="1"/>
        <v>12</v>
      </c>
      <c r="S21" s="13">
        <f t="shared" si="2"/>
        <v>16</v>
      </c>
      <c r="T21" s="14">
        <f t="shared" si="3"/>
        <v>0.5714285714285714</v>
      </c>
    </row>
    <row r="22" spans="1:20">
      <c r="A22" t="s">
        <v>726</v>
      </c>
      <c r="B22" s="8">
        <v>46136</v>
      </c>
      <c r="C22" t="s">
        <v>217</v>
      </c>
      <c r="D22" t="s">
        <v>45</v>
      </c>
      <c r="E22" t="s">
        <v>697</v>
      </c>
      <c r="F22" t="s">
        <v>698</v>
      </c>
      <c r="G22">
        <v>3</v>
      </c>
      <c r="H22" s="9">
        <v>0</v>
      </c>
      <c r="I22" t="s">
        <v>699</v>
      </c>
      <c r="J22">
        <v>5</v>
      </c>
      <c r="K22">
        <v>2</v>
      </c>
      <c r="L22" t="str">
        <f>VLOOKUP(D22,Products!A:E,2,FALSE)</f>
        <v>Laptop</v>
      </c>
      <c r="M22" t="str">
        <f>VLOOKUP(D22,Products!A:E,3,FALSE)</f>
        <v>Technology</v>
      </c>
      <c r="N22">
        <f>VLOOKUP(D22,Products!A:E,4,FALSE)</f>
        <v>1100</v>
      </c>
      <c r="O22" s="13">
        <f>VLOOKUP(D22,Products!A:E,5,FALSE)</f>
        <v>720</v>
      </c>
      <c r="P22" s="13" t="str">
        <f>VLOOKUP(C22,Customers!A:C,3,FALSE)</f>
        <v>Corporate</v>
      </c>
      <c r="Q22" s="13">
        <f t="shared" si="0"/>
        <v>3300</v>
      </c>
      <c r="R22" s="13">
        <f t="shared" si="1"/>
        <v>2160</v>
      </c>
      <c r="S22" s="13">
        <f t="shared" si="2"/>
        <v>1140</v>
      </c>
      <c r="T22" s="14">
        <f t="shared" si="3"/>
        <v>0.34545454545454546</v>
      </c>
    </row>
    <row r="23" spans="1:20">
      <c r="A23" t="s">
        <v>727</v>
      </c>
      <c r="B23" s="8">
        <v>45709</v>
      </c>
      <c r="C23" t="s">
        <v>353</v>
      </c>
      <c r="D23" t="s">
        <v>72</v>
      </c>
      <c r="E23" t="s">
        <v>708</v>
      </c>
      <c r="F23" t="s">
        <v>702</v>
      </c>
      <c r="G23">
        <v>2</v>
      </c>
      <c r="H23" s="9">
        <v>0.15</v>
      </c>
      <c r="I23" t="s">
        <v>699</v>
      </c>
      <c r="J23">
        <v>5</v>
      </c>
      <c r="K23">
        <v>4</v>
      </c>
      <c r="L23" t="str">
        <f>VLOOKUP(D23,Products!A:E,2,FALSE)</f>
        <v>Phone Charger</v>
      </c>
      <c r="M23" t="str">
        <f>VLOOKUP(D23,Products!A:E,3,FALSE)</f>
        <v>Accessories</v>
      </c>
      <c r="N23">
        <f>VLOOKUP(D23,Products!A:E,4,FALSE)</f>
        <v>32</v>
      </c>
      <c r="O23" s="13">
        <f>VLOOKUP(D23,Products!A:E,5,FALSE)</f>
        <v>13</v>
      </c>
      <c r="P23" s="13" t="str">
        <f>VLOOKUP(C23,Customers!A:C,3,FALSE)</f>
        <v>Small Business</v>
      </c>
      <c r="Q23" s="13">
        <f t="shared" si="0"/>
        <v>54.4</v>
      </c>
      <c r="R23" s="13">
        <f t="shared" si="1"/>
        <v>26</v>
      </c>
      <c r="S23" s="13">
        <f t="shared" si="2"/>
        <v>28.4</v>
      </c>
      <c r="T23" s="14">
        <f t="shared" si="3"/>
        <v>0.5220588235294118</v>
      </c>
    </row>
    <row r="24" spans="1:20">
      <c r="A24" t="s">
        <v>728</v>
      </c>
      <c r="B24" s="8">
        <v>45916</v>
      </c>
      <c r="C24" t="s">
        <v>169</v>
      </c>
      <c r="D24" t="s">
        <v>79</v>
      </c>
      <c r="E24" t="s">
        <v>705</v>
      </c>
      <c r="F24" t="s">
        <v>698</v>
      </c>
      <c r="G24">
        <v>8</v>
      </c>
      <c r="H24" s="9">
        <v>0</v>
      </c>
      <c r="I24" t="s">
        <v>699</v>
      </c>
      <c r="J24">
        <v>5</v>
      </c>
      <c r="K24">
        <v>1</v>
      </c>
      <c r="L24" t="str">
        <f>VLOOKUP(D24,Products!A:E,2,FALSE)</f>
        <v>Desk Organiser</v>
      </c>
      <c r="M24" t="str">
        <f>VLOOKUP(D24,Products!A:E,3,FALSE)</f>
        <v>Office Supplies</v>
      </c>
      <c r="N24">
        <f>VLOOKUP(D24,Products!A:E,4,FALSE)</f>
        <v>28</v>
      </c>
      <c r="O24" s="13">
        <f>VLOOKUP(D24,Products!A:E,5,FALSE)</f>
        <v>12</v>
      </c>
      <c r="P24" s="13" t="str">
        <f>VLOOKUP(C24,Customers!A:C,3,FALSE)</f>
        <v>Consumer</v>
      </c>
      <c r="Q24" s="13">
        <f t="shared" si="0"/>
        <v>224</v>
      </c>
      <c r="R24" s="13">
        <f t="shared" si="1"/>
        <v>96</v>
      </c>
      <c r="S24" s="13">
        <f t="shared" si="2"/>
        <v>128</v>
      </c>
      <c r="T24" s="14">
        <f t="shared" si="3"/>
        <v>0.5714285714285714</v>
      </c>
    </row>
    <row r="25" spans="1:20">
      <c r="A25" t="s">
        <v>729</v>
      </c>
      <c r="B25" s="8">
        <v>45689</v>
      </c>
      <c r="C25" t="s">
        <v>339</v>
      </c>
      <c r="D25" t="s">
        <v>58</v>
      </c>
      <c r="E25" t="s">
        <v>697</v>
      </c>
      <c r="F25" t="s">
        <v>698</v>
      </c>
      <c r="G25">
        <v>1</v>
      </c>
      <c r="H25" s="9">
        <v>0.05</v>
      </c>
      <c r="I25" t="s">
        <v>699</v>
      </c>
      <c r="J25">
        <v>5</v>
      </c>
      <c r="K25">
        <v>4</v>
      </c>
      <c r="L25" t="str">
        <f>VLOOKUP(D25,Products!A:E,2,FALSE)</f>
        <v>Standing Desk</v>
      </c>
      <c r="M25" t="str">
        <f>VLOOKUP(D25,Products!A:E,3,FALSE)</f>
        <v>Furniture</v>
      </c>
      <c r="N25">
        <f>VLOOKUP(D25,Products!A:E,4,FALSE)</f>
        <v>540</v>
      </c>
      <c r="O25" s="13">
        <f>VLOOKUP(D25,Products!A:E,5,FALSE)</f>
        <v>320</v>
      </c>
      <c r="P25" s="13" t="str">
        <f>VLOOKUP(C25,Customers!A:C,3,FALSE)</f>
        <v>Consumer</v>
      </c>
      <c r="Q25" s="13">
        <f t="shared" si="0"/>
        <v>513</v>
      </c>
      <c r="R25" s="13">
        <f t="shared" si="1"/>
        <v>320</v>
      </c>
      <c r="S25" s="13">
        <f t="shared" si="2"/>
        <v>193</v>
      </c>
      <c r="T25" s="14">
        <f t="shared" si="3"/>
        <v>0.37621832358674462</v>
      </c>
    </row>
    <row r="26" spans="1:20">
      <c r="A26" t="s">
        <v>730</v>
      </c>
      <c r="B26" s="8">
        <v>45920</v>
      </c>
      <c r="C26" t="s">
        <v>463</v>
      </c>
      <c r="D26" t="s">
        <v>56</v>
      </c>
      <c r="E26" t="s">
        <v>701</v>
      </c>
      <c r="F26" t="s">
        <v>706</v>
      </c>
      <c r="G26">
        <v>4</v>
      </c>
      <c r="H26" s="9">
        <v>0.1</v>
      </c>
      <c r="I26" t="s">
        <v>699</v>
      </c>
      <c r="J26">
        <v>4</v>
      </c>
      <c r="K26">
        <v>5</v>
      </c>
      <c r="L26" t="str">
        <f>VLOOKUP(D26,Products!A:E,2,FALSE)</f>
        <v>Headset</v>
      </c>
      <c r="M26" t="str">
        <f>VLOOKUP(D26,Products!A:E,3,FALSE)</f>
        <v>Technology</v>
      </c>
      <c r="N26">
        <f>VLOOKUP(D26,Products!A:E,4,FALSE)</f>
        <v>98</v>
      </c>
      <c r="O26" s="13">
        <f>VLOOKUP(D26,Products!A:E,5,FALSE)</f>
        <v>46</v>
      </c>
      <c r="P26" s="13" t="str">
        <f>VLOOKUP(C26,Customers!A:C,3,FALSE)</f>
        <v>Consumer</v>
      </c>
      <c r="Q26" s="13">
        <f t="shared" si="0"/>
        <v>352.8</v>
      </c>
      <c r="R26" s="13">
        <f t="shared" si="1"/>
        <v>184</v>
      </c>
      <c r="S26" s="13">
        <f t="shared" si="2"/>
        <v>168.8</v>
      </c>
      <c r="T26" s="14">
        <f t="shared" si="3"/>
        <v>0.47845804988662133</v>
      </c>
    </row>
    <row r="27" spans="1:20">
      <c r="A27" t="s">
        <v>731</v>
      </c>
      <c r="B27" s="8">
        <v>45684</v>
      </c>
      <c r="C27" t="s">
        <v>405</v>
      </c>
      <c r="D27" t="s">
        <v>72</v>
      </c>
      <c r="E27" t="s">
        <v>708</v>
      </c>
      <c r="F27" t="s">
        <v>698</v>
      </c>
      <c r="G27">
        <v>1</v>
      </c>
      <c r="H27" s="9">
        <v>0.1</v>
      </c>
      <c r="I27" t="s">
        <v>699</v>
      </c>
      <c r="J27">
        <v>2</v>
      </c>
      <c r="K27">
        <v>4</v>
      </c>
      <c r="L27" t="str">
        <f>VLOOKUP(D27,Products!A:E,2,FALSE)</f>
        <v>Phone Charger</v>
      </c>
      <c r="M27" t="str">
        <f>VLOOKUP(D27,Products!A:E,3,FALSE)</f>
        <v>Accessories</v>
      </c>
      <c r="N27">
        <f>VLOOKUP(D27,Products!A:E,4,FALSE)</f>
        <v>32</v>
      </c>
      <c r="O27" s="13">
        <f>VLOOKUP(D27,Products!A:E,5,FALSE)</f>
        <v>13</v>
      </c>
      <c r="P27" s="13" t="str">
        <f>VLOOKUP(C27,Customers!A:C,3,FALSE)</f>
        <v>Consumer</v>
      </c>
      <c r="Q27" s="13">
        <f t="shared" si="0"/>
        <v>28.8</v>
      </c>
      <c r="R27" s="13">
        <f t="shared" si="1"/>
        <v>13</v>
      </c>
      <c r="S27" s="13">
        <f t="shared" si="2"/>
        <v>15.8</v>
      </c>
      <c r="T27" s="14">
        <f t="shared" si="3"/>
        <v>0.54861111111111116</v>
      </c>
    </row>
    <row r="28" spans="1:20">
      <c r="A28" t="s">
        <v>732</v>
      </c>
      <c r="B28" s="8">
        <v>46237</v>
      </c>
      <c r="C28" t="s">
        <v>129</v>
      </c>
      <c r="D28" t="s">
        <v>70</v>
      </c>
      <c r="E28" t="s">
        <v>715</v>
      </c>
      <c r="F28" t="s">
        <v>698</v>
      </c>
      <c r="G28">
        <v>1</v>
      </c>
      <c r="H28" s="9">
        <v>0.05</v>
      </c>
      <c r="I28" t="s">
        <v>699</v>
      </c>
      <c r="J28">
        <v>4</v>
      </c>
      <c r="K28">
        <v>4</v>
      </c>
      <c r="L28" t="str">
        <f>VLOOKUP(D28,Products!A:E,2,FALSE)</f>
        <v>USB-C Hub</v>
      </c>
      <c r="M28" t="str">
        <f>VLOOKUP(D28,Products!A:E,3,FALSE)</f>
        <v>Accessories</v>
      </c>
      <c r="N28">
        <f>VLOOKUP(D28,Products!A:E,4,FALSE)</f>
        <v>68</v>
      </c>
      <c r="O28" s="13">
        <f>VLOOKUP(D28,Products!A:E,5,FALSE)</f>
        <v>31</v>
      </c>
      <c r="P28" s="13" t="str">
        <f>VLOOKUP(C28,Customers!A:C,3,FALSE)</f>
        <v>Corporate</v>
      </c>
      <c r="Q28" s="13">
        <f t="shared" si="0"/>
        <v>64.599999999999994</v>
      </c>
      <c r="R28" s="13">
        <f t="shared" si="1"/>
        <v>31</v>
      </c>
      <c r="S28" s="13">
        <f t="shared" si="2"/>
        <v>33.599999999999994</v>
      </c>
      <c r="T28" s="14">
        <f t="shared" si="3"/>
        <v>0.52012383900928794</v>
      </c>
    </row>
    <row r="29" spans="1:20">
      <c r="A29" t="s">
        <v>733</v>
      </c>
      <c r="B29" s="8">
        <v>45766</v>
      </c>
      <c r="C29" t="s">
        <v>529</v>
      </c>
      <c r="D29" t="s">
        <v>70</v>
      </c>
      <c r="E29" t="s">
        <v>701</v>
      </c>
      <c r="F29" t="s">
        <v>698</v>
      </c>
      <c r="G29">
        <v>3</v>
      </c>
      <c r="H29" s="9">
        <v>0</v>
      </c>
      <c r="I29" t="s">
        <v>699</v>
      </c>
      <c r="J29">
        <v>5</v>
      </c>
      <c r="K29">
        <v>3</v>
      </c>
      <c r="L29" t="str">
        <f>VLOOKUP(D29,Products!A:E,2,FALSE)</f>
        <v>USB-C Hub</v>
      </c>
      <c r="M29" t="str">
        <f>VLOOKUP(D29,Products!A:E,3,FALSE)</f>
        <v>Accessories</v>
      </c>
      <c r="N29">
        <f>VLOOKUP(D29,Products!A:E,4,FALSE)</f>
        <v>68</v>
      </c>
      <c r="O29" s="13">
        <f>VLOOKUP(D29,Products!A:E,5,FALSE)</f>
        <v>31</v>
      </c>
      <c r="P29" s="13" t="str">
        <f>VLOOKUP(C29,Customers!A:C,3,FALSE)</f>
        <v>Corporate</v>
      </c>
      <c r="Q29" s="13">
        <f t="shared" si="0"/>
        <v>204</v>
      </c>
      <c r="R29" s="13">
        <f t="shared" si="1"/>
        <v>93</v>
      </c>
      <c r="S29" s="13">
        <f t="shared" si="2"/>
        <v>111</v>
      </c>
      <c r="T29" s="14">
        <f t="shared" si="3"/>
        <v>0.54411764705882348</v>
      </c>
    </row>
    <row r="30" spans="1:20">
      <c r="A30" t="s">
        <v>734</v>
      </c>
      <c r="B30" s="8">
        <v>46209</v>
      </c>
      <c r="C30" t="s">
        <v>581</v>
      </c>
      <c r="D30" t="s">
        <v>77</v>
      </c>
      <c r="E30" t="s">
        <v>715</v>
      </c>
      <c r="F30" t="s">
        <v>698</v>
      </c>
      <c r="G30">
        <v>1</v>
      </c>
      <c r="H30" s="9">
        <v>0.15</v>
      </c>
      <c r="I30" t="s">
        <v>699</v>
      </c>
      <c r="J30">
        <v>2</v>
      </c>
      <c r="K30">
        <v>6</v>
      </c>
      <c r="L30" t="str">
        <f>VLOOKUP(D30,Products!A:E,2,FALSE)</f>
        <v>File Folder Pack</v>
      </c>
      <c r="M30" t="str">
        <f>VLOOKUP(D30,Products!A:E,3,FALSE)</f>
        <v>Office Supplies</v>
      </c>
      <c r="N30">
        <f>VLOOKUP(D30,Products!A:E,4,FALSE)</f>
        <v>23</v>
      </c>
      <c r="O30" s="13">
        <f>VLOOKUP(D30,Products!A:E,5,FALSE)</f>
        <v>10</v>
      </c>
      <c r="P30" s="13" t="str">
        <f>VLOOKUP(C30,Customers!A:C,3,FALSE)</f>
        <v>Consumer</v>
      </c>
      <c r="Q30" s="13">
        <f t="shared" si="0"/>
        <v>19.55</v>
      </c>
      <c r="R30" s="13">
        <f t="shared" si="1"/>
        <v>10</v>
      </c>
      <c r="S30" s="13">
        <f t="shared" si="2"/>
        <v>9.5500000000000007</v>
      </c>
      <c r="T30" s="14">
        <f t="shared" si="3"/>
        <v>0.48849104859335041</v>
      </c>
    </row>
    <row r="31" spans="1:20">
      <c r="A31" t="s">
        <v>735</v>
      </c>
      <c r="B31" s="8">
        <v>46133</v>
      </c>
      <c r="C31" t="s">
        <v>669</v>
      </c>
      <c r="D31" t="s">
        <v>72</v>
      </c>
      <c r="E31" t="s">
        <v>708</v>
      </c>
      <c r="F31" t="s">
        <v>698</v>
      </c>
      <c r="G31">
        <v>2</v>
      </c>
      <c r="H31" s="9">
        <v>0.05</v>
      </c>
      <c r="I31" t="s">
        <v>699</v>
      </c>
      <c r="J31">
        <v>4</v>
      </c>
      <c r="K31">
        <v>3</v>
      </c>
      <c r="L31" t="str">
        <f>VLOOKUP(D31,Products!A:E,2,FALSE)</f>
        <v>Phone Charger</v>
      </c>
      <c r="M31" t="str">
        <f>VLOOKUP(D31,Products!A:E,3,FALSE)</f>
        <v>Accessories</v>
      </c>
      <c r="N31">
        <f>VLOOKUP(D31,Products!A:E,4,FALSE)</f>
        <v>32</v>
      </c>
      <c r="O31" s="13">
        <f>VLOOKUP(D31,Products!A:E,5,FALSE)</f>
        <v>13</v>
      </c>
      <c r="P31" s="13" t="str">
        <f>VLOOKUP(C31,Customers!A:C,3,FALSE)</f>
        <v>Corporate</v>
      </c>
      <c r="Q31" s="13">
        <f t="shared" si="0"/>
        <v>60.8</v>
      </c>
      <c r="R31" s="13">
        <f t="shared" si="1"/>
        <v>26</v>
      </c>
      <c r="S31" s="13">
        <f t="shared" si="2"/>
        <v>34.799999999999997</v>
      </c>
      <c r="T31" s="14">
        <f t="shared" si="3"/>
        <v>0.57236842105263153</v>
      </c>
    </row>
    <row r="32" spans="1:20">
      <c r="A32" t="s">
        <v>736</v>
      </c>
      <c r="B32" s="8">
        <v>45940</v>
      </c>
      <c r="C32" t="s">
        <v>655</v>
      </c>
      <c r="D32" t="s">
        <v>45</v>
      </c>
      <c r="E32" t="s">
        <v>715</v>
      </c>
      <c r="F32" t="s">
        <v>702</v>
      </c>
      <c r="G32">
        <v>1</v>
      </c>
      <c r="H32" s="9">
        <v>0</v>
      </c>
      <c r="I32" t="s">
        <v>699</v>
      </c>
      <c r="J32">
        <v>3</v>
      </c>
      <c r="K32">
        <v>4</v>
      </c>
      <c r="L32" t="str">
        <f>VLOOKUP(D32,Products!A:E,2,FALSE)</f>
        <v>Laptop</v>
      </c>
      <c r="M32" t="str">
        <f>VLOOKUP(D32,Products!A:E,3,FALSE)</f>
        <v>Technology</v>
      </c>
      <c r="N32">
        <f>VLOOKUP(D32,Products!A:E,4,FALSE)</f>
        <v>1100</v>
      </c>
      <c r="O32" s="13">
        <f>VLOOKUP(D32,Products!A:E,5,FALSE)</f>
        <v>720</v>
      </c>
      <c r="P32" s="13" t="str">
        <f>VLOOKUP(C32,Customers!A:C,3,FALSE)</f>
        <v>Consumer</v>
      </c>
      <c r="Q32" s="13">
        <f t="shared" si="0"/>
        <v>1100</v>
      </c>
      <c r="R32" s="13">
        <f t="shared" si="1"/>
        <v>720</v>
      </c>
      <c r="S32" s="13">
        <f t="shared" si="2"/>
        <v>380</v>
      </c>
      <c r="T32" s="14">
        <f t="shared" si="3"/>
        <v>0.34545454545454546</v>
      </c>
    </row>
    <row r="33" spans="1:20">
      <c r="A33" t="s">
        <v>737</v>
      </c>
      <c r="B33" s="8">
        <v>46160</v>
      </c>
      <c r="C33" t="s">
        <v>545</v>
      </c>
      <c r="D33" t="s">
        <v>45</v>
      </c>
      <c r="E33" t="s">
        <v>705</v>
      </c>
      <c r="F33" t="s">
        <v>702</v>
      </c>
      <c r="G33">
        <v>3</v>
      </c>
      <c r="H33" s="9">
        <v>0</v>
      </c>
      <c r="I33" t="s">
        <v>699</v>
      </c>
      <c r="J33">
        <v>4</v>
      </c>
      <c r="K33">
        <v>5</v>
      </c>
      <c r="L33" t="str">
        <f>VLOOKUP(D33,Products!A:E,2,FALSE)</f>
        <v>Laptop</v>
      </c>
      <c r="M33" t="str">
        <f>VLOOKUP(D33,Products!A:E,3,FALSE)</f>
        <v>Technology</v>
      </c>
      <c r="N33">
        <f>VLOOKUP(D33,Products!A:E,4,FALSE)</f>
        <v>1100</v>
      </c>
      <c r="O33" s="13">
        <f>VLOOKUP(D33,Products!A:E,5,FALSE)</f>
        <v>720</v>
      </c>
      <c r="P33" s="13" t="str">
        <f>VLOOKUP(C33,Customers!A:C,3,FALSE)</f>
        <v>Small Business</v>
      </c>
      <c r="Q33" s="13">
        <f t="shared" si="0"/>
        <v>3300</v>
      </c>
      <c r="R33" s="13">
        <f t="shared" si="1"/>
        <v>2160</v>
      </c>
      <c r="S33" s="13">
        <f t="shared" si="2"/>
        <v>1140</v>
      </c>
      <c r="T33" s="14">
        <f t="shared" si="3"/>
        <v>0.34545454545454546</v>
      </c>
    </row>
    <row r="34" spans="1:20">
      <c r="A34" t="s">
        <v>738</v>
      </c>
      <c r="B34" s="8">
        <v>46010</v>
      </c>
      <c r="C34" t="s">
        <v>521</v>
      </c>
      <c r="D34" t="s">
        <v>68</v>
      </c>
      <c r="E34" t="s">
        <v>708</v>
      </c>
      <c r="F34" t="s">
        <v>702</v>
      </c>
      <c r="G34">
        <v>1</v>
      </c>
      <c r="H34" s="9">
        <v>0</v>
      </c>
      <c r="I34" t="s">
        <v>699</v>
      </c>
      <c r="J34">
        <v>4</v>
      </c>
      <c r="K34">
        <v>5</v>
      </c>
      <c r="L34" t="str">
        <f>VLOOKUP(D34,Products!A:E,2,FALSE)</f>
        <v>Backpack</v>
      </c>
      <c r="M34" t="str">
        <f>VLOOKUP(D34,Products!A:E,3,FALSE)</f>
        <v>Accessories</v>
      </c>
      <c r="N34">
        <f>VLOOKUP(D34,Products!A:E,4,FALSE)</f>
        <v>85</v>
      </c>
      <c r="O34" s="13">
        <f>VLOOKUP(D34,Products!A:E,5,FALSE)</f>
        <v>39</v>
      </c>
      <c r="P34" s="13" t="str">
        <f>VLOOKUP(C34,Customers!A:C,3,FALSE)</f>
        <v>Corporate</v>
      </c>
      <c r="Q34" s="13">
        <f t="shared" si="0"/>
        <v>85</v>
      </c>
      <c r="R34" s="13">
        <f t="shared" si="1"/>
        <v>39</v>
      </c>
      <c r="S34" s="13">
        <f t="shared" si="2"/>
        <v>46</v>
      </c>
      <c r="T34" s="14">
        <f t="shared" si="3"/>
        <v>0.54117647058823526</v>
      </c>
    </row>
    <row r="35" spans="1:20">
      <c r="A35" t="s">
        <v>739</v>
      </c>
      <c r="B35" s="8">
        <v>45847</v>
      </c>
      <c r="C35" t="s">
        <v>283</v>
      </c>
      <c r="D35" t="s">
        <v>58</v>
      </c>
      <c r="E35" t="s">
        <v>701</v>
      </c>
      <c r="F35" t="s">
        <v>702</v>
      </c>
      <c r="G35">
        <v>3</v>
      </c>
      <c r="H35" s="9">
        <v>0.1</v>
      </c>
      <c r="I35" t="s">
        <v>699</v>
      </c>
      <c r="J35">
        <v>5</v>
      </c>
      <c r="K35">
        <v>2</v>
      </c>
      <c r="L35" t="str">
        <f>VLOOKUP(D35,Products!A:E,2,FALSE)</f>
        <v>Standing Desk</v>
      </c>
      <c r="M35" t="str">
        <f>VLOOKUP(D35,Products!A:E,3,FALSE)</f>
        <v>Furniture</v>
      </c>
      <c r="N35">
        <f>VLOOKUP(D35,Products!A:E,4,FALSE)</f>
        <v>540</v>
      </c>
      <c r="O35" s="13">
        <f>VLOOKUP(D35,Products!A:E,5,FALSE)</f>
        <v>320</v>
      </c>
      <c r="P35" s="13" t="str">
        <f>VLOOKUP(C35,Customers!A:C,3,FALSE)</f>
        <v>Small Business</v>
      </c>
      <c r="Q35" s="13">
        <f t="shared" si="0"/>
        <v>1458</v>
      </c>
      <c r="R35" s="13">
        <f t="shared" si="1"/>
        <v>960</v>
      </c>
      <c r="S35" s="13">
        <f t="shared" si="2"/>
        <v>498</v>
      </c>
      <c r="T35" s="14">
        <f t="shared" si="3"/>
        <v>0.34156378600823045</v>
      </c>
    </row>
    <row r="36" spans="1:20">
      <c r="A36" t="s">
        <v>740</v>
      </c>
      <c r="B36" s="8">
        <v>45961</v>
      </c>
      <c r="C36" t="s">
        <v>319</v>
      </c>
      <c r="D36" t="s">
        <v>70</v>
      </c>
      <c r="E36" t="s">
        <v>705</v>
      </c>
      <c r="F36" t="s">
        <v>702</v>
      </c>
      <c r="G36">
        <v>2</v>
      </c>
      <c r="H36" s="9">
        <v>0</v>
      </c>
      <c r="I36" t="s">
        <v>703</v>
      </c>
      <c r="J36">
        <v>4</v>
      </c>
      <c r="K36">
        <v>6</v>
      </c>
      <c r="L36" t="str">
        <f>VLOOKUP(D36,Products!A:E,2,FALSE)</f>
        <v>USB-C Hub</v>
      </c>
      <c r="M36" t="str">
        <f>VLOOKUP(D36,Products!A:E,3,FALSE)</f>
        <v>Accessories</v>
      </c>
      <c r="N36">
        <f>VLOOKUP(D36,Products!A:E,4,FALSE)</f>
        <v>68</v>
      </c>
      <c r="O36" s="13">
        <f>VLOOKUP(D36,Products!A:E,5,FALSE)</f>
        <v>31</v>
      </c>
      <c r="P36" s="13" t="str">
        <f>VLOOKUP(C36,Customers!A:C,3,FALSE)</f>
        <v>Consumer</v>
      </c>
      <c r="Q36" s="13">
        <f t="shared" si="0"/>
        <v>136</v>
      </c>
      <c r="R36" s="13">
        <f t="shared" si="1"/>
        <v>62</v>
      </c>
      <c r="S36" s="13">
        <f t="shared" si="2"/>
        <v>74</v>
      </c>
      <c r="T36" s="14">
        <f t="shared" si="3"/>
        <v>0.54411764705882348</v>
      </c>
    </row>
    <row r="37" spans="1:20">
      <c r="A37" t="s">
        <v>741</v>
      </c>
      <c r="B37" s="8">
        <v>45763</v>
      </c>
      <c r="C37" t="s">
        <v>98</v>
      </c>
      <c r="D37" t="s">
        <v>65</v>
      </c>
      <c r="E37" t="s">
        <v>715</v>
      </c>
      <c r="F37" t="s">
        <v>702</v>
      </c>
      <c r="G37">
        <v>1</v>
      </c>
      <c r="H37" s="9">
        <v>0</v>
      </c>
      <c r="I37" t="s">
        <v>703</v>
      </c>
      <c r="J37">
        <v>4</v>
      </c>
      <c r="K37">
        <v>5</v>
      </c>
      <c r="L37" t="str">
        <f>VLOOKUP(D37,Products!A:E,2,FALSE)</f>
        <v>Laptop Stand</v>
      </c>
      <c r="M37" t="str">
        <f>VLOOKUP(D37,Products!A:E,3,FALSE)</f>
        <v>Accessories</v>
      </c>
      <c r="N37">
        <f>VLOOKUP(D37,Products!A:E,4,FALSE)</f>
        <v>48</v>
      </c>
      <c r="O37" s="13">
        <f>VLOOKUP(D37,Products!A:E,5,FALSE)</f>
        <v>22</v>
      </c>
      <c r="P37" s="13" t="str">
        <f>VLOOKUP(C37,Customers!A:C,3,FALSE)</f>
        <v>Small Business</v>
      </c>
      <c r="Q37" s="13">
        <f t="shared" si="0"/>
        <v>48</v>
      </c>
      <c r="R37" s="13">
        <f t="shared" si="1"/>
        <v>22</v>
      </c>
      <c r="S37" s="13">
        <f t="shared" si="2"/>
        <v>26</v>
      </c>
      <c r="T37" s="14">
        <f t="shared" si="3"/>
        <v>0.54166666666666663</v>
      </c>
    </row>
    <row r="38" spans="1:20">
      <c r="A38" t="s">
        <v>742</v>
      </c>
      <c r="B38" s="8">
        <v>46161</v>
      </c>
      <c r="C38" t="s">
        <v>161</v>
      </c>
      <c r="D38" t="s">
        <v>48</v>
      </c>
      <c r="E38" t="s">
        <v>705</v>
      </c>
      <c r="F38" t="s">
        <v>698</v>
      </c>
      <c r="G38">
        <v>7</v>
      </c>
      <c r="H38" s="9">
        <v>0</v>
      </c>
      <c r="I38" t="s">
        <v>699</v>
      </c>
      <c r="J38">
        <v>4</v>
      </c>
      <c r="K38">
        <v>4</v>
      </c>
      <c r="L38" t="str">
        <f>VLOOKUP(D38,Products!A:E,2,FALSE)</f>
        <v>Monitor</v>
      </c>
      <c r="M38" t="str">
        <f>VLOOKUP(D38,Products!A:E,3,FALSE)</f>
        <v>Technology</v>
      </c>
      <c r="N38">
        <f>VLOOKUP(D38,Products!A:E,4,FALSE)</f>
        <v>310</v>
      </c>
      <c r="O38" s="13">
        <f>VLOOKUP(D38,Products!A:E,5,FALSE)</f>
        <v>190</v>
      </c>
      <c r="P38" s="13" t="str">
        <f>VLOOKUP(C38,Customers!A:C,3,FALSE)</f>
        <v>Corporate</v>
      </c>
      <c r="Q38" s="13">
        <f t="shared" si="0"/>
        <v>2170</v>
      </c>
      <c r="R38" s="13">
        <f t="shared" si="1"/>
        <v>1330</v>
      </c>
      <c r="S38" s="13">
        <f t="shared" si="2"/>
        <v>840</v>
      </c>
      <c r="T38" s="14">
        <f t="shared" si="3"/>
        <v>0.38709677419354838</v>
      </c>
    </row>
    <row r="39" spans="1:20">
      <c r="A39" t="s">
        <v>743</v>
      </c>
      <c r="B39" s="8">
        <v>45889</v>
      </c>
      <c r="C39" t="s">
        <v>621</v>
      </c>
      <c r="D39" t="s">
        <v>72</v>
      </c>
      <c r="E39" t="s">
        <v>715</v>
      </c>
      <c r="F39" t="s">
        <v>702</v>
      </c>
      <c r="G39">
        <v>5</v>
      </c>
      <c r="H39" s="9">
        <v>0.2</v>
      </c>
      <c r="I39" t="s">
        <v>699</v>
      </c>
      <c r="J39">
        <v>5</v>
      </c>
      <c r="K39">
        <v>5</v>
      </c>
      <c r="L39" t="str">
        <f>VLOOKUP(D39,Products!A:E,2,FALSE)</f>
        <v>Phone Charger</v>
      </c>
      <c r="M39" t="str">
        <f>VLOOKUP(D39,Products!A:E,3,FALSE)</f>
        <v>Accessories</v>
      </c>
      <c r="N39">
        <f>VLOOKUP(D39,Products!A:E,4,FALSE)</f>
        <v>32</v>
      </c>
      <c r="O39" s="13">
        <f>VLOOKUP(D39,Products!A:E,5,FALSE)</f>
        <v>13</v>
      </c>
      <c r="P39" s="13" t="str">
        <f>VLOOKUP(C39,Customers!A:C,3,FALSE)</f>
        <v>Small Business</v>
      </c>
      <c r="Q39" s="13">
        <f t="shared" si="0"/>
        <v>128</v>
      </c>
      <c r="R39" s="13">
        <f t="shared" si="1"/>
        <v>65</v>
      </c>
      <c r="S39" s="13">
        <f t="shared" si="2"/>
        <v>63</v>
      </c>
      <c r="T39" s="14">
        <f t="shared" si="3"/>
        <v>0.4921875</v>
      </c>
    </row>
    <row r="40" spans="1:20">
      <c r="A40" t="s">
        <v>744</v>
      </c>
      <c r="B40" s="8">
        <v>45759</v>
      </c>
      <c r="C40" t="s">
        <v>299</v>
      </c>
      <c r="D40" t="s">
        <v>58</v>
      </c>
      <c r="E40" t="s">
        <v>708</v>
      </c>
      <c r="F40" t="s">
        <v>702</v>
      </c>
      <c r="G40">
        <v>1</v>
      </c>
      <c r="H40" s="9">
        <v>0.05</v>
      </c>
      <c r="I40" t="s">
        <v>699</v>
      </c>
      <c r="J40">
        <v>4</v>
      </c>
      <c r="K40">
        <v>5</v>
      </c>
      <c r="L40" t="str">
        <f>VLOOKUP(D40,Products!A:E,2,FALSE)</f>
        <v>Standing Desk</v>
      </c>
      <c r="M40" t="str">
        <f>VLOOKUP(D40,Products!A:E,3,FALSE)</f>
        <v>Furniture</v>
      </c>
      <c r="N40">
        <f>VLOOKUP(D40,Products!A:E,4,FALSE)</f>
        <v>540</v>
      </c>
      <c r="O40" s="13">
        <f>VLOOKUP(D40,Products!A:E,5,FALSE)</f>
        <v>320</v>
      </c>
      <c r="P40" s="13" t="str">
        <f>VLOOKUP(C40,Customers!A:C,3,FALSE)</f>
        <v>Consumer</v>
      </c>
      <c r="Q40" s="13">
        <f t="shared" si="0"/>
        <v>513</v>
      </c>
      <c r="R40" s="13">
        <f t="shared" si="1"/>
        <v>320</v>
      </c>
      <c r="S40" s="13">
        <f t="shared" si="2"/>
        <v>193</v>
      </c>
      <c r="T40" s="14">
        <f t="shared" si="3"/>
        <v>0.37621832358674462</v>
      </c>
    </row>
    <row r="41" spans="1:20">
      <c r="A41" t="s">
        <v>745</v>
      </c>
      <c r="B41" s="8">
        <v>46139</v>
      </c>
      <c r="C41" t="s">
        <v>385</v>
      </c>
      <c r="D41" t="s">
        <v>48</v>
      </c>
      <c r="E41" t="s">
        <v>708</v>
      </c>
      <c r="F41" t="s">
        <v>698</v>
      </c>
      <c r="G41">
        <v>3</v>
      </c>
      <c r="H41" s="9">
        <v>0</v>
      </c>
      <c r="I41" t="s">
        <v>699</v>
      </c>
      <c r="J41">
        <v>5</v>
      </c>
      <c r="K41">
        <v>5</v>
      </c>
      <c r="L41" t="str">
        <f>VLOOKUP(D41,Products!A:E,2,FALSE)</f>
        <v>Monitor</v>
      </c>
      <c r="M41" t="str">
        <f>VLOOKUP(D41,Products!A:E,3,FALSE)</f>
        <v>Technology</v>
      </c>
      <c r="N41">
        <f>VLOOKUP(D41,Products!A:E,4,FALSE)</f>
        <v>310</v>
      </c>
      <c r="O41" s="13">
        <f>VLOOKUP(D41,Products!A:E,5,FALSE)</f>
        <v>190</v>
      </c>
      <c r="P41" s="13" t="str">
        <f>VLOOKUP(C41,Customers!A:C,3,FALSE)</f>
        <v>Consumer</v>
      </c>
      <c r="Q41" s="13">
        <f t="shared" si="0"/>
        <v>930</v>
      </c>
      <c r="R41" s="13">
        <f t="shared" si="1"/>
        <v>570</v>
      </c>
      <c r="S41" s="13">
        <f t="shared" si="2"/>
        <v>360</v>
      </c>
      <c r="T41" s="14">
        <f t="shared" si="3"/>
        <v>0.38709677419354838</v>
      </c>
    </row>
    <row r="42" spans="1:20">
      <c r="A42" t="s">
        <v>746</v>
      </c>
      <c r="B42" s="8">
        <v>45860</v>
      </c>
      <c r="C42" t="s">
        <v>521</v>
      </c>
      <c r="D42" t="s">
        <v>52</v>
      </c>
      <c r="E42" t="s">
        <v>715</v>
      </c>
      <c r="F42" t="s">
        <v>698</v>
      </c>
      <c r="G42">
        <v>6</v>
      </c>
      <c r="H42" s="9">
        <v>0.1</v>
      </c>
      <c r="I42" t="s">
        <v>699</v>
      </c>
      <c r="J42">
        <v>3</v>
      </c>
      <c r="K42">
        <v>3</v>
      </c>
      <c r="L42" t="str">
        <f>VLOOKUP(D42,Products!A:E,2,FALSE)</f>
        <v>Mouse</v>
      </c>
      <c r="M42" t="str">
        <f>VLOOKUP(D42,Products!A:E,3,FALSE)</f>
        <v>Technology</v>
      </c>
      <c r="N42">
        <f>VLOOKUP(D42,Products!A:E,4,FALSE)</f>
        <v>42</v>
      </c>
      <c r="O42" s="13">
        <f>VLOOKUP(D42,Products!A:E,5,FALSE)</f>
        <v>19</v>
      </c>
      <c r="P42" s="13" t="str">
        <f>VLOOKUP(C42,Customers!A:C,3,FALSE)</f>
        <v>Corporate</v>
      </c>
      <c r="Q42" s="13">
        <f t="shared" si="0"/>
        <v>226.8</v>
      </c>
      <c r="R42" s="13">
        <f t="shared" si="1"/>
        <v>114</v>
      </c>
      <c r="S42" s="13">
        <f t="shared" si="2"/>
        <v>112.80000000000001</v>
      </c>
      <c r="T42" s="14">
        <f t="shared" si="3"/>
        <v>0.49735449735449738</v>
      </c>
    </row>
    <row r="43" spans="1:20">
      <c r="A43" t="s">
        <v>747</v>
      </c>
      <c r="B43" s="8">
        <v>46240</v>
      </c>
      <c r="C43" t="s">
        <v>381</v>
      </c>
      <c r="D43" t="s">
        <v>77</v>
      </c>
      <c r="E43" t="s">
        <v>705</v>
      </c>
      <c r="F43" t="s">
        <v>698</v>
      </c>
      <c r="G43">
        <v>3</v>
      </c>
      <c r="H43" s="9">
        <v>0.2</v>
      </c>
      <c r="I43" t="s">
        <v>699</v>
      </c>
      <c r="J43">
        <v>4</v>
      </c>
      <c r="K43">
        <v>1</v>
      </c>
      <c r="L43" t="str">
        <f>VLOOKUP(D43,Products!A:E,2,FALSE)</f>
        <v>File Folder Pack</v>
      </c>
      <c r="M43" t="str">
        <f>VLOOKUP(D43,Products!A:E,3,FALSE)</f>
        <v>Office Supplies</v>
      </c>
      <c r="N43">
        <f>VLOOKUP(D43,Products!A:E,4,FALSE)</f>
        <v>23</v>
      </c>
      <c r="O43" s="13">
        <f>VLOOKUP(D43,Products!A:E,5,FALSE)</f>
        <v>10</v>
      </c>
      <c r="P43" s="13" t="str">
        <f>VLOOKUP(C43,Customers!A:C,3,FALSE)</f>
        <v>Corporate</v>
      </c>
      <c r="Q43" s="13">
        <f t="shared" si="0"/>
        <v>55.2</v>
      </c>
      <c r="R43" s="13">
        <f t="shared" si="1"/>
        <v>30</v>
      </c>
      <c r="S43" s="13">
        <f t="shared" si="2"/>
        <v>25.200000000000003</v>
      </c>
      <c r="T43" s="14">
        <f t="shared" si="3"/>
        <v>0.45652173913043481</v>
      </c>
    </row>
    <row r="44" spans="1:20">
      <c r="A44" t="s">
        <v>748</v>
      </c>
      <c r="B44" s="8">
        <v>45698</v>
      </c>
      <c r="C44" t="s">
        <v>529</v>
      </c>
      <c r="D44" t="s">
        <v>68</v>
      </c>
      <c r="E44" t="s">
        <v>701</v>
      </c>
      <c r="F44" t="s">
        <v>702</v>
      </c>
      <c r="G44">
        <v>1</v>
      </c>
      <c r="H44" s="9">
        <v>0.1</v>
      </c>
      <c r="I44" t="s">
        <v>699</v>
      </c>
      <c r="J44">
        <v>4</v>
      </c>
      <c r="K44">
        <v>1</v>
      </c>
      <c r="L44" t="str">
        <f>VLOOKUP(D44,Products!A:E,2,FALSE)</f>
        <v>Backpack</v>
      </c>
      <c r="M44" t="str">
        <f>VLOOKUP(D44,Products!A:E,3,FALSE)</f>
        <v>Accessories</v>
      </c>
      <c r="N44">
        <f>VLOOKUP(D44,Products!A:E,4,FALSE)</f>
        <v>85</v>
      </c>
      <c r="O44" s="13">
        <f>VLOOKUP(D44,Products!A:E,5,FALSE)</f>
        <v>39</v>
      </c>
      <c r="P44" s="13" t="str">
        <f>VLOOKUP(C44,Customers!A:C,3,FALSE)</f>
        <v>Corporate</v>
      </c>
      <c r="Q44" s="13">
        <f t="shared" si="0"/>
        <v>76.5</v>
      </c>
      <c r="R44" s="13">
        <f t="shared" si="1"/>
        <v>39</v>
      </c>
      <c r="S44" s="13">
        <f t="shared" si="2"/>
        <v>37.5</v>
      </c>
      <c r="T44" s="14">
        <f t="shared" si="3"/>
        <v>0.49019607843137253</v>
      </c>
    </row>
    <row r="45" spans="1:20">
      <c r="A45" t="s">
        <v>749</v>
      </c>
      <c r="B45" s="8">
        <v>45933</v>
      </c>
      <c r="C45" t="s">
        <v>677</v>
      </c>
      <c r="D45" t="s">
        <v>48</v>
      </c>
      <c r="E45" t="s">
        <v>701</v>
      </c>
      <c r="F45" t="s">
        <v>702</v>
      </c>
      <c r="G45">
        <v>2</v>
      </c>
      <c r="H45" s="9">
        <v>0</v>
      </c>
      <c r="I45" t="s">
        <v>699</v>
      </c>
      <c r="J45">
        <v>5</v>
      </c>
      <c r="K45">
        <v>4</v>
      </c>
      <c r="L45" t="str">
        <f>VLOOKUP(D45,Products!A:E,2,FALSE)</f>
        <v>Monitor</v>
      </c>
      <c r="M45" t="str">
        <f>VLOOKUP(D45,Products!A:E,3,FALSE)</f>
        <v>Technology</v>
      </c>
      <c r="N45">
        <f>VLOOKUP(D45,Products!A:E,4,FALSE)</f>
        <v>310</v>
      </c>
      <c r="O45" s="13">
        <f>VLOOKUP(D45,Products!A:E,5,FALSE)</f>
        <v>190</v>
      </c>
      <c r="P45" s="13" t="str">
        <f>VLOOKUP(C45,Customers!A:C,3,FALSE)</f>
        <v>Corporate</v>
      </c>
      <c r="Q45" s="13">
        <f t="shared" si="0"/>
        <v>620</v>
      </c>
      <c r="R45" s="13">
        <f t="shared" si="1"/>
        <v>380</v>
      </c>
      <c r="S45" s="13">
        <f t="shared" si="2"/>
        <v>240</v>
      </c>
      <c r="T45" s="14">
        <f t="shared" si="3"/>
        <v>0.38709677419354838</v>
      </c>
    </row>
    <row r="46" spans="1:20">
      <c r="A46" t="s">
        <v>750</v>
      </c>
      <c r="B46" s="8">
        <v>46161</v>
      </c>
      <c r="C46" t="s">
        <v>179</v>
      </c>
      <c r="D46" t="s">
        <v>79</v>
      </c>
      <c r="E46" t="s">
        <v>708</v>
      </c>
      <c r="F46" t="s">
        <v>702</v>
      </c>
      <c r="G46">
        <v>3</v>
      </c>
      <c r="H46" s="9">
        <v>0.15</v>
      </c>
      <c r="I46" t="s">
        <v>699</v>
      </c>
      <c r="J46">
        <v>5</v>
      </c>
      <c r="K46">
        <v>3</v>
      </c>
      <c r="L46" t="str">
        <f>VLOOKUP(D46,Products!A:E,2,FALSE)</f>
        <v>Desk Organiser</v>
      </c>
      <c r="M46" t="str">
        <f>VLOOKUP(D46,Products!A:E,3,FALSE)</f>
        <v>Office Supplies</v>
      </c>
      <c r="N46">
        <f>VLOOKUP(D46,Products!A:E,4,FALSE)</f>
        <v>28</v>
      </c>
      <c r="O46" s="13">
        <f>VLOOKUP(D46,Products!A:E,5,FALSE)</f>
        <v>12</v>
      </c>
      <c r="P46" s="13" t="str">
        <f>VLOOKUP(C46,Customers!A:C,3,FALSE)</f>
        <v>Consumer</v>
      </c>
      <c r="Q46" s="13">
        <f t="shared" si="0"/>
        <v>71.399999999999991</v>
      </c>
      <c r="R46" s="13">
        <f t="shared" si="1"/>
        <v>36</v>
      </c>
      <c r="S46" s="13">
        <f t="shared" si="2"/>
        <v>35.399999999999991</v>
      </c>
      <c r="T46" s="14">
        <f t="shared" si="3"/>
        <v>0.49579831932773105</v>
      </c>
    </row>
    <row r="47" spans="1:20">
      <c r="A47" t="s">
        <v>751</v>
      </c>
      <c r="B47" s="8">
        <v>46068</v>
      </c>
      <c r="C47" t="s">
        <v>649</v>
      </c>
      <c r="D47" t="s">
        <v>48</v>
      </c>
      <c r="E47" t="s">
        <v>715</v>
      </c>
      <c r="F47" t="s">
        <v>702</v>
      </c>
      <c r="G47">
        <v>2</v>
      </c>
      <c r="H47" s="9">
        <v>0.2</v>
      </c>
      <c r="I47" t="s">
        <v>699</v>
      </c>
      <c r="J47">
        <v>4</v>
      </c>
      <c r="K47">
        <v>1</v>
      </c>
      <c r="L47" t="str">
        <f>VLOOKUP(D47,Products!A:E,2,FALSE)</f>
        <v>Monitor</v>
      </c>
      <c r="M47" t="str">
        <f>VLOOKUP(D47,Products!A:E,3,FALSE)</f>
        <v>Technology</v>
      </c>
      <c r="N47">
        <f>VLOOKUP(D47,Products!A:E,4,FALSE)</f>
        <v>310</v>
      </c>
      <c r="O47" s="13">
        <f>VLOOKUP(D47,Products!A:E,5,FALSE)</f>
        <v>190</v>
      </c>
      <c r="P47" s="13" t="str">
        <f>VLOOKUP(C47,Customers!A:C,3,FALSE)</f>
        <v>Consumer</v>
      </c>
      <c r="Q47" s="13">
        <f t="shared" si="0"/>
        <v>496</v>
      </c>
      <c r="R47" s="13">
        <f t="shared" si="1"/>
        <v>380</v>
      </c>
      <c r="S47" s="13">
        <f t="shared" si="2"/>
        <v>116</v>
      </c>
      <c r="T47" s="14">
        <f t="shared" si="3"/>
        <v>0.23387096774193547</v>
      </c>
    </row>
    <row r="48" spans="1:20">
      <c r="A48" t="s">
        <v>752</v>
      </c>
      <c r="B48" s="8">
        <v>46213</v>
      </c>
      <c r="C48" t="s">
        <v>559</v>
      </c>
      <c r="D48" t="s">
        <v>74</v>
      </c>
      <c r="E48" t="s">
        <v>705</v>
      </c>
      <c r="F48" t="s">
        <v>698</v>
      </c>
      <c r="G48">
        <v>3</v>
      </c>
      <c r="H48" s="9">
        <v>0.05</v>
      </c>
      <c r="I48" t="s">
        <v>699</v>
      </c>
      <c r="J48">
        <v>2</v>
      </c>
      <c r="K48">
        <v>5</v>
      </c>
      <c r="L48" t="str">
        <f>VLOOKUP(D48,Products!A:E,2,FALSE)</f>
        <v>Printer Paper</v>
      </c>
      <c r="M48" t="str">
        <f>VLOOKUP(D48,Products!A:E,3,FALSE)</f>
        <v>Office Supplies</v>
      </c>
      <c r="N48">
        <f>VLOOKUP(D48,Products!A:E,4,FALSE)</f>
        <v>17</v>
      </c>
      <c r="O48" s="13">
        <f>VLOOKUP(D48,Products!A:E,5,FALSE)</f>
        <v>8</v>
      </c>
      <c r="P48" s="13" t="str">
        <f>VLOOKUP(C48,Customers!A:C,3,FALSE)</f>
        <v>Small Business</v>
      </c>
      <c r="Q48" s="13">
        <f t="shared" si="0"/>
        <v>48.449999999999996</v>
      </c>
      <c r="R48" s="13">
        <f t="shared" si="1"/>
        <v>24</v>
      </c>
      <c r="S48" s="13">
        <f t="shared" si="2"/>
        <v>24.449999999999996</v>
      </c>
      <c r="T48" s="14">
        <f t="shared" si="3"/>
        <v>0.50464396284829716</v>
      </c>
    </row>
    <row r="49" spans="1:20">
      <c r="A49" t="s">
        <v>753</v>
      </c>
      <c r="B49" s="8">
        <v>45952</v>
      </c>
      <c r="C49" t="s">
        <v>535</v>
      </c>
      <c r="D49" t="s">
        <v>79</v>
      </c>
      <c r="E49" t="s">
        <v>705</v>
      </c>
      <c r="F49" t="s">
        <v>706</v>
      </c>
      <c r="G49">
        <v>3</v>
      </c>
      <c r="H49" s="9">
        <v>0</v>
      </c>
      <c r="I49" t="s">
        <v>699</v>
      </c>
      <c r="J49">
        <v>4</v>
      </c>
      <c r="K49">
        <v>5</v>
      </c>
      <c r="L49" t="str">
        <f>VLOOKUP(D49,Products!A:E,2,FALSE)</f>
        <v>Desk Organiser</v>
      </c>
      <c r="M49" t="str">
        <f>VLOOKUP(D49,Products!A:E,3,FALSE)</f>
        <v>Office Supplies</v>
      </c>
      <c r="N49">
        <f>VLOOKUP(D49,Products!A:E,4,FALSE)</f>
        <v>28</v>
      </c>
      <c r="O49" s="13">
        <f>VLOOKUP(D49,Products!A:E,5,FALSE)</f>
        <v>12</v>
      </c>
      <c r="P49" s="13" t="str">
        <f>VLOOKUP(C49,Customers!A:C,3,FALSE)</f>
        <v>Consumer</v>
      </c>
      <c r="Q49" s="13">
        <f t="shared" si="0"/>
        <v>84</v>
      </c>
      <c r="R49" s="13">
        <f t="shared" si="1"/>
        <v>36</v>
      </c>
      <c r="S49" s="13">
        <f t="shared" si="2"/>
        <v>48</v>
      </c>
      <c r="T49" s="14">
        <f t="shared" si="3"/>
        <v>0.5714285714285714</v>
      </c>
    </row>
    <row r="50" spans="1:20">
      <c r="A50" t="s">
        <v>754</v>
      </c>
      <c r="B50" s="8">
        <v>46075</v>
      </c>
      <c r="C50" t="s">
        <v>181</v>
      </c>
      <c r="D50" t="s">
        <v>61</v>
      </c>
      <c r="E50" t="s">
        <v>697</v>
      </c>
      <c r="F50" t="s">
        <v>706</v>
      </c>
      <c r="G50">
        <v>2</v>
      </c>
      <c r="H50" s="9">
        <v>0</v>
      </c>
      <c r="I50" t="s">
        <v>699</v>
      </c>
      <c r="J50">
        <v>4</v>
      </c>
      <c r="K50">
        <v>3</v>
      </c>
      <c r="L50" t="str">
        <f>VLOOKUP(D50,Products!A:E,2,FALSE)</f>
        <v>Office Chair</v>
      </c>
      <c r="M50" t="str">
        <f>VLOOKUP(D50,Products!A:E,3,FALSE)</f>
        <v>Furniture</v>
      </c>
      <c r="N50">
        <f>VLOOKUP(D50,Products!A:E,4,FALSE)</f>
        <v>255</v>
      </c>
      <c r="O50" s="13">
        <f>VLOOKUP(D50,Products!A:E,5,FALSE)</f>
        <v>145</v>
      </c>
      <c r="P50" s="13" t="str">
        <f>VLOOKUP(C50,Customers!A:C,3,FALSE)</f>
        <v>Consumer</v>
      </c>
      <c r="Q50" s="13">
        <f t="shared" si="0"/>
        <v>510</v>
      </c>
      <c r="R50" s="13">
        <f t="shared" si="1"/>
        <v>290</v>
      </c>
      <c r="S50" s="13">
        <f t="shared" si="2"/>
        <v>220</v>
      </c>
      <c r="T50" s="14">
        <f t="shared" si="3"/>
        <v>0.43137254901960786</v>
      </c>
    </row>
    <row r="51" spans="1:20">
      <c r="A51" t="s">
        <v>755</v>
      </c>
      <c r="B51" s="8">
        <v>46179</v>
      </c>
      <c r="C51" t="s">
        <v>365</v>
      </c>
      <c r="D51" t="s">
        <v>74</v>
      </c>
      <c r="E51" t="s">
        <v>697</v>
      </c>
      <c r="F51" t="s">
        <v>706</v>
      </c>
      <c r="G51">
        <v>1</v>
      </c>
      <c r="H51" s="9">
        <v>0.05</v>
      </c>
      <c r="I51" t="s">
        <v>699</v>
      </c>
      <c r="J51">
        <v>5</v>
      </c>
      <c r="K51">
        <v>5</v>
      </c>
      <c r="L51" t="str">
        <f>VLOOKUP(D51,Products!A:E,2,FALSE)</f>
        <v>Printer Paper</v>
      </c>
      <c r="M51" t="str">
        <f>VLOOKUP(D51,Products!A:E,3,FALSE)</f>
        <v>Office Supplies</v>
      </c>
      <c r="N51">
        <f>VLOOKUP(D51,Products!A:E,4,FALSE)</f>
        <v>17</v>
      </c>
      <c r="O51" s="13">
        <f>VLOOKUP(D51,Products!A:E,5,FALSE)</f>
        <v>8</v>
      </c>
      <c r="P51" s="13" t="str">
        <f>VLOOKUP(C51,Customers!A:C,3,FALSE)</f>
        <v>Consumer</v>
      </c>
      <c r="Q51" s="13">
        <f t="shared" si="0"/>
        <v>16.149999999999999</v>
      </c>
      <c r="R51" s="13">
        <f t="shared" si="1"/>
        <v>8</v>
      </c>
      <c r="S51" s="13">
        <f t="shared" si="2"/>
        <v>8.1499999999999986</v>
      </c>
      <c r="T51" s="14">
        <f t="shared" si="3"/>
        <v>0.50464396284829716</v>
      </c>
    </row>
    <row r="52" spans="1:20">
      <c r="A52" t="s">
        <v>756</v>
      </c>
      <c r="B52" s="8">
        <v>45797</v>
      </c>
      <c r="C52" t="s">
        <v>157</v>
      </c>
      <c r="D52" t="s">
        <v>63</v>
      </c>
      <c r="E52" t="s">
        <v>697</v>
      </c>
      <c r="F52" t="s">
        <v>706</v>
      </c>
      <c r="G52">
        <v>2</v>
      </c>
      <c r="H52" s="9">
        <v>0.1</v>
      </c>
      <c r="I52" t="s">
        <v>699</v>
      </c>
      <c r="J52">
        <v>1</v>
      </c>
      <c r="K52">
        <v>7</v>
      </c>
      <c r="L52" t="str">
        <f>VLOOKUP(D52,Products!A:E,2,FALSE)</f>
        <v>Bookshelf</v>
      </c>
      <c r="M52" t="str">
        <f>VLOOKUP(D52,Products!A:E,3,FALSE)</f>
        <v>Furniture</v>
      </c>
      <c r="N52">
        <f>VLOOKUP(D52,Products!A:E,4,FALSE)</f>
        <v>185</v>
      </c>
      <c r="O52" s="13">
        <f>VLOOKUP(D52,Products!A:E,5,FALSE)</f>
        <v>105</v>
      </c>
      <c r="P52" s="13" t="str">
        <f>VLOOKUP(C52,Customers!A:C,3,FALSE)</f>
        <v>Corporate</v>
      </c>
      <c r="Q52" s="13">
        <f t="shared" si="0"/>
        <v>333</v>
      </c>
      <c r="R52" s="13">
        <f t="shared" si="1"/>
        <v>210</v>
      </c>
      <c r="S52" s="13">
        <f t="shared" si="2"/>
        <v>123</v>
      </c>
      <c r="T52" s="14">
        <f t="shared" si="3"/>
        <v>0.36936936936936937</v>
      </c>
    </row>
    <row r="53" spans="1:20">
      <c r="A53" t="s">
        <v>757</v>
      </c>
      <c r="B53" s="8">
        <v>45810</v>
      </c>
      <c r="C53" t="s">
        <v>543</v>
      </c>
      <c r="D53" t="s">
        <v>79</v>
      </c>
      <c r="E53" t="s">
        <v>708</v>
      </c>
      <c r="F53" t="s">
        <v>698</v>
      </c>
      <c r="G53">
        <v>2</v>
      </c>
      <c r="H53" s="9">
        <v>0</v>
      </c>
      <c r="I53" t="s">
        <v>699</v>
      </c>
      <c r="J53">
        <v>3</v>
      </c>
      <c r="K53">
        <v>2</v>
      </c>
      <c r="L53" t="str">
        <f>VLOOKUP(D53,Products!A:E,2,FALSE)</f>
        <v>Desk Organiser</v>
      </c>
      <c r="M53" t="str">
        <f>VLOOKUP(D53,Products!A:E,3,FALSE)</f>
        <v>Office Supplies</v>
      </c>
      <c r="N53">
        <f>VLOOKUP(D53,Products!A:E,4,FALSE)</f>
        <v>28</v>
      </c>
      <c r="O53" s="13">
        <f>VLOOKUP(D53,Products!A:E,5,FALSE)</f>
        <v>12</v>
      </c>
      <c r="P53" s="13" t="str">
        <f>VLOOKUP(C53,Customers!A:C,3,FALSE)</f>
        <v>Consumer</v>
      </c>
      <c r="Q53" s="13">
        <f t="shared" si="0"/>
        <v>56</v>
      </c>
      <c r="R53" s="13">
        <f t="shared" si="1"/>
        <v>24</v>
      </c>
      <c r="S53" s="13">
        <f t="shared" si="2"/>
        <v>32</v>
      </c>
      <c r="T53" s="14">
        <f t="shared" si="3"/>
        <v>0.5714285714285714</v>
      </c>
    </row>
    <row r="54" spans="1:20">
      <c r="A54" t="s">
        <v>758</v>
      </c>
      <c r="B54" s="8">
        <v>46243</v>
      </c>
      <c r="C54" t="s">
        <v>479</v>
      </c>
      <c r="D54" t="s">
        <v>61</v>
      </c>
      <c r="E54" t="s">
        <v>697</v>
      </c>
      <c r="F54" t="s">
        <v>702</v>
      </c>
      <c r="G54">
        <v>1</v>
      </c>
      <c r="H54" s="9">
        <v>0.05</v>
      </c>
      <c r="I54" t="s">
        <v>703</v>
      </c>
      <c r="J54">
        <v>4</v>
      </c>
      <c r="K54">
        <v>6</v>
      </c>
      <c r="L54" t="str">
        <f>VLOOKUP(D54,Products!A:E,2,FALSE)</f>
        <v>Office Chair</v>
      </c>
      <c r="M54" t="str">
        <f>VLOOKUP(D54,Products!A:E,3,FALSE)</f>
        <v>Furniture</v>
      </c>
      <c r="N54">
        <f>VLOOKUP(D54,Products!A:E,4,FALSE)</f>
        <v>255</v>
      </c>
      <c r="O54" s="13">
        <f>VLOOKUP(D54,Products!A:E,5,FALSE)</f>
        <v>145</v>
      </c>
      <c r="P54" s="13" t="str">
        <f>VLOOKUP(C54,Customers!A:C,3,FALSE)</f>
        <v>Corporate</v>
      </c>
      <c r="Q54" s="13">
        <f t="shared" si="0"/>
        <v>242.25</v>
      </c>
      <c r="R54" s="13">
        <f t="shared" si="1"/>
        <v>145</v>
      </c>
      <c r="S54" s="13">
        <f t="shared" si="2"/>
        <v>97.25</v>
      </c>
      <c r="T54" s="14">
        <f t="shared" si="3"/>
        <v>0.40144478844169246</v>
      </c>
    </row>
    <row r="55" spans="1:20">
      <c r="A55" t="s">
        <v>759</v>
      </c>
      <c r="B55" s="8">
        <v>45695</v>
      </c>
      <c r="C55" t="s">
        <v>215</v>
      </c>
      <c r="D55" t="s">
        <v>68</v>
      </c>
      <c r="E55" t="s">
        <v>697</v>
      </c>
      <c r="F55" t="s">
        <v>706</v>
      </c>
      <c r="G55">
        <v>2</v>
      </c>
      <c r="H55" s="9">
        <v>0.05</v>
      </c>
      <c r="I55" t="s">
        <v>699</v>
      </c>
      <c r="J55">
        <v>5</v>
      </c>
      <c r="K55">
        <v>4</v>
      </c>
      <c r="L55" t="str">
        <f>VLOOKUP(D55,Products!A:E,2,FALSE)</f>
        <v>Backpack</v>
      </c>
      <c r="M55" t="str">
        <f>VLOOKUP(D55,Products!A:E,3,FALSE)</f>
        <v>Accessories</v>
      </c>
      <c r="N55">
        <f>VLOOKUP(D55,Products!A:E,4,FALSE)</f>
        <v>85</v>
      </c>
      <c r="O55" s="13">
        <f>VLOOKUP(D55,Products!A:E,5,FALSE)</f>
        <v>39</v>
      </c>
      <c r="P55" s="13" t="str">
        <f>VLOOKUP(C55,Customers!A:C,3,FALSE)</f>
        <v>Small Business</v>
      </c>
      <c r="Q55" s="13">
        <f t="shared" si="0"/>
        <v>161.5</v>
      </c>
      <c r="R55" s="13">
        <f t="shared" si="1"/>
        <v>78</v>
      </c>
      <c r="S55" s="13">
        <f t="shared" si="2"/>
        <v>83.5</v>
      </c>
      <c r="T55" s="14">
        <f t="shared" si="3"/>
        <v>0.51702786377708976</v>
      </c>
    </row>
    <row r="56" spans="1:20">
      <c r="A56" t="s">
        <v>760</v>
      </c>
      <c r="B56" s="8">
        <v>45816</v>
      </c>
      <c r="C56" t="s">
        <v>163</v>
      </c>
      <c r="D56" t="s">
        <v>79</v>
      </c>
      <c r="E56" t="s">
        <v>697</v>
      </c>
      <c r="F56" t="s">
        <v>702</v>
      </c>
      <c r="G56">
        <v>3</v>
      </c>
      <c r="H56" s="9">
        <v>0</v>
      </c>
      <c r="I56" t="s">
        <v>699</v>
      </c>
      <c r="J56">
        <v>4</v>
      </c>
      <c r="K56">
        <v>5</v>
      </c>
      <c r="L56" t="str">
        <f>VLOOKUP(D56,Products!A:E,2,FALSE)</f>
        <v>Desk Organiser</v>
      </c>
      <c r="M56" t="str">
        <f>VLOOKUP(D56,Products!A:E,3,FALSE)</f>
        <v>Office Supplies</v>
      </c>
      <c r="N56">
        <f>VLOOKUP(D56,Products!A:E,4,FALSE)</f>
        <v>28</v>
      </c>
      <c r="O56" s="13">
        <f>VLOOKUP(D56,Products!A:E,5,FALSE)</f>
        <v>12</v>
      </c>
      <c r="P56" s="13" t="str">
        <f>VLOOKUP(C56,Customers!A:C,3,FALSE)</f>
        <v>Small Business</v>
      </c>
      <c r="Q56" s="13">
        <f t="shared" si="0"/>
        <v>84</v>
      </c>
      <c r="R56" s="13">
        <f t="shared" si="1"/>
        <v>36</v>
      </c>
      <c r="S56" s="13">
        <f t="shared" si="2"/>
        <v>48</v>
      </c>
      <c r="T56" s="14">
        <f t="shared" si="3"/>
        <v>0.5714285714285714</v>
      </c>
    </row>
    <row r="57" spans="1:20">
      <c r="A57" t="s">
        <v>761</v>
      </c>
      <c r="B57" s="8">
        <v>46047</v>
      </c>
      <c r="C57" t="s">
        <v>411</v>
      </c>
      <c r="D57" t="s">
        <v>79</v>
      </c>
      <c r="E57" t="s">
        <v>697</v>
      </c>
      <c r="F57" t="s">
        <v>702</v>
      </c>
      <c r="G57">
        <v>1</v>
      </c>
      <c r="H57" s="9">
        <v>0.05</v>
      </c>
      <c r="I57" t="s">
        <v>703</v>
      </c>
      <c r="J57">
        <v>5</v>
      </c>
      <c r="K57">
        <v>5</v>
      </c>
      <c r="L57" t="str">
        <f>VLOOKUP(D57,Products!A:E,2,FALSE)</f>
        <v>Desk Organiser</v>
      </c>
      <c r="M57" t="str">
        <f>VLOOKUP(D57,Products!A:E,3,FALSE)</f>
        <v>Office Supplies</v>
      </c>
      <c r="N57">
        <f>VLOOKUP(D57,Products!A:E,4,FALSE)</f>
        <v>28</v>
      </c>
      <c r="O57" s="13">
        <f>VLOOKUP(D57,Products!A:E,5,FALSE)</f>
        <v>12</v>
      </c>
      <c r="P57" s="13" t="str">
        <f>VLOOKUP(C57,Customers!A:C,3,FALSE)</f>
        <v>Consumer</v>
      </c>
      <c r="Q57" s="13">
        <f t="shared" si="0"/>
        <v>26.599999999999998</v>
      </c>
      <c r="R57" s="13">
        <f t="shared" si="1"/>
        <v>12</v>
      </c>
      <c r="S57" s="13">
        <f t="shared" si="2"/>
        <v>14.599999999999998</v>
      </c>
      <c r="T57" s="14">
        <f t="shared" si="3"/>
        <v>0.54887218045112773</v>
      </c>
    </row>
    <row r="58" spans="1:20">
      <c r="A58" t="s">
        <v>762</v>
      </c>
      <c r="B58" s="8">
        <v>45758</v>
      </c>
      <c r="C58" t="s">
        <v>189</v>
      </c>
      <c r="D58" t="s">
        <v>77</v>
      </c>
      <c r="E58" t="s">
        <v>705</v>
      </c>
      <c r="F58" t="s">
        <v>702</v>
      </c>
      <c r="G58">
        <v>1</v>
      </c>
      <c r="H58" s="9">
        <v>0</v>
      </c>
      <c r="I58" t="s">
        <v>699</v>
      </c>
      <c r="J58">
        <v>4</v>
      </c>
      <c r="K58">
        <v>4</v>
      </c>
      <c r="L58" t="str">
        <f>VLOOKUP(D58,Products!A:E,2,FALSE)</f>
        <v>File Folder Pack</v>
      </c>
      <c r="M58" t="str">
        <f>VLOOKUP(D58,Products!A:E,3,FALSE)</f>
        <v>Office Supplies</v>
      </c>
      <c r="N58">
        <f>VLOOKUP(D58,Products!A:E,4,FALSE)</f>
        <v>23</v>
      </c>
      <c r="O58" s="13">
        <f>VLOOKUP(D58,Products!A:E,5,FALSE)</f>
        <v>10</v>
      </c>
      <c r="P58" s="13" t="str">
        <f>VLOOKUP(C58,Customers!A:C,3,FALSE)</f>
        <v>Consumer</v>
      </c>
      <c r="Q58" s="13">
        <f t="shared" si="0"/>
        <v>23</v>
      </c>
      <c r="R58" s="13">
        <f t="shared" si="1"/>
        <v>10</v>
      </c>
      <c r="S58" s="13">
        <f t="shared" si="2"/>
        <v>13</v>
      </c>
      <c r="T58" s="14">
        <f t="shared" si="3"/>
        <v>0.56521739130434778</v>
      </c>
    </row>
    <row r="59" spans="1:20">
      <c r="A59" t="s">
        <v>763</v>
      </c>
      <c r="B59" s="8">
        <v>45807</v>
      </c>
      <c r="C59" t="s">
        <v>337</v>
      </c>
      <c r="D59" t="s">
        <v>74</v>
      </c>
      <c r="E59" t="s">
        <v>715</v>
      </c>
      <c r="F59" t="s">
        <v>698</v>
      </c>
      <c r="G59">
        <v>1</v>
      </c>
      <c r="H59" s="9">
        <v>0</v>
      </c>
      <c r="I59" t="s">
        <v>699</v>
      </c>
      <c r="J59">
        <v>5</v>
      </c>
      <c r="K59">
        <v>2</v>
      </c>
      <c r="L59" t="str">
        <f>VLOOKUP(D59,Products!A:E,2,FALSE)</f>
        <v>Printer Paper</v>
      </c>
      <c r="M59" t="str">
        <f>VLOOKUP(D59,Products!A:E,3,FALSE)</f>
        <v>Office Supplies</v>
      </c>
      <c r="N59">
        <f>VLOOKUP(D59,Products!A:E,4,FALSE)</f>
        <v>17</v>
      </c>
      <c r="O59" s="13">
        <f>VLOOKUP(D59,Products!A:E,5,FALSE)</f>
        <v>8</v>
      </c>
      <c r="P59" s="13" t="str">
        <f>VLOOKUP(C59,Customers!A:C,3,FALSE)</f>
        <v>Consumer</v>
      </c>
      <c r="Q59" s="13">
        <f t="shared" si="0"/>
        <v>17</v>
      </c>
      <c r="R59" s="13">
        <f t="shared" si="1"/>
        <v>8</v>
      </c>
      <c r="S59" s="13">
        <f t="shared" si="2"/>
        <v>9</v>
      </c>
      <c r="T59" s="14">
        <f t="shared" si="3"/>
        <v>0.52941176470588236</v>
      </c>
    </row>
    <row r="60" spans="1:20">
      <c r="A60" t="s">
        <v>764</v>
      </c>
      <c r="B60" s="8">
        <v>46167</v>
      </c>
      <c r="C60" t="s">
        <v>683</v>
      </c>
      <c r="D60" t="s">
        <v>54</v>
      </c>
      <c r="E60" t="s">
        <v>708</v>
      </c>
      <c r="F60" t="s">
        <v>698</v>
      </c>
      <c r="G60">
        <v>2</v>
      </c>
      <c r="H60" s="9">
        <v>0.1</v>
      </c>
      <c r="I60" t="s">
        <v>699</v>
      </c>
      <c r="J60">
        <v>4</v>
      </c>
      <c r="K60">
        <v>3</v>
      </c>
      <c r="L60" t="str">
        <f>VLOOKUP(D60,Products!A:E,2,FALSE)</f>
        <v>Webcam</v>
      </c>
      <c r="M60" t="str">
        <f>VLOOKUP(D60,Products!A:E,3,FALSE)</f>
        <v>Technology</v>
      </c>
      <c r="N60">
        <f>VLOOKUP(D60,Products!A:E,4,FALSE)</f>
        <v>115</v>
      </c>
      <c r="O60" s="13">
        <f>VLOOKUP(D60,Products!A:E,5,FALSE)</f>
        <v>58</v>
      </c>
      <c r="P60" s="13" t="str">
        <f>VLOOKUP(C60,Customers!A:C,3,FALSE)</f>
        <v>Consumer</v>
      </c>
      <c r="Q60" s="13">
        <f t="shared" si="0"/>
        <v>207</v>
      </c>
      <c r="R60" s="13">
        <f t="shared" si="1"/>
        <v>116</v>
      </c>
      <c r="S60" s="13">
        <f t="shared" si="2"/>
        <v>91</v>
      </c>
      <c r="T60" s="14">
        <f t="shared" si="3"/>
        <v>0.43961352657004832</v>
      </c>
    </row>
    <row r="61" spans="1:20">
      <c r="A61" t="s">
        <v>765</v>
      </c>
      <c r="B61" s="8">
        <v>46217</v>
      </c>
      <c r="C61" t="s">
        <v>247</v>
      </c>
      <c r="D61" t="s">
        <v>50</v>
      </c>
      <c r="E61" t="s">
        <v>715</v>
      </c>
      <c r="F61" t="s">
        <v>702</v>
      </c>
      <c r="G61">
        <v>3</v>
      </c>
      <c r="H61" s="9">
        <v>0.05</v>
      </c>
      <c r="I61" t="s">
        <v>699</v>
      </c>
      <c r="J61">
        <v>4</v>
      </c>
      <c r="K61">
        <v>3</v>
      </c>
      <c r="L61" t="str">
        <f>VLOOKUP(D61,Products!A:E,2,FALSE)</f>
        <v>Keyboard</v>
      </c>
      <c r="M61" t="str">
        <f>VLOOKUP(D61,Products!A:E,3,FALSE)</f>
        <v>Technology</v>
      </c>
      <c r="N61">
        <f>VLOOKUP(D61,Products!A:E,4,FALSE)</f>
        <v>75</v>
      </c>
      <c r="O61" s="13">
        <f>VLOOKUP(D61,Products!A:E,5,FALSE)</f>
        <v>38</v>
      </c>
      <c r="P61" s="13" t="str">
        <f>VLOOKUP(C61,Customers!A:C,3,FALSE)</f>
        <v>Corporate</v>
      </c>
      <c r="Q61" s="13">
        <f t="shared" si="0"/>
        <v>213.75</v>
      </c>
      <c r="R61" s="13">
        <f t="shared" si="1"/>
        <v>114</v>
      </c>
      <c r="S61" s="13">
        <f t="shared" si="2"/>
        <v>99.75</v>
      </c>
      <c r="T61" s="14">
        <f t="shared" si="3"/>
        <v>0.46666666666666667</v>
      </c>
    </row>
    <row r="62" spans="1:20">
      <c r="A62" t="s">
        <v>766</v>
      </c>
      <c r="B62" s="8">
        <v>45861</v>
      </c>
      <c r="C62" t="s">
        <v>479</v>
      </c>
      <c r="D62" t="s">
        <v>79</v>
      </c>
      <c r="E62" t="s">
        <v>705</v>
      </c>
      <c r="F62" t="s">
        <v>702</v>
      </c>
      <c r="G62">
        <v>2</v>
      </c>
      <c r="H62" s="9">
        <v>0</v>
      </c>
      <c r="I62" t="s">
        <v>699</v>
      </c>
      <c r="J62">
        <v>1</v>
      </c>
      <c r="K62">
        <v>7</v>
      </c>
      <c r="L62" t="str">
        <f>VLOOKUP(D62,Products!A:E,2,FALSE)</f>
        <v>Desk Organiser</v>
      </c>
      <c r="M62" t="str">
        <f>VLOOKUP(D62,Products!A:E,3,FALSE)</f>
        <v>Office Supplies</v>
      </c>
      <c r="N62">
        <f>VLOOKUP(D62,Products!A:E,4,FALSE)</f>
        <v>28</v>
      </c>
      <c r="O62" s="13">
        <f>VLOOKUP(D62,Products!A:E,5,FALSE)</f>
        <v>12</v>
      </c>
      <c r="P62" s="13" t="str">
        <f>VLOOKUP(C62,Customers!A:C,3,FALSE)</f>
        <v>Corporate</v>
      </c>
      <c r="Q62" s="13">
        <f t="shared" si="0"/>
        <v>56</v>
      </c>
      <c r="R62" s="13">
        <f t="shared" si="1"/>
        <v>24</v>
      </c>
      <c r="S62" s="13">
        <f t="shared" si="2"/>
        <v>32</v>
      </c>
      <c r="T62" s="14">
        <f t="shared" si="3"/>
        <v>0.5714285714285714</v>
      </c>
    </row>
    <row r="63" spans="1:20">
      <c r="A63" t="s">
        <v>767</v>
      </c>
      <c r="B63" s="8">
        <v>45666</v>
      </c>
      <c r="C63" t="s">
        <v>665</v>
      </c>
      <c r="D63" t="s">
        <v>48</v>
      </c>
      <c r="E63" t="s">
        <v>697</v>
      </c>
      <c r="F63" t="s">
        <v>698</v>
      </c>
      <c r="G63">
        <v>5</v>
      </c>
      <c r="H63" s="9">
        <v>0.15</v>
      </c>
      <c r="I63" t="s">
        <v>699</v>
      </c>
      <c r="J63">
        <v>3</v>
      </c>
      <c r="K63">
        <v>3</v>
      </c>
      <c r="L63" t="str">
        <f>VLOOKUP(D63,Products!A:E,2,FALSE)</f>
        <v>Monitor</v>
      </c>
      <c r="M63" t="str">
        <f>VLOOKUP(D63,Products!A:E,3,FALSE)</f>
        <v>Technology</v>
      </c>
      <c r="N63">
        <f>VLOOKUP(D63,Products!A:E,4,FALSE)</f>
        <v>310</v>
      </c>
      <c r="O63" s="13">
        <f>VLOOKUP(D63,Products!A:E,5,FALSE)</f>
        <v>190</v>
      </c>
      <c r="P63" s="13" t="str">
        <f>VLOOKUP(C63,Customers!A:C,3,FALSE)</f>
        <v>Consumer</v>
      </c>
      <c r="Q63" s="13">
        <f t="shared" si="0"/>
        <v>1317.5</v>
      </c>
      <c r="R63" s="13">
        <f t="shared" si="1"/>
        <v>950</v>
      </c>
      <c r="S63" s="13">
        <f t="shared" si="2"/>
        <v>367.5</v>
      </c>
      <c r="T63" s="14">
        <f t="shared" si="3"/>
        <v>0.27893738140417457</v>
      </c>
    </row>
    <row r="64" spans="1:20">
      <c r="A64" t="s">
        <v>768</v>
      </c>
      <c r="B64" s="8">
        <v>45882</v>
      </c>
      <c r="C64" t="s">
        <v>281</v>
      </c>
      <c r="D64" t="s">
        <v>63</v>
      </c>
      <c r="E64" t="s">
        <v>701</v>
      </c>
      <c r="F64" t="s">
        <v>698</v>
      </c>
      <c r="G64">
        <v>3</v>
      </c>
      <c r="H64" s="9">
        <v>0.15</v>
      </c>
      <c r="I64" t="s">
        <v>699</v>
      </c>
      <c r="J64">
        <v>5</v>
      </c>
      <c r="K64">
        <v>1</v>
      </c>
      <c r="L64" t="str">
        <f>VLOOKUP(D64,Products!A:E,2,FALSE)</f>
        <v>Bookshelf</v>
      </c>
      <c r="M64" t="str">
        <f>VLOOKUP(D64,Products!A:E,3,FALSE)</f>
        <v>Furniture</v>
      </c>
      <c r="N64">
        <f>VLOOKUP(D64,Products!A:E,4,FALSE)</f>
        <v>185</v>
      </c>
      <c r="O64" s="13">
        <f>VLOOKUP(D64,Products!A:E,5,FALSE)</f>
        <v>105</v>
      </c>
      <c r="P64" s="13" t="str">
        <f>VLOOKUP(C64,Customers!A:C,3,FALSE)</f>
        <v>Corporate</v>
      </c>
      <c r="Q64" s="13">
        <f t="shared" si="0"/>
        <v>471.75</v>
      </c>
      <c r="R64" s="13">
        <f t="shared" si="1"/>
        <v>315</v>
      </c>
      <c r="S64" s="13">
        <f t="shared" si="2"/>
        <v>156.75</v>
      </c>
      <c r="T64" s="14">
        <f t="shared" si="3"/>
        <v>0.33227344992050872</v>
      </c>
    </row>
    <row r="65" spans="1:20">
      <c r="A65" t="s">
        <v>769</v>
      </c>
      <c r="B65" s="8">
        <v>45974</v>
      </c>
      <c r="C65" t="s">
        <v>537</v>
      </c>
      <c r="D65" t="s">
        <v>48</v>
      </c>
      <c r="E65" t="s">
        <v>715</v>
      </c>
      <c r="F65" t="s">
        <v>698</v>
      </c>
      <c r="G65">
        <v>1</v>
      </c>
      <c r="H65" s="9">
        <v>0</v>
      </c>
      <c r="I65" t="s">
        <v>699</v>
      </c>
      <c r="J65">
        <v>3</v>
      </c>
      <c r="K65">
        <v>2</v>
      </c>
      <c r="L65" t="str">
        <f>VLOOKUP(D65,Products!A:E,2,FALSE)</f>
        <v>Monitor</v>
      </c>
      <c r="M65" t="str">
        <f>VLOOKUP(D65,Products!A:E,3,FALSE)</f>
        <v>Technology</v>
      </c>
      <c r="N65">
        <f>VLOOKUP(D65,Products!A:E,4,FALSE)</f>
        <v>310</v>
      </c>
      <c r="O65" s="13">
        <f>VLOOKUP(D65,Products!A:E,5,FALSE)</f>
        <v>190</v>
      </c>
      <c r="P65" s="13" t="str">
        <f>VLOOKUP(C65,Customers!A:C,3,FALSE)</f>
        <v>Corporate</v>
      </c>
      <c r="Q65" s="13">
        <f t="shared" si="0"/>
        <v>310</v>
      </c>
      <c r="R65" s="13">
        <f t="shared" si="1"/>
        <v>190</v>
      </c>
      <c r="S65" s="13">
        <f t="shared" si="2"/>
        <v>120</v>
      </c>
      <c r="T65" s="14">
        <f t="shared" si="3"/>
        <v>0.38709677419354838</v>
      </c>
    </row>
    <row r="66" spans="1:20">
      <c r="A66" t="s">
        <v>770</v>
      </c>
      <c r="B66" s="8">
        <v>46210</v>
      </c>
      <c r="C66" t="s">
        <v>461</v>
      </c>
      <c r="D66" t="s">
        <v>63</v>
      </c>
      <c r="E66" t="s">
        <v>697</v>
      </c>
      <c r="F66" t="s">
        <v>702</v>
      </c>
      <c r="G66">
        <v>5</v>
      </c>
      <c r="H66" s="9">
        <v>0.05</v>
      </c>
      <c r="I66" t="s">
        <v>699</v>
      </c>
      <c r="J66">
        <v>5</v>
      </c>
      <c r="K66">
        <v>3</v>
      </c>
      <c r="L66" t="str">
        <f>VLOOKUP(D66,Products!A:E,2,FALSE)</f>
        <v>Bookshelf</v>
      </c>
      <c r="M66" t="str">
        <f>VLOOKUP(D66,Products!A:E,3,FALSE)</f>
        <v>Furniture</v>
      </c>
      <c r="N66">
        <f>VLOOKUP(D66,Products!A:E,4,FALSE)</f>
        <v>185</v>
      </c>
      <c r="O66" s="13">
        <f>VLOOKUP(D66,Products!A:E,5,FALSE)</f>
        <v>105</v>
      </c>
      <c r="P66" s="13" t="str">
        <f>VLOOKUP(C66,Customers!A:C,3,FALSE)</f>
        <v>Consumer</v>
      </c>
      <c r="Q66" s="13">
        <f t="shared" ref="Q66:Q129" si="4">G66*N66*(1-H66)</f>
        <v>878.75</v>
      </c>
      <c r="R66" s="13">
        <f t="shared" ref="R66:R129" si="5">G66*O66</f>
        <v>525</v>
      </c>
      <c r="S66" s="13">
        <f t="shared" ref="S66:S129" si="6">Q66-R66</f>
        <v>353.75</v>
      </c>
      <c r="T66" s="14">
        <f t="shared" ref="T66:T129" si="7">IFERROR(S66/Q66,0)</f>
        <v>0.40256045519203415</v>
      </c>
    </row>
    <row r="67" spans="1:20">
      <c r="A67" t="s">
        <v>771</v>
      </c>
      <c r="B67" s="8">
        <v>45775</v>
      </c>
      <c r="C67" t="s">
        <v>565</v>
      </c>
      <c r="D67" t="s">
        <v>50</v>
      </c>
      <c r="E67" t="s">
        <v>705</v>
      </c>
      <c r="F67" t="s">
        <v>706</v>
      </c>
      <c r="G67">
        <v>5</v>
      </c>
      <c r="H67" s="9">
        <v>0.1</v>
      </c>
      <c r="I67" t="s">
        <v>703</v>
      </c>
      <c r="J67">
        <v>5</v>
      </c>
      <c r="K67">
        <v>8</v>
      </c>
      <c r="L67" t="str">
        <f>VLOOKUP(D67,Products!A:E,2,FALSE)</f>
        <v>Keyboard</v>
      </c>
      <c r="M67" t="str">
        <f>VLOOKUP(D67,Products!A:E,3,FALSE)</f>
        <v>Technology</v>
      </c>
      <c r="N67">
        <f>VLOOKUP(D67,Products!A:E,4,FALSE)</f>
        <v>75</v>
      </c>
      <c r="O67" s="13">
        <f>VLOOKUP(D67,Products!A:E,5,FALSE)</f>
        <v>38</v>
      </c>
      <c r="P67" s="13" t="str">
        <f>VLOOKUP(C67,Customers!A:C,3,FALSE)</f>
        <v>Corporate</v>
      </c>
      <c r="Q67" s="13">
        <f t="shared" si="4"/>
        <v>337.5</v>
      </c>
      <c r="R67" s="13">
        <f t="shared" si="5"/>
        <v>190</v>
      </c>
      <c r="S67" s="13">
        <f t="shared" si="6"/>
        <v>147.5</v>
      </c>
      <c r="T67" s="14">
        <f t="shared" si="7"/>
        <v>0.43703703703703706</v>
      </c>
    </row>
    <row r="68" spans="1:20">
      <c r="A68" t="s">
        <v>772</v>
      </c>
      <c r="B68" s="8">
        <v>45750</v>
      </c>
      <c r="C68" t="s">
        <v>491</v>
      </c>
      <c r="D68" t="s">
        <v>45</v>
      </c>
      <c r="E68" t="s">
        <v>708</v>
      </c>
      <c r="F68" t="s">
        <v>702</v>
      </c>
      <c r="G68">
        <v>2</v>
      </c>
      <c r="H68" s="9">
        <v>0.1</v>
      </c>
      <c r="I68" t="s">
        <v>699</v>
      </c>
      <c r="J68">
        <v>4</v>
      </c>
      <c r="K68">
        <v>3</v>
      </c>
      <c r="L68" t="str">
        <f>VLOOKUP(D68,Products!A:E,2,FALSE)</f>
        <v>Laptop</v>
      </c>
      <c r="M68" t="str">
        <f>VLOOKUP(D68,Products!A:E,3,FALSE)</f>
        <v>Technology</v>
      </c>
      <c r="N68">
        <f>VLOOKUP(D68,Products!A:E,4,FALSE)</f>
        <v>1100</v>
      </c>
      <c r="O68" s="13">
        <f>VLOOKUP(D68,Products!A:E,5,FALSE)</f>
        <v>720</v>
      </c>
      <c r="P68" s="13" t="str">
        <f>VLOOKUP(C68,Customers!A:C,3,FALSE)</f>
        <v>Small Business</v>
      </c>
      <c r="Q68" s="13">
        <f t="shared" si="4"/>
        <v>1980</v>
      </c>
      <c r="R68" s="13">
        <f t="shared" si="5"/>
        <v>1440</v>
      </c>
      <c r="S68" s="13">
        <f t="shared" si="6"/>
        <v>540</v>
      </c>
      <c r="T68" s="14">
        <f t="shared" si="7"/>
        <v>0.27272727272727271</v>
      </c>
    </row>
    <row r="69" spans="1:20">
      <c r="A69" t="s">
        <v>773</v>
      </c>
      <c r="B69" s="8">
        <v>45768</v>
      </c>
      <c r="C69" t="s">
        <v>325</v>
      </c>
      <c r="D69" t="s">
        <v>79</v>
      </c>
      <c r="E69" t="s">
        <v>705</v>
      </c>
      <c r="F69" t="s">
        <v>706</v>
      </c>
      <c r="G69">
        <v>3</v>
      </c>
      <c r="H69" s="9">
        <v>0.15</v>
      </c>
      <c r="I69" t="s">
        <v>699</v>
      </c>
      <c r="J69">
        <v>2</v>
      </c>
      <c r="K69">
        <v>7</v>
      </c>
      <c r="L69" t="str">
        <f>VLOOKUP(D69,Products!A:E,2,FALSE)</f>
        <v>Desk Organiser</v>
      </c>
      <c r="M69" t="str">
        <f>VLOOKUP(D69,Products!A:E,3,FALSE)</f>
        <v>Office Supplies</v>
      </c>
      <c r="N69">
        <f>VLOOKUP(D69,Products!A:E,4,FALSE)</f>
        <v>28</v>
      </c>
      <c r="O69" s="13">
        <f>VLOOKUP(D69,Products!A:E,5,FALSE)</f>
        <v>12</v>
      </c>
      <c r="P69" s="13" t="str">
        <f>VLOOKUP(C69,Customers!A:C,3,FALSE)</f>
        <v>Consumer</v>
      </c>
      <c r="Q69" s="13">
        <f t="shared" si="4"/>
        <v>71.399999999999991</v>
      </c>
      <c r="R69" s="13">
        <f t="shared" si="5"/>
        <v>36</v>
      </c>
      <c r="S69" s="13">
        <f t="shared" si="6"/>
        <v>35.399999999999991</v>
      </c>
      <c r="T69" s="14">
        <f t="shared" si="7"/>
        <v>0.49579831932773105</v>
      </c>
    </row>
    <row r="70" spans="1:20">
      <c r="A70" t="s">
        <v>774</v>
      </c>
      <c r="B70" s="8">
        <v>46076</v>
      </c>
      <c r="C70" t="s">
        <v>205</v>
      </c>
      <c r="D70" t="s">
        <v>54</v>
      </c>
      <c r="E70" t="s">
        <v>705</v>
      </c>
      <c r="F70" t="s">
        <v>702</v>
      </c>
      <c r="G70">
        <v>8</v>
      </c>
      <c r="H70" s="9">
        <v>0</v>
      </c>
      <c r="I70" t="s">
        <v>699</v>
      </c>
      <c r="J70">
        <v>4</v>
      </c>
      <c r="K70">
        <v>4</v>
      </c>
      <c r="L70" t="str">
        <f>VLOOKUP(D70,Products!A:E,2,FALSE)</f>
        <v>Webcam</v>
      </c>
      <c r="M70" t="str">
        <f>VLOOKUP(D70,Products!A:E,3,FALSE)</f>
        <v>Technology</v>
      </c>
      <c r="N70">
        <f>VLOOKUP(D70,Products!A:E,4,FALSE)</f>
        <v>115</v>
      </c>
      <c r="O70" s="13">
        <f>VLOOKUP(D70,Products!A:E,5,FALSE)</f>
        <v>58</v>
      </c>
      <c r="P70" s="13" t="str">
        <f>VLOOKUP(C70,Customers!A:C,3,FALSE)</f>
        <v>Consumer</v>
      </c>
      <c r="Q70" s="13">
        <f t="shared" si="4"/>
        <v>920</v>
      </c>
      <c r="R70" s="13">
        <f t="shared" si="5"/>
        <v>464</v>
      </c>
      <c r="S70" s="13">
        <f t="shared" si="6"/>
        <v>456</v>
      </c>
      <c r="T70" s="14">
        <f t="shared" si="7"/>
        <v>0.4956521739130435</v>
      </c>
    </row>
    <row r="71" spans="1:20">
      <c r="A71" t="s">
        <v>775</v>
      </c>
      <c r="B71" s="8">
        <v>46122</v>
      </c>
      <c r="C71" t="s">
        <v>465</v>
      </c>
      <c r="D71" t="s">
        <v>74</v>
      </c>
      <c r="E71" t="s">
        <v>715</v>
      </c>
      <c r="F71" t="s">
        <v>698</v>
      </c>
      <c r="G71">
        <v>5</v>
      </c>
      <c r="H71" s="9">
        <v>0.05</v>
      </c>
      <c r="I71" t="s">
        <v>699</v>
      </c>
      <c r="J71">
        <v>5</v>
      </c>
      <c r="K71">
        <v>3</v>
      </c>
      <c r="L71" t="str">
        <f>VLOOKUP(D71,Products!A:E,2,FALSE)</f>
        <v>Printer Paper</v>
      </c>
      <c r="M71" t="str">
        <f>VLOOKUP(D71,Products!A:E,3,FALSE)</f>
        <v>Office Supplies</v>
      </c>
      <c r="N71">
        <f>VLOOKUP(D71,Products!A:E,4,FALSE)</f>
        <v>17</v>
      </c>
      <c r="O71" s="13">
        <f>VLOOKUP(D71,Products!A:E,5,FALSE)</f>
        <v>8</v>
      </c>
      <c r="P71" s="13" t="str">
        <f>VLOOKUP(C71,Customers!A:C,3,FALSE)</f>
        <v>Consumer</v>
      </c>
      <c r="Q71" s="13">
        <f t="shared" si="4"/>
        <v>80.75</v>
      </c>
      <c r="R71" s="13">
        <f t="shared" si="5"/>
        <v>40</v>
      </c>
      <c r="S71" s="13">
        <f t="shared" si="6"/>
        <v>40.75</v>
      </c>
      <c r="T71" s="14">
        <f t="shared" si="7"/>
        <v>0.50464396284829727</v>
      </c>
    </row>
    <row r="72" spans="1:20">
      <c r="A72" t="s">
        <v>776</v>
      </c>
      <c r="B72" s="8">
        <v>45691</v>
      </c>
      <c r="C72" t="s">
        <v>465</v>
      </c>
      <c r="D72" t="s">
        <v>58</v>
      </c>
      <c r="E72" t="s">
        <v>715</v>
      </c>
      <c r="F72" t="s">
        <v>706</v>
      </c>
      <c r="G72">
        <v>5</v>
      </c>
      <c r="H72" s="9">
        <v>0</v>
      </c>
      <c r="I72" t="s">
        <v>699</v>
      </c>
      <c r="J72">
        <v>4</v>
      </c>
      <c r="K72">
        <v>3</v>
      </c>
      <c r="L72" t="str">
        <f>VLOOKUP(D72,Products!A:E,2,FALSE)</f>
        <v>Standing Desk</v>
      </c>
      <c r="M72" t="str">
        <f>VLOOKUP(D72,Products!A:E,3,FALSE)</f>
        <v>Furniture</v>
      </c>
      <c r="N72">
        <f>VLOOKUP(D72,Products!A:E,4,FALSE)</f>
        <v>540</v>
      </c>
      <c r="O72" s="13">
        <f>VLOOKUP(D72,Products!A:E,5,FALSE)</f>
        <v>320</v>
      </c>
      <c r="P72" s="13" t="str">
        <f>VLOOKUP(C72,Customers!A:C,3,FALSE)</f>
        <v>Consumer</v>
      </c>
      <c r="Q72" s="13">
        <f t="shared" si="4"/>
        <v>2700</v>
      </c>
      <c r="R72" s="13">
        <f t="shared" si="5"/>
        <v>1600</v>
      </c>
      <c r="S72" s="13">
        <f t="shared" si="6"/>
        <v>1100</v>
      </c>
      <c r="T72" s="14">
        <f t="shared" si="7"/>
        <v>0.40740740740740738</v>
      </c>
    </row>
    <row r="73" spans="1:20">
      <c r="A73" t="s">
        <v>777</v>
      </c>
      <c r="B73" s="8">
        <v>45720</v>
      </c>
      <c r="C73" t="s">
        <v>493</v>
      </c>
      <c r="D73" t="s">
        <v>63</v>
      </c>
      <c r="E73" t="s">
        <v>705</v>
      </c>
      <c r="F73" t="s">
        <v>702</v>
      </c>
      <c r="G73">
        <v>5</v>
      </c>
      <c r="H73" s="9">
        <v>0</v>
      </c>
      <c r="I73" t="s">
        <v>699</v>
      </c>
      <c r="J73">
        <v>5</v>
      </c>
      <c r="K73">
        <v>5</v>
      </c>
      <c r="L73" t="str">
        <f>VLOOKUP(D73,Products!A:E,2,FALSE)</f>
        <v>Bookshelf</v>
      </c>
      <c r="M73" t="str">
        <f>VLOOKUP(D73,Products!A:E,3,FALSE)</f>
        <v>Furniture</v>
      </c>
      <c r="N73">
        <f>VLOOKUP(D73,Products!A:E,4,FALSE)</f>
        <v>185</v>
      </c>
      <c r="O73" s="13">
        <f>VLOOKUP(D73,Products!A:E,5,FALSE)</f>
        <v>105</v>
      </c>
      <c r="P73" s="13" t="str">
        <f>VLOOKUP(C73,Customers!A:C,3,FALSE)</f>
        <v>Consumer</v>
      </c>
      <c r="Q73" s="13">
        <f t="shared" si="4"/>
        <v>925</v>
      </c>
      <c r="R73" s="13">
        <f t="shared" si="5"/>
        <v>525</v>
      </c>
      <c r="S73" s="13">
        <f t="shared" si="6"/>
        <v>400</v>
      </c>
      <c r="T73" s="14">
        <f t="shared" si="7"/>
        <v>0.43243243243243246</v>
      </c>
    </row>
    <row r="74" spans="1:20">
      <c r="A74" t="s">
        <v>778</v>
      </c>
      <c r="B74" s="8">
        <v>45679</v>
      </c>
      <c r="C74" t="s">
        <v>137</v>
      </c>
      <c r="D74" t="s">
        <v>68</v>
      </c>
      <c r="E74" t="s">
        <v>708</v>
      </c>
      <c r="F74" t="s">
        <v>702</v>
      </c>
      <c r="G74">
        <v>3</v>
      </c>
      <c r="H74" s="9">
        <v>0</v>
      </c>
      <c r="I74" t="s">
        <v>699</v>
      </c>
      <c r="J74">
        <v>3</v>
      </c>
      <c r="K74">
        <v>2</v>
      </c>
      <c r="L74" t="str">
        <f>VLOOKUP(D74,Products!A:E,2,FALSE)</f>
        <v>Backpack</v>
      </c>
      <c r="M74" t="str">
        <f>VLOOKUP(D74,Products!A:E,3,FALSE)</f>
        <v>Accessories</v>
      </c>
      <c r="N74">
        <f>VLOOKUP(D74,Products!A:E,4,FALSE)</f>
        <v>85</v>
      </c>
      <c r="O74" s="13">
        <f>VLOOKUP(D74,Products!A:E,5,FALSE)</f>
        <v>39</v>
      </c>
      <c r="P74" s="13" t="str">
        <f>VLOOKUP(C74,Customers!A:C,3,FALSE)</f>
        <v>Consumer</v>
      </c>
      <c r="Q74" s="13">
        <f t="shared" si="4"/>
        <v>255</v>
      </c>
      <c r="R74" s="13">
        <f t="shared" si="5"/>
        <v>117</v>
      </c>
      <c r="S74" s="13">
        <f t="shared" si="6"/>
        <v>138</v>
      </c>
      <c r="T74" s="14">
        <f t="shared" si="7"/>
        <v>0.54117647058823526</v>
      </c>
    </row>
    <row r="75" spans="1:20">
      <c r="A75" t="s">
        <v>779</v>
      </c>
      <c r="B75" s="8">
        <v>45896</v>
      </c>
      <c r="C75" t="s">
        <v>423</v>
      </c>
      <c r="D75" t="s">
        <v>54</v>
      </c>
      <c r="E75" t="s">
        <v>697</v>
      </c>
      <c r="F75" t="s">
        <v>698</v>
      </c>
      <c r="G75">
        <v>1</v>
      </c>
      <c r="H75" s="9">
        <v>0.2</v>
      </c>
      <c r="I75" t="s">
        <v>703</v>
      </c>
      <c r="J75">
        <v>4</v>
      </c>
      <c r="K75">
        <v>3</v>
      </c>
      <c r="L75" t="str">
        <f>VLOOKUP(D75,Products!A:E,2,FALSE)</f>
        <v>Webcam</v>
      </c>
      <c r="M75" t="str">
        <f>VLOOKUP(D75,Products!A:E,3,FALSE)</f>
        <v>Technology</v>
      </c>
      <c r="N75">
        <f>VLOOKUP(D75,Products!A:E,4,FALSE)</f>
        <v>115</v>
      </c>
      <c r="O75" s="13">
        <f>VLOOKUP(D75,Products!A:E,5,FALSE)</f>
        <v>58</v>
      </c>
      <c r="P75" s="13" t="str">
        <f>VLOOKUP(C75,Customers!A:C,3,FALSE)</f>
        <v>Consumer</v>
      </c>
      <c r="Q75" s="13">
        <f t="shared" si="4"/>
        <v>92</v>
      </c>
      <c r="R75" s="13">
        <f t="shared" si="5"/>
        <v>58</v>
      </c>
      <c r="S75" s="13">
        <f t="shared" si="6"/>
        <v>34</v>
      </c>
      <c r="T75" s="14">
        <f t="shared" si="7"/>
        <v>0.36956521739130432</v>
      </c>
    </row>
    <row r="76" spans="1:20">
      <c r="A76" t="s">
        <v>780</v>
      </c>
      <c r="B76" s="8">
        <v>45684</v>
      </c>
      <c r="C76" t="s">
        <v>221</v>
      </c>
      <c r="D76" t="s">
        <v>45</v>
      </c>
      <c r="E76" t="s">
        <v>708</v>
      </c>
      <c r="F76" t="s">
        <v>698</v>
      </c>
      <c r="G76">
        <v>3</v>
      </c>
      <c r="H76" s="9">
        <v>0</v>
      </c>
      <c r="I76" t="s">
        <v>699</v>
      </c>
      <c r="J76">
        <v>3</v>
      </c>
      <c r="K76">
        <v>4</v>
      </c>
      <c r="L76" t="str">
        <f>VLOOKUP(D76,Products!A:E,2,FALSE)</f>
        <v>Laptop</v>
      </c>
      <c r="M76" t="str">
        <f>VLOOKUP(D76,Products!A:E,3,FALSE)</f>
        <v>Technology</v>
      </c>
      <c r="N76">
        <f>VLOOKUP(D76,Products!A:E,4,FALSE)</f>
        <v>1100</v>
      </c>
      <c r="O76" s="13">
        <f>VLOOKUP(D76,Products!A:E,5,FALSE)</f>
        <v>720</v>
      </c>
      <c r="P76" s="13" t="str">
        <f>VLOOKUP(C76,Customers!A:C,3,FALSE)</f>
        <v>Consumer</v>
      </c>
      <c r="Q76" s="13">
        <f t="shared" si="4"/>
        <v>3300</v>
      </c>
      <c r="R76" s="13">
        <f t="shared" si="5"/>
        <v>2160</v>
      </c>
      <c r="S76" s="13">
        <f t="shared" si="6"/>
        <v>1140</v>
      </c>
      <c r="T76" s="14">
        <f t="shared" si="7"/>
        <v>0.34545454545454546</v>
      </c>
    </row>
    <row r="77" spans="1:20">
      <c r="A77" t="s">
        <v>781</v>
      </c>
      <c r="B77" s="8">
        <v>46196</v>
      </c>
      <c r="C77" t="s">
        <v>203</v>
      </c>
      <c r="D77" t="s">
        <v>50</v>
      </c>
      <c r="E77" t="s">
        <v>715</v>
      </c>
      <c r="F77" t="s">
        <v>698</v>
      </c>
      <c r="G77">
        <v>2</v>
      </c>
      <c r="H77" s="9">
        <v>0</v>
      </c>
      <c r="I77" t="s">
        <v>699</v>
      </c>
      <c r="J77">
        <v>5</v>
      </c>
      <c r="K77">
        <v>1</v>
      </c>
      <c r="L77" t="str">
        <f>VLOOKUP(D77,Products!A:E,2,FALSE)</f>
        <v>Keyboard</v>
      </c>
      <c r="M77" t="str">
        <f>VLOOKUP(D77,Products!A:E,3,FALSE)</f>
        <v>Technology</v>
      </c>
      <c r="N77">
        <f>VLOOKUP(D77,Products!A:E,4,FALSE)</f>
        <v>75</v>
      </c>
      <c r="O77" s="13">
        <f>VLOOKUP(D77,Products!A:E,5,FALSE)</f>
        <v>38</v>
      </c>
      <c r="P77" s="13" t="str">
        <f>VLOOKUP(C77,Customers!A:C,3,FALSE)</f>
        <v>Consumer</v>
      </c>
      <c r="Q77" s="13">
        <f t="shared" si="4"/>
        <v>150</v>
      </c>
      <c r="R77" s="13">
        <f t="shared" si="5"/>
        <v>76</v>
      </c>
      <c r="S77" s="13">
        <f t="shared" si="6"/>
        <v>74</v>
      </c>
      <c r="T77" s="14">
        <f t="shared" si="7"/>
        <v>0.49333333333333335</v>
      </c>
    </row>
    <row r="78" spans="1:20">
      <c r="A78" t="s">
        <v>782</v>
      </c>
      <c r="B78" s="8">
        <v>46191</v>
      </c>
      <c r="C78" t="s">
        <v>395</v>
      </c>
      <c r="D78" t="s">
        <v>77</v>
      </c>
      <c r="E78" t="s">
        <v>701</v>
      </c>
      <c r="F78" t="s">
        <v>702</v>
      </c>
      <c r="G78">
        <v>8</v>
      </c>
      <c r="H78" s="9">
        <v>0.15</v>
      </c>
      <c r="I78" t="s">
        <v>699</v>
      </c>
      <c r="J78">
        <v>2</v>
      </c>
      <c r="K78">
        <v>5</v>
      </c>
      <c r="L78" t="str">
        <f>VLOOKUP(D78,Products!A:E,2,FALSE)</f>
        <v>File Folder Pack</v>
      </c>
      <c r="M78" t="str">
        <f>VLOOKUP(D78,Products!A:E,3,FALSE)</f>
        <v>Office Supplies</v>
      </c>
      <c r="N78">
        <f>VLOOKUP(D78,Products!A:E,4,FALSE)</f>
        <v>23</v>
      </c>
      <c r="O78" s="13">
        <f>VLOOKUP(D78,Products!A:E,5,FALSE)</f>
        <v>10</v>
      </c>
      <c r="P78" s="13" t="str">
        <f>VLOOKUP(C78,Customers!A:C,3,FALSE)</f>
        <v>Consumer</v>
      </c>
      <c r="Q78" s="13">
        <f t="shared" si="4"/>
        <v>156.4</v>
      </c>
      <c r="R78" s="13">
        <f t="shared" si="5"/>
        <v>80</v>
      </c>
      <c r="S78" s="13">
        <f t="shared" si="6"/>
        <v>76.400000000000006</v>
      </c>
      <c r="T78" s="14">
        <f t="shared" si="7"/>
        <v>0.48849104859335041</v>
      </c>
    </row>
    <row r="79" spans="1:20">
      <c r="A79" t="s">
        <v>783</v>
      </c>
      <c r="B79" s="8">
        <v>45740</v>
      </c>
      <c r="C79" t="s">
        <v>415</v>
      </c>
      <c r="D79" t="s">
        <v>54</v>
      </c>
      <c r="E79" t="s">
        <v>705</v>
      </c>
      <c r="F79" t="s">
        <v>702</v>
      </c>
      <c r="G79">
        <v>3</v>
      </c>
      <c r="H79" s="9">
        <v>0.05</v>
      </c>
      <c r="I79" t="s">
        <v>699</v>
      </c>
      <c r="J79">
        <v>5</v>
      </c>
      <c r="K79">
        <v>5</v>
      </c>
      <c r="L79" t="str">
        <f>VLOOKUP(D79,Products!A:E,2,FALSE)</f>
        <v>Webcam</v>
      </c>
      <c r="M79" t="str">
        <f>VLOOKUP(D79,Products!A:E,3,FALSE)</f>
        <v>Technology</v>
      </c>
      <c r="N79">
        <f>VLOOKUP(D79,Products!A:E,4,FALSE)</f>
        <v>115</v>
      </c>
      <c r="O79" s="13">
        <f>VLOOKUP(D79,Products!A:E,5,FALSE)</f>
        <v>58</v>
      </c>
      <c r="P79" s="13" t="str">
        <f>VLOOKUP(C79,Customers!A:C,3,FALSE)</f>
        <v>Small Business</v>
      </c>
      <c r="Q79" s="13">
        <f t="shared" si="4"/>
        <v>327.75</v>
      </c>
      <c r="R79" s="13">
        <f t="shared" si="5"/>
        <v>174</v>
      </c>
      <c r="S79" s="13">
        <f t="shared" si="6"/>
        <v>153.75</v>
      </c>
      <c r="T79" s="14">
        <f t="shared" si="7"/>
        <v>0.46910755148741418</v>
      </c>
    </row>
    <row r="80" spans="1:20">
      <c r="A80" t="s">
        <v>784</v>
      </c>
      <c r="B80" s="8">
        <v>45959</v>
      </c>
      <c r="C80" t="s">
        <v>551</v>
      </c>
      <c r="D80" t="s">
        <v>74</v>
      </c>
      <c r="E80" t="s">
        <v>705</v>
      </c>
      <c r="F80" t="s">
        <v>698</v>
      </c>
      <c r="G80">
        <v>5</v>
      </c>
      <c r="H80" s="9">
        <v>0.05</v>
      </c>
      <c r="I80" t="s">
        <v>699</v>
      </c>
      <c r="J80">
        <v>5</v>
      </c>
      <c r="K80">
        <v>2</v>
      </c>
      <c r="L80" t="str">
        <f>VLOOKUP(D80,Products!A:E,2,FALSE)</f>
        <v>Printer Paper</v>
      </c>
      <c r="M80" t="str">
        <f>VLOOKUP(D80,Products!A:E,3,FALSE)</f>
        <v>Office Supplies</v>
      </c>
      <c r="N80">
        <f>VLOOKUP(D80,Products!A:E,4,FALSE)</f>
        <v>17</v>
      </c>
      <c r="O80" s="13">
        <f>VLOOKUP(D80,Products!A:E,5,FALSE)</f>
        <v>8</v>
      </c>
      <c r="P80" s="13" t="str">
        <f>VLOOKUP(C80,Customers!A:C,3,FALSE)</f>
        <v>Corporate</v>
      </c>
      <c r="Q80" s="13">
        <f t="shared" si="4"/>
        <v>80.75</v>
      </c>
      <c r="R80" s="13">
        <f t="shared" si="5"/>
        <v>40</v>
      </c>
      <c r="S80" s="13">
        <f t="shared" si="6"/>
        <v>40.75</v>
      </c>
      <c r="T80" s="14">
        <f t="shared" si="7"/>
        <v>0.50464396284829727</v>
      </c>
    </row>
    <row r="81" spans="1:20">
      <c r="A81" t="s">
        <v>785</v>
      </c>
      <c r="B81" s="8">
        <v>46098</v>
      </c>
      <c r="C81" t="s">
        <v>549</v>
      </c>
      <c r="D81" t="s">
        <v>61</v>
      </c>
      <c r="E81" t="s">
        <v>708</v>
      </c>
      <c r="F81" t="s">
        <v>698</v>
      </c>
      <c r="G81">
        <v>2</v>
      </c>
      <c r="H81" s="9">
        <v>0.1</v>
      </c>
      <c r="I81" t="s">
        <v>699</v>
      </c>
      <c r="J81">
        <v>4</v>
      </c>
      <c r="K81">
        <v>3</v>
      </c>
      <c r="L81" t="str">
        <f>VLOOKUP(D81,Products!A:E,2,FALSE)</f>
        <v>Office Chair</v>
      </c>
      <c r="M81" t="str">
        <f>VLOOKUP(D81,Products!A:E,3,FALSE)</f>
        <v>Furniture</v>
      </c>
      <c r="N81">
        <f>VLOOKUP(D81,Products!A:E,4,FALSE)</f>
        <v>255</v>
      </c>
      <c r="O81" s="13">
        <f>VLOOKUP(D81,Products!A:E,5,FALSE)</f>
        <v>145</v>
      </c>
      <c r="P81" s="13" t="str">
        <f>VLOOKUP(C81,Customers!A:C,3,FALSE)</f>
        <v>Consumer</v>
      </c>
      <c r="Q81" s="13">
        <f t="shared" si="4"/>
        <v>459</v>
      </c>
      <c r="R81" s="13">
        <f t="shared" si="5"/>
        <v>290</v>
      </c>
      <c r="S81" s="13">
        <f t="shared" si="6"/>
        <v>169</v>
      </c>
      <c r="T81" s="14">
        <f t="shared" si="7"/>
        <v>0.36819172113289761</v>
      </c>
    </row>
    <row r="82" spans="1:20">
      <c r="A82" t="s">
        <v>786</v>
      </c>
      <c r="B82" s="8">
        <v>46041</v>
      </c>
      <c r="C82" t="s">
        <v>243</v>
      </c>
      <c r="D82" t="s">
        <v>79</v>
      </c>
      <c r="E82" t="s">
        <v>705</v>
      </c>
      <c r="F82" t="s">
        <v>706</v>
      </c>
      <c r="G82">
        <v>1</v>
      </c>
      <c r="H82" s="9">
        <v>0</v>
      </c>
      <c r="I82" t="s">
        <v>699</v>
      </c>
      <c r="J82">
        <v>5</v>
      </c>
      <c r="K82">
        <v>5</v>
      </c>
      <c r="L82" t="str">
        <f>VLOOKUP(D82,Products!A:E,2,FALSE)</f>
        <v>Desk Organiser</v>
      </c>
      <c r="M82" t="str">
        <f>VLOOKUP(D82,Products!A:E,3,FALSE)</f>
        <v>Office Supplies</v>
      </c>
      <c r="N82">
        <f>VLOOKUP(D82,Products!A:E,4,FALSE)</f>
        <v>28</v>
      </c>
      <c r="O82" s="13">
        <f>VLOOKUP(D82,Products!A:E,5,FALSE)</f>
        <v>12</v>
      </c>
      <c r="P82" s="13" t="str">
        <f>VLOOKUP(C82,Customers!A:C,3,FALSE)</f>
        <v>Consumer</v>
      </c>
      <c r="Q82" s="13">
        <f t="shared" si="4"/>
        <v>28</v>
      </c>
      <c r="R82" s="13">
        <f t="shared" si="5"/>
        <v>12</v>
      </c>
      <c r="S82" s="13">
        <f t="shared" si="6"/>
        <v>16</v>
      </c>
      <c r="T82" s="14">
        <f t="shared" si="7"/>
        <v>0.5714285714285714</v>
      </c>
    </row>
    <row r="83" spans="1:20">
      <c r="A83" t="s">
        <v>787</v>
      </c>
      <c r="B83" s="8">
        <v>45719</v>
      </c>
      <c r="C83" t="s">
        <v>661</v>
      </c>
      <c r="D83" t="s">
        <v>68</v>
      </c>
      <c r="E83" t="s">
        <v>701</v>
      </c>
      <c r="F83" t="s">
        <v>702</v>
      </c>
      <c r="G83">
        <v>5</v>
      </c>
      <c r="H83" s="9">
        <v>0.2</v>
      </c>
      <c r="I83" t="s">
        <v>699</v>
      </c>
      <c r="J83">
        <v>5</v>
      </c>
      <c r="K83">
        <v>1</v>
      </c>
      <c r="L83" t="str">
        <f>VLOOKUP(D83,Products!A:E,2,FALSE)</f>
        <v>Backpack</v>
      </c>
      <c r="M83" t="str">
        <f>VLOOKUP(D83,Products!A:E,3,FALSE)</f>
        <v>Accessories</v>
      </c>
      <c r="N83">
        <f>VLOOKUP(D83,Products!A:E,4,FALSE)</f>
        <v>85</v>
      </c>
      <c r="O83" s="13">
        <f>VLOOKUP(D83,Products!A:E,5,FALSE)</f>
        <v>39</v>
      </c>
      <c r="P83" s="13" t="str">
        <f>VLOOKUP(C83,Customers!A:C,3,FALSE)</f>
        <v>Consumer</v>
      </c>
      <c r="Q83" s="13">
        <f t="shared" si="4"/>
        <v>340</v>
      </c>
      <c r="R83" s="13">
        <f t="shared" si="5"/>
        <v>195</v>
      </c>
      <c r="S83" s="13">
        <f t="shared" si="6"/>
        <v>145</v>
      </c>
      <c r="T83" s="14">
        <f t="shared" si="7"/>
        <v>0.4264705882352941</v>
      </c>
    </row>
    <row r="84" spans="1:20">
      <c r="A84" t="s">
        <v>788</v>
      </c>
      <c r="B84" s="8">
        <v>45952</v>
      </c>
      <c r="C84" t="s">
        <v>405</v>
      </c>
      <c r="D84" t="s">
        <v>70</v>
      </c>
      <c r="E84" t="s">
        <v>705</v>
      </c>
      <c r="F84" t="s">
        <v>698</v>
      </c>
      <c r="G84">
        <v>1</v>
      </c>
      <c r="H84" s="9">
        <v>0.05</v>
      </c>
      <c r="I84" t="s">
        <v>699</v>
      </c>
      <c r="J84">
        <v>4</v>
      </c>
      <c r="K84">
        <v>5</v>
      </c>
      <c r="L84" t="str">
        <f>VLOOKUP(D84,Products!A:E,2,FALSE)</f>
        <v>USB-C Hub</v>
      </c>
      <c r="M84" t="str">
        <f>VLOOKUP(D84,Products!A:E,3,FALSE)</f>
        <v>Accessories</v>
      </c>
      <c r="N84">
        <f>VLOOKUP(D84,Products!A:E,4,FALSE)</f>
        <v>68</v>
      </c>
      <c r="O84" s="13">
        <f>VLOOKUP(D84,Products!A:E,5,FALSE)</f>
        <v>31</v>
      </c>
      <c r="P84" s="13" t="str">
        <f>VLOOKUP(C84,Customers!A:C,3,FALSE)</f>
        <v>Consumer</v>
      </c>
      <c r="Q84" s="13">
        <f t="shared" si="4"/>
        <v>64.599999999999994</v>
      </c>
      <c r="R84" s="13">
        <f t="shared" si="5"/>
        <v>31</v>
      </c>
      <c r="S84" s="13">
        <f t="shared" si="6"/>
        <v>33.599999999999994</v>
      </c>
      <c r="T84" s="14">
        <f t="shared" si="7"/>
        <v>0.52012383900928794</v>
      </c>
    </row>
    <row r="85" spans="1:20">
      <c r="A85" t="s">
        <v>789</v>
      </c>
      <c r="B85" s="8">
        <v>46034</v>
      </c>
      <c r="C85" t="s">
        <v>203</v>
      </c>
      <c r="D85" t="s">
        <v>63</v>
      </c>
      <c r="E85" t="s">
        <v>715</v>
      </c>
      <c r="F85" t="s">
        <v>698</v>
      </c>
      <c r="G85">
        <v>5</v>
      </c>
      <c r="H85" s="9">
        <v>0.2</v>
      </c>
      <c r="I85" t="s">
        <v>699</v>
      </c>
      <c r="J85">
        <v>5</v>
      </c>
      <c r="K85">
        <v>5</v>
      </c>
      <c r="L85" t="str">
        <f>VLOOKUP(D85,Products!A:E,2,FALSE)</f>
        <v>Bookshelf</v>
      </c>
      <c r="M85" t="str">
        <f>VLOOKUP(D85,Products!A:E,3,FALSE)</f>
        <v>Furniture</v>
      </c>
      <c r="N85">
        <f>VLOOKUP(D85,Products!A:E,4,FALSE)</f>
        <v>185</v>
      </c>
      <c r="O85" s="13">
        <f>VLOOKUP(D85,Products!A:E,5,FALSE)</f>
        <v>105</v>
      </c>
      <c r="P85" s="13" t="str">
        <f>VLOOKUP(C85,Customers!A:C,3,FALSE)</f>
        <v>Consumer</v>
      </c>
      <c r="Q85" s="13">
        <f t="shared" si="4"/>
        <v>740</v>
      </c>
      <c r="R85" s="13">
        <f t="shared" si="5"/>
        <v>525</v>
      </c>
      <c r="S85" s="13">
        <f t="shared" si="6"/>
        <v>215</v>
      </c>
      <c r="T85" s="14">
        <f t="shared" si="7"/>
        <v>0.29054054054054052</v>
      </c>
    </row>
    <row r="86" spans="1:20">
      <c r="A86" t="s">
        <v>790</v>
      </c>
      <c r="B86" s="8">
        <v>45684</v>
      </c>
      <c r="C86" t="s">
        <v>359</v>
      </c>
      <c r="D86" t="s">
        <v>45</v>
      </c>
      <c r="E86" t="s">
        <v>705</v>
      </c>
      <c r="F86" t="s">
        <v>698</v>
      </c>
      <c r="G86">
        <v>1</v>
      </c>
      <c r="H86" s="9">
        <v>0</v>
      </c>
      <c r="I86" t="s">
        <v>699</v>
      </c>
      <c r="J86">
        <v>5</v>
      </c>
      <c r="K86">
        <v>5</v>
      </c>
      <c r="L86" t="str">
        <f>VLOOKUP(D86,Products!A:E,2,FALSE)</f>
        <v>Laptop</v>
      </c>
      <c r="M86" t="str">
        <f>VLOOKUP(D86,Products!A:E,3,FALSE)</f>
        <v>Technology</v>
      </c>
      <c r="N86">
        <f>VLOOKUP(D86,Products!A:E,4,FALSE)</f>
        <v>1100</v>
      </c>
      <c r="O86" s="13">
        <f>VLOOKUP(D86,Products!A:E,5,FALSE)</f>
        <v>720</v>
      </c>
      <c r="P86" s="13" t="str">
        <f>VLOOKUP(C86,Customers!A:C,3,FALSE)</f>
        <v>Consumer</v>
      </c>
      <c r="Q86" s="13">
        <f t="shared" si="4"/>
        <v>1100</v>
      </c>
      <c r="R86" s="13">
        <f t="shared" si="5"/>
        <v>720</v>
      </c>
      <c r="S86" s="13">
        <f t="shared" si="6"/>
        <v>380</v>
      </c>
      <c r="T86" s="14">
        <f t="shared" si="7"/>
        <v>0.34545454545454546</v>
      </c>
    </row>
    <row r="87" spans="1:20">
      <c r="A87" t="s">
        <v>791</v>
      </c>
      <c r="B87" s="8">
        <v>46068</v>
      </c>
      <c r="C87" t="s">
        <v>157</v>
      </c>
      <c r="D87" t="s">
        <v>54</v>
      </c>
      <c r="E87" t="s">
        <v>701</v>
      </c>
      <c r="F87" t="s">
        <v>706</v>
      </c>
      <c r="G87">
        <v>1</v>
      </c>
      <c r="H87" s="9">
        <v>0.05</v>
      </c>
      <c r="I87" t="s">
        <v>699</v>
      </c>
      <c r="J87">
        <v>4</v>
      </c>
      <c r="K87">
        <v>2</v>
      </c>
      <c r="L87" t="str">
        <f>VLOOKUP(D87,Products!A:E,2,FALSE)</f>
        <v>Webcam</v>
      </c>
      <c r="M87" t="str">
        <f>VLOOKUP(D87,Products!A:E,3,FALSE)</f>
        <v>Technology</v>
      </c>
      <c r="N87">
        <f>VLOOKUP(D87,Products!A:E,4,FALSE)</f>
        <v>115</v>
      </c>
      <c r="O87" s="13">
        <f>VLOOKUP(D87,Products!A:E,5,FALSE)</f>
        <v>58</v>
      </c>
      <c r="P87" s="13" t="str">
        <f>VLOOKUP(C87,Customers!A:C,3,FALSE)</f>
        <v>Corporate</v>
      </c>
      <c r="Q87" s="13">
        <f t="shared" si="4"/>
        <v>109.25</v>
      </c>
      <c r="R87" s="13">
        <f t="shared" si="5"/>
        <v>58</v>
      </c>
      <c r="S87" s="13">
        <f t="shared" si="6"/>
        <v>51.25</v>
      </c>
      <c r="T87" s="14">
        <f t="shared" si="7"/>
        <v>0.46910755148741418</v>
      </c>
    </row>
    <row r="88" spans="1:20">
      <c r="A88" t="s">
        <v>792</v>
      </c>
      <c r="B88" s="8">
        <v>46036</v>
      </c>
      <c r="C88" t="s">
        <v>405</v>
      </c>
      <c r="D88" t="s">
        <v>68</v>
      </c>
      <c r="E88" t="s">
        <v>697</v>
      </c>
      <c r="F88" t="s">
        <v>698</v>
      </c>
      <c r="G88">
        <v>1</v>
      </c>
      <c r="H88" s="9">
        <v>0</v>
      </c>
      <c r="I88" t="s">
        <v>699</v>
      </c>
      <c r="J88">
        <v>5</v>
      </c>
      <c r="K88">
        <v>1</v>
      </c>
      <c r="L88" t="str">
        <f>VLOOKUP(D88,Products!A:E,2,FALSE)</f>
        <v>Backpack</v>
      </c>
      <c r="M88" t="str">
        <f>VLOOKUP(D88,Products!A:E,3,FALSE)</f>
        <v>Accessories</v>
      </c>
      <c r="N88">
        <f>VLOOKUP(D88,Products!A:E,4,FALSE)</f>
        <v>85</v>
      </c>
      <c r="O88" s="13">
        <f>VLOOKUP(D88,Products!A:E,5,FALSE)</f>
        <v>39</v>
      </c>
      <c r="P88" s="13" t="str">
        <f>VLOOKUP(C88,Customers!A:C,3,FALSE)</f>
        <v>Consumer</v>
      </c>
      <c r="Q88" s="13">
        <f t="shared" si="4"/>
        <v>85</v>
      </c>
      <c r="R88" s="13">
        <f t="shared" si="5"/>
        <v>39</v>
      </c>
      <c r="S88" s="13">
        <f t="shared" si="6"/>
        <v>46</v>
      </c>
      <c r="T88" s="14">
        <f t="shared" si="7"/>
        <v>0.54117647058823526</v>
      </c>
    </row>
    <row r="89" spans="1:20">
      <c r="A89" t="s">
        <v>793</v>
      </c>
      <c r="B89" s="8">
        <v>45936</v>
      </c>
      <c r="C89" t="s">
        <v>539</v>
      </c>
      <c r="D89" t="s">
        <v>74</v>
      </c>
      <c r="E89" t="s">
        <v>715</v>
      </c>
      <c r="F89" t="s">
        <v>702</v>
      </c>
      <c r="G89">
        <v>1</v>
      </c>
      <c r="H89" s="9">
        <v>0.1</v>
      </c>
      <c r="I89" t="s">
        <v>699</v>
      </c>
      <c r="J89">
        <v>4</v>
      </c>
      <c r="K89">
        <v>3</v>
      </c>
      <c r="L89" t="str">
        <f>VLOOKUP(D89,Products!A:E,2,FALSE)</f>
        <v>Printer Paper</v>
      </c>
      <c r="M89" t="str">
        <f>VLOOKUP(D89,Products!A:E,3,FALSE)</f>
        <v>Office Supplies</v>
      </c>
      <c r="N89">
        <f>VLOOKUP(D89,Products!A:E,4,FALSE)</f>
        <v>17</v>
      </c>
      <c r="O89" s="13">
        <f>VLOOKUP(D89,Products!A:E,5,FALSE)</f>
        <v>8</v>
      </c>
      <c r="P89" s="13" t="str">
        <f>VLOOKUP(C89,Customers!A:C,3,FALSE)</f>
        <v>Corporate</v>
      </c>
      <c r="Q89" s="13">
        <f t="shared" si="4"/>
        <v>15.3</v>
      </c>
      <c r="R89" s="13">
        <f t="shared" si="5"/>
        <v>8</v>
      </c>
      <c r="S89" s="13">
        <f t="shared" si="6"/>
        <v>7.3000000000000007</v>
      </c>
      <c r="T89" s="14">
        <f t="shared" si="7"/>
        <v>0.47712418300653597</v>
      </c>
    </row>
    <row r="90" spans="1:20">
      <c r="A90" t="s">
        <v>794</v>
      </c>
      <c r="B90" s="8">
        <v>46265</v>
      </c>
      <c r="C90" t="s">
        <v>585</v>
      </c>
      <c r="D90" t="s">
        <v>65</v>
      </c>
      <c r="E90" t="s">
        <v>705</v>
      </c>
      <c r="F90" t="s">
        <v>702</v>
      </c>
      <c r="G90">
        <v>3</v>
      </c>
      <c r="H90" s="9">
        <v>0</v>
      </c>
      <c r="I90" t="s">
        <v>699</v>
      </c>
      <c r="J90">
        <v>3</v>
      </c>
      <c r="K90">
        <v>2</v>
      </c>
      <c r="L90" t="str">
        <f>VLOOKUP(D90,Products!A:E,2,FALSE)</f>
        <v>Laptop Stand</v>
      </c>
      <c r="M90" t="str">
        <f>VLOOKUP(D90,Products!A:E,3,FALSE)</f>
        <v>Accessories</v>
      </c>
      <c r="N90">
        <f>VLOOKUP(D90,Products!A:E,4,FALSE)</f>
        <v>48</v>
      </c>
      <c r="O90" s="13">
        <f>VLOOKUP(D90,Products!A:E,5,FALSE)</f>
        <v>22</v>
      </c>
      <c r="P90" s="13" t="str">
        <f>VLOOKUP(C90,Customers!A:C,3,FALSE)</f>
        <v>Consumer</v>
      </c>
      <c r="Q90" s="13">
        <f t="shared" si="4"/>
        <v>144</v>
      </c>
      <c r="R90" s="13">
        <f t="shared" si="5"/>
        <v>66</v>
      </c>
      <c r="S90" s="13">
        <f t="shared" si="6"/>
        <v>78</v>
      </c>
      <c r="T90" s="14">
        <f t="shared" si="7"/>
        <v>0.54166666666666663</v>
      </c>
    </row>
    <row r="91" spans="1:20">
      <c r="A91" t="s">
        <v>795</v>
      </c>
      <c r="B91" s="8">
        <v>45919</v>
      </c>
      <c r="C91" t="s">
        <v>383</v>
      </c>
      <c r="D91" t="s">
        <v>68</v>
      </c>
      <c r="E91" t="s">
        <v>705</v>
      </c>
      <c r="F91" t="s">
        <v>698</v>
      </c>
      <c r="G91">
        <v>2</v>
      </c>
      <c r="H91" s="9">
        <v>0</v>
      </c>
      <c r="I91" t="s">
        <v>699</v>
      </c>
      <c r="J91">
        <v>3</v>
      </c>
      <c r="K91">
        <v>5</v>
      </c>
      <c r="L91" t="str">
        <f>VLOOKUP(D91,Products!A:E,2,FALSE)</f>
        <v>Backpack</v>
      </c>
      <c r="M91" t="str">
        <f>VLOOKUP(D91,Products!A:E,3,FALSE)</f>
        <v>Accessories</v>
      </c>
      <c r="N91">
        <f>VLOOKUP(D91,Products!A:E,4,FALSE)</f>
        <v>85</v>
      </c>
      <c r="O91" s="13">
        <f>VLOOKUP(D91,Products!A:E,5,FALSE)</f>
        <v>39</v>
      </c>
      <c r="P91" s="13" t="str">
        <f>VLOOKUP(C91,Customers!A:C,3,FALSE)</f>
        <v>Consumer</v>
      </c>
      <c r="Q91" s="13">
        <f t="shared" si="4"/>
        <v>170</v>
      </c>
      <c r="R91" s="13">
        <f t="shared" si="5"/>
        <v>78</v>
      </c>
      <c r="S91" s="13">
        <f t="shared" si="6"/>
        <v>92</v>
      </c>
      <c r="T91" s="14">
        <f t="shared" si="7"/>
        <v>0.54117647058823526</v>
      </c>
    </row>
    <row r="92" spans="1:20">
      <c r="A92" t="s">
        <v>796</v>
      </c>
      <c r="B92" s="8">
        <v>46020</v>
      </c>
      <c r="C92" t="s">
        <v>159</v>
      </c>
      <c r="D92" t="s">
        <v>72</v>
      </c>
      <c r="E92" t="s">
        <v>697</v>
      </c>
      <c r="F92" t="s">
        <v>702</v>
      </c>
      <c r="G92">
        <v>1</v>
      </c>
      <c r="H92" s="9">
        <v>0.15</v>
      </c>
      <c r="I92" t="s">
        <v>699</v>
      </c>
      <c r="J92">
        <v>4</v>
      </c>
      <c r="K92">
        <v>5</v>
      </c>
      <c r="L92" t="str">
        <f>VLOOKUP(D92,Products!A:E,2,FALSE)</f>
        <v>Phone Charger</v>
      </c>
      <c r="M92" t="str">
        <f>VLOOKUP(D92,Products!A:E,3,FALSE)</f>
        <v>Accessories</v>
      </c>
      <c r="N92">
        <f>VLOOKUP(D92,Products!A:E,4,FALSE)</f>
        <v>32</v>
      </c>
      <c r="O92" s="13">
        <f>VLOOKUP(D92,Products!A:E,5,FALSE)</f>
        <v>13</v>
      </c>
      <c r="P92" s="13" t="str">
        <f>VLOOKUP(C92,Customers!A:C,3,FALSE)</f>
        <v>Small Business</v>
      </c>
      <c r="Q92" s="13">
        <f t="shared" si="4"/>
        <v>27.2</v>
      </c>
      <c r="R92" s="13">
        <f t="shared" si="5"/>
        <v>13</v>
      </c>
      <c r="S92" s="13">
        <f t="shared" si="6"/>
        <v>14.2</v>
      </c>
      <c r="T92" s="14">
        <f t="shared" si="7"/>
        <v>0.5220588235294118</v>
      </c>
    </row>
    <row r="93" spans="1:20">
      <c r="A93" t="s">
        <v>797</v>
      </c>
      <c r="B93" s="8">
        <v>46072</v>
      </c>
      <c r="C93" t="s">
        <v>513</v>
      </c>
      <c r="D93" t="s">
        <v>65</v>
      </c>
      <c r="E93" t="s">
        <v>705</v>
      </c>
      <c r="F93" t="s">
        <v>702</v>
      </c>
      <c r="G93">
        <v>2</v>
      </c>
      <c r="H93" s="9">
        <v>0.1</v>
      </c>
      <c r="I93" t="s">
        <v>699</v>
      </c>
      <c r="J93">
        <v>5</v>
      </c>
      <c r="K93">
        <v>3</v>
      </c>
      <c r="L93" t="str">
        <f>VLOOKUP(D93,Products!A:E,2,FALSE)</f>
        <v>Laptop Stand</v>
      </c>
      <c r="M93" t="str">
        <f>VLOOKUP(D93,Products!A:E,3,FALSE)</f>
        <v>Accessories</v>
      </c>
      <c r="N93">
        <f>VLOOKUP(D93,Products!A:E,4,FALSE)</f>
        <v>48</v>
      </c>
      <c r="O93" s="13">
        <f>VLOOKUP(D93,Products!A:E,5,FALSE)</f>
        <v>22</v>
      </c>
      <c r="P93" s="13" t="str">
        <f>VLOOKUP(C93,Customers!A:C,3,FALSE)</f>
        <v>Consumer</v>
      </c>
      <c r="Q93" s="13">
        <f t="shared" si="4"/>
        <v>86.4</v>
      </c>
      <c r="R93" s="13">
        <f t="shared" si="5"/>
        <v>44</v>
      </c>
      <c r="S93" s="13">
        <f t="shared" si="6"/>
        <v>42.400000000000006</v>
      </c>
      <c r="T93" s="14">
        <f t="shared" si="7"/>
        <v>0.49074074074074076</v>
      </c>
    </row>
    <row r="94" spans="1:20">
      <c r="A94" t="s">
        <v>798</v>
      </c>
      <c r="B94" s="8">
        <v>45748</v>
      </c>
      <c r="C94" t="s">
        <v>533</v>
      </c>
      <c r="D94" t="s">
        <v>52</v>
      </c>
      <c r="E94" t="s">
        <v>708</v>
      </c>
      <c r="F94" t="s">
        <v>698</v>
      </c>
      <c r="G94">
        <v>2</v>
      </c>
      <c r="H94" s="9">
        <v>0</v>
      </c>
      <c r="I94" t="s">
        <v>699</v>
      </c>
      <c r="J94">
        <v>4</v>
      </c>
      <c r="K94">
        <v>3</v>
      </c>
      <c r="L94" t="str">
        <f>VLOOKUP(D94,Products!A:E,2,FALSE)</f>
        <v>Mouse</v>
      </c>
      <c r="M94" t="str">
        <f>VLOOKUP(D94,Products!A:E,3,FALSE)</f>
        <v>Technology</v>
      </c>
      <c r="N94">
        <f>VLOOKUP(D94,Products!A:E,4,FALSE)</f>
        <v>42</v>
      </c>
      <c r="O94" s="13">
        <f>VLOOKUP(D94,Products!A:E,5,FALSE)</f>
        <v>19</v>
      </c>
      <c r="P94" s="13" t="str">
        <f>VLOOKUP(C94,Customers!A:C,3,FALSE)</f>
        <v>Corporate</v>
      </c>
      <c r="Q94" s="13">
        <f t="shared" si="4"/>
        <v>84</v>
      </c>
      <c r="R94" s="13">
        <f t="shared" si="5"/>
        <v>38</v>
      </c>
      <c r="S94" s="13">
        <f t="shared" si="6"/>
        <v>46</v>
      </c>
      <c r="T94" s="14">
        <f t="shared" si="7"/>
        <v>0.54761904761904767</v>
      </c>
    </row>
    <row r="95" spans="1:20">
      <c r="A95" t="s">
        <v>799</v>
      </c>
      <c r="B95" s="8">
        <v>45830</v>
      </c>
      <c r="C95" t="s">
        <v>165</v>
      </c>
      <c r="D95" t="s">
        <v>52</v>
      </c>
      <c r="E95" t="s">
        <v>715</v>
      </c>
      <c r="F95" t="s">
        <v>702</v>
      </c>
      <c r="G95">
        <v>4</v>
      </c>
      <c r="H95" s="9">
        <v>0</v>
      </c>
      <c r="I95" t="s">
        <v>703</v>
      </c>
      <c r="J95">
        <v>5</v>
      </c>
      <c r="K95">
        <v>4</v>
      </c>
      <c r="L95" t="str">
        <f>VLOOKUP(D95,Products!A:E,2,FALSE)</f>
        <v>Mouse</v>
      </c>
      <c r="M95" t="str">
        <f>VLOOKUP(D95,Products!A:E,3,FALSE)</f>
        <v>Technology</v>
      </c>
      <c r="N95">
        <f>VLOOKUP(D95,Products!A:E,4,FALSE)</f>
        <v>42</v>
      </c>
      <c r="O95" s="13">
        <f>VLOOKUP(D95,Products!A:E,5,FALSE)</f>
        <v>19</v>
      </c>
      <c r="P95" s="13" t="str">
        <f>VLOOKUP(C95,Customers!A:C,3,FALSE)</f>
        <v>Corporate</v>
      </c>
      <c r="Q95" s="13">
        <f t="shared" si="4"/>
        <v>168</v>
      </c>
      <c r="R95" s="13">
        <f t="shared" si="5"/>
        <v>76</v>
      </c>
      <c r="S95" s="13">
        <f t="shared" si="6"/>
        <v>92</v>
      </c>
      <c r="T95" s="14">
        <f t="shared" si="7"/>
        <v>0.54761904761904767</v>
      </c>
    </row>
    <row r="96" spans="1:20">
      <c r="A96" t="s">
        <v>800</v>
      </c>
      <c r="B96" s="8">
        <v>45763</v>
      </c>
      <c r="C96" t="s">
        <v>235</v>
      </c>
      <c r="D96" t="s">
        <v>63</v>
      </c>
      <c r="E96" t="s">
        <v>705</v>
      </c>
      <c r="F96" t="s">
        <v>698</v>
      </c>
      <c r="G96">
        <v>4</v>
      </c>
      <c r="H96" s="9">
        <v>0.05</v>
      </c>
      <c r="I96" t="s">
        <v>699</v>
      </c>
      <c r="J96">
        <v>5</v>
      </c>
      <c r="K96">
        <v>4</v>
      </c>
      <c r="L96" t="str">
        <f>VLOOKUP(D96,Products!A:E,2,FALSE)</f>
        <v>Bookshelf</v>
      </c>
      <c r="M96" t="str">
        <f>VLOOKUP(D96,Products!A:E,3,FALSE)</f>
        <v>Furniture</v>
      </c>
      <c r="N96">
        <f>VLOOKUP(D96,Products!A:E,4,FALSE)</f>
        <v>185</v>
      </c>
      <c r="O96" s="13">
        <f>VLOOKUP(D96,Products!A:E,5,FALSE)</f>
        <v>105</v>
      </c>
      <c r="P96" s="13" t="str">
        <f>VLOOKUP(C96,Customers!A:C,3,FALSE)</f>
        <v>Corporate</v>
      </c>
      <c r="Q96" s="13">
        <f t="shared" si="4"/>
        <v>703</v>
      </c>
      <c r="R96" s="13">
        <f t="shared" si="5"/>
        <v>420</v>
      </c>
      <c r="S96" s="13">
        <f t="shared" si="6"/>
        <v>283</v>
      </c>
      <c r="T96" s="14">
        <f t="shared" si="7"/>
        <v>0.40256045519203415</v>
      </c>
    </row>
    <row r="97" spans="1:20">
      <c r="A97" t="s">
        <v>801</v>
      </c>
      <c r="B97" s="8">
        <v>46133</v>
      </c>
      <c r="C97" t="s">
        <v>663</v>
      </c>
      <c r="D97" t="s">
        <v>77</v>
      </c>
      <c r="E97" t="s">
        <v>701</v>
      </c>
      <c r="F97" t="s">
        <v>706</v>
      </c>
      <c r="G97">
        <v>3</v>
      </c>
      <c r="H97" s="9">
        <v>0.2</v>
      </c>
      <c r="I97" t="s">
        <v>699</v>
      </c>
      <c r="J97">
        <v>5</v>
      </c>
      <c r="K97">
        <v>3</v>
      </c>
      <c r="L97" t="str">
        <f>VLOOKUP(D97,Products!A:E,2,FALSE)</f>
        <v>File Folder Pack</v>
      </c>
      <c r="M97" t="str">
        <f>VLOOKUP(D97,Products!A:E,3,FALSE)</f>
        <v>Office Supplies</v>
      </c>
      <c r="N97">
        <f>VLOOKUP(D97,Products!A:E,4,FALSE)</f>
        <v>23</v>
      </c>
      <c r="O97" s="13">
        <f>VLOOKUP(D97,Products!A:E,5,FALSE)</f>
        <v>10</v>
      </c>
      <c r="P97" s="13" t="str">
        <f>VLOOKUP(C97,Customers!A:C,3,FALSE)</f>
        <v>Consumer</v>
      </c>
      <c r="Q97" s="13">
        <f t="shared" si="4"/>
        <v>55.2</v>
      </c>
      <c r="R97" s="13">
        <f t="shared" si="5"/>
        <v>30</v>
      </c>
      <c r="S97" s="13">
        <f t="shared" si="6"/>
        <v>25.200000000000003</v>
      </c>
      <c r="T97" s="14">
        <f t="shared" si="7"/>
        <v>0.45652173913043481</v>
      </c>
    </row>
    <row r="98" spans="1:20">
      <c r="A98" t="s">
        <v>802</v>
      </c>
      <c r="B98" s="8">
        <v>45812</v>
      </c>
      <c r="C98" t="s">
        <v>537</v>
      </c>
      <c r="D98" t="s">
        <v>50</v>
      </c>
      <c r="E98" t="s">
        <v>715</v>
      </c>
      <c r="F98" t="s">
        <v>698</v>
      </c>
      <c r="G98">
        <v>4</v>
      </c>
      <c r="H98" s="9">
        <v>0.05</v>
      </c>
      <c r="I98" t="s">
        <v>699</v>
      </c>
      <c r="J98">
        <v>2</v>
      </c>
      <c r="K98">
        <v>8</v>
      </c>
      <c r="L98" t="str">
        <f>VLOOKUP(D98,Products!A:E,2,FALSE)</f>
        <v>Keyboard</v>
      </c>
      <c r="M98" t="str">
        <f>VLOOKUP(D98,Products!A:E,3,FALSE)</f>
        <v>Technology</v>
      </c>
      <c r="N98">
        <f>VLOOKUP(D98,Products!A:E,4,FALSE)</f>
        <v>75</v>
      </c>
      <c r="O98" s="13">
        <f>VLOOKUP(D98,Products!A:E,5,FALSE)</f>
        <v>38</v>
      </c>
      <c r="P98" s="13" t="str">
        <f>VLOOKUP(C98,Customers!A:C,3,FALSE)</f>
        <v>Corporate</v>
      </c>
      <c r="Q98" s="13">
        <f t="shared" si="4"/>
        <v>285</v>
      </c>
      <c r="R98" s="13">
        <f t="shared" si="5"/>
        <v>152</v>
      </c>
      <c r="S98" s="13">
        <f t="shared" si="6"/>
        <v>133</v>
      </c>
      <c r="T98" s="14">
        <f t="shared" si="7"/>
        <v>0.46666666666666667</v>
      </c>
    </row>
    <row r="99" spans="1:20">
      <c r="A99" t="s">
        <v>803</v>
      </c>
      <c r="B99" s="8">
        <v>45696</v>
      </c>
      <c r="C99" t="s">
        <v>145</v>
      </c>
      <c r="D99" t="s">
        <v>70</v>
      </c>
      <c r="E99" t="s">
        <v>697</v>
      </c>
      <c r="F99" t="s">
        <v>702</v>
      </c>
      <c r="G99">
        <v>5</v>
      </c>
      <c r="H99" s="9">
        <v>0.15</v>
      </c>
      <c r="I99" t="s">
        <v>699</v>
      </c>
      <c r="J99">
        <v>4</v>
      </c>
      <c r="K99">
        <v>4</v>
      </c>
      <c r="L99" t="str">
        <f>VLOOKUP(D99,Products!A:E,2,FALSE)</f>
        <v>USB-C Hub</v>
      </c>
      <c r="M99" t="str">
        <f>VLOOKUP(D99,Products!A:E,3,FALSE)</f>
        <v>Accessories</v>
      </c>
      <c r="N99">
        <f>VLOOKUP(D99,Products!A:E,4,FALSE)</f>
        <v>68</v>
      </c>
      <c r="O99" s="13">
        <f>VLOOKUP(D99,Products!A:E,5,FALSE)</f>
        <v>31</v>
      </c>
      <c r="P99" s="13" t="str">
        <f>VLOOKUP(C99,Customers!A:C,3,FALSE)</f>
        <v>Corporate</v>
      </c>
      <c r="Q99" s="13">
        <f t="shared" si="4"/>
        <v>289</v>
      </c>
      <c r="R99" s="13">
        <f t="shared" si="5"/>
        <v>155</v>
      </c>
      <c r="S99" s="13">
        <f t="shared" si="6"/>
        <v>134</v>
      </c>
      <c r="T99" s="14">
        <f t="shared" si="7"/>
        <v>0.46366782006920415</v>
      </c>
    </row>
    <row r="100" spans="1:20">
      <c r="A100" t="s">
        <v>804</v>
      </c>
      <c r="B100" s="8">
        <v>46252</v>
      </c>
      <c r="C100" t="s">
        <v>653</v>
      </c>
      <c r="D100" t="s">
        <v>48</v>
      </c>
      <c r="E100" t="s">
        <v>715</v>
      </c>
      <c r="F100" t="s">
        <v>698</v>
      </c>
      <c r="G100">
        <v>3</v>
      </c>
      <c r="H100" s="9">
        <v>0</v>
      </c>
      <c r="I100" t="s">
        <v>699</v>
      </c>
      <c r="J100">
        <v>3</v>
      </c>
      <c r="K100">
        <v>1</v>
      </c>
      <c r="L100" t="str">
        <f>VLOOKUP(D100,Products!A:E,2,FALSE)</f>
        <v>Monitor</v>
      </c>
      <c r="M100" t="str">
        <f>VLOOKUP(D100,Products!A:E,3,FALSE)</f>
        <v>Technology</v>
      </c>
      <c r="N100">
        <f>VLOOKUP(D100,Products!A:E,4,FALSE)</f>
        <v>310</v>
      </c>
      <c r="O100" s="13">
        <f>VLOOKUP(D100,Products!A:E,5,FALSE)</f>
        <v>190</v>
      </c>
      <c r="P100" s="13" t="str">
        <f>VLOOKUP(C100,Customers!A:C,3,FALSE)</f>
        <v>Consumer</v>
      </c>
      <c r="Q100" s="13">
        <f t="shared" si="4"/>
        <v>930</v>
      </c>
      <c r="R100" s="13">
        <f t="shared" si="5"/>
        <v>570</v>
      </c>
      <c r="S100" s="13">
        <f t="shared" si="6"/>
        <v>360</v>
      </c>
      <c r="T100" s="14">
        <f t="shared" si="7"/>
        <v>0.38709677419354838</v>
      </c>
    </row>
    <row r="101" spans="1:20">
      <c r="A101" t="s">
        <v>805</v>
      </c>
      <c r="B101" s="8">
        <v>46119</v>
      </c>
      <c r="C101" t="s">
        <v>191</v>
      </c>
      <c r="D101" t="s">
        <v>68</v>
      </c>
      <c r="E101" t="s">
        <v>697</v>
      </c>
      <c r="F101" t="s">
        <v>702</v>
      </c>
      <c r="G101">
        <v>3</v>
      </c>
      <c r="H101" s="9">
        <v>0</v>
      </c>
      <c r="I101" t="s">
        <v>699</v>
      </c>
      <c r="J101">
        <v>5</v>
      </c>
      <c r="K101">
        <v>5</v>
      </c>
      <c r="L101" t="str">
        <f>VLOOKUP(D101,Products!A:E,2,FALSE)</f>
        <v>Backpack</v>
      </c>
      <c r="M101" t="str">
        <f>VLOOKUP(D101,Products!A:E,3,FALSE)</f>
        <v>Accessories</v>
      </c>
      <c r="N101">
        <f>VLOOKUP(D101,Products!A:E,4,FALSE)</f>
        <v>85</v>
      </c>
      <c r="O101" s="13">
        <f>VLOOKUP(D101,Products!A:E,5,FALSE)</f>
        <v>39</v>
      </c>
      <c r="P101" s="13" t="str">
        <f>VLOOKUP(C101,Customers!A:C,3,FALSE)</f>
        <v>Consumer</v>
      </c>
      <c r="Q101" s="13">
        <f t="shared" si="4"/>
        <v>255</v>
      </c>
      <c r="R101" s="13">
        <f t="shared" si="5"/>
        <v>117</v>
      </c>
      <c r="S101" s="13">
        <f t="shared" si="6"/>
        <v>138</v>
      </c>
      <c r="T101" s="14">
        <f t="shared" si="7"/>
        <v>0.54117647058823526</v>
      </c>
    </row>
    <row r="102" spans="1:20">
      <c r="A102" t="s">
        <v>806</v>
      </c>
      <c r="B102" s="8">
        <v>46193</v>
      </c>
      <c r="C102" t="s">
        <v>249</v>
      </c>
      <c r="D102" t="s">
        <v>70</v>
      </c>
      <c r="E102" t="s">
        <v>708</v>
      </c>
      <c r="F102" t="s">
        <v>702</v>
      </c>
      <c r="G102">
        <v>2</v>
      </c>
      <c r="H102" s="9">
        <v>0</v>
      </c>
      <c r="I102" t="s">
        <v>699</v>
      </c>
      <c r="J102">
        <v>5</v>
      </c>
      <c r="K102">
        <v>3</v>
      </c>
      <c r="L102" t="str">
        <f>VLOOKUP(D102,Products!A:E,2,FALSE)</f>
        <v>USB-C Hub</v>
      </c>
      <c r="M102" t="str">
        <f>VLOOKUP(D102,Products!A:E,3,FALSE)</f>
        <v>Accessories</v>
      </c>
      <c r="N102">
        <f>VLOOKUP(D102,Products!A:E,4,FALSE)</f>
        <v>68</v>
      </c>
      <c r="O102" s="13">
        <f>VLOOKUP(D102,Products!A:E,5,FALSE)</f>
        <v>31</v>
      </c>
      <c r="P102" s="13" t="str">
        <f>VLOOKUP(C102,Customers!A:C,3,FALSE)</f>
        <v>Consumer</v>
      </c>
      <c r="Q102" s="13">
        <f t="shared" si="4"/>
        <v>136</v>
      </c>
      <c r="R102" s="13">
        <f t="shared" si="5"/>
        <v>62</v>
      </c>
      <c r="S102" s="13">
        <f t="shared" si="6"/>
        <v>74</v>
      </c>
      <c r="T102" s="14">
        <f t="shared" si="7"/>
        <v>0.54411764705882348</v>
      </c>
    </row>
    <row r="103" spans="1:20">
      <c r="A103" t="s">
        <v>807</v>
      </c>
      <c r="B103" s="8">
        <v>45725</v>
      </c>
      <c r="C103" t="s">
        <v>423</v>
      </c>
      <c r="D103" t="s">
        <v>52</v>
      </c>
      <c r="E103" t="s">
        <v>715</v>
      </c>
      <c r="F103" t="s">
        <v>702</v>
      </c>
      <c r="G103">
        <v>1</v>
      </c>
      <c r="H103" s="9">
        <v>0.15</v>
      </c>
      <c r="I103" t="s">
        <v>703</v>
      </c>
      <c r="J103">
        <v>4</v>
      </c>
      <c r="K103">
        <v>5</v>
      </c>
      <c r="L103" t="str">
        <f>VLOOKUP(D103,Products!A:E,2,FALSE)</f>
        <v>Mouse</v>
      </c>
      <c r="M103" t="str">
        <f>VLOOKUP(D103,Products!A:E,3,FALSE)</f>
        <v>Technology</v>
      </c>
      <c r="N103">
        <f>VLOOKUP(D103,Products!A:E,4,FALSE)</f>
        <v>42</v>
      </c>
      <c r="O103" s="13">
        <f>VLOOKUP(D103,Products!A:E,5,FALSE)</f>
        <v>19</v>
      </c>
      <c r="P103" s="13" t="str">
        <f>VLOOKUP(C103,Customers!A:C,3,FALSE)</f>
        <v>Consumer</v>
      </c>
      <c r="Q103" s="13">
        <f t="shared" si="4"/>
        <v>35.699999999999996</v>
      </c>
      <c r="R103" s="13">
        <f t="shared" si="5"/>
        <v>19</v>
      </c>
      <c r="S103" s="13">
        <f t="shared" si="6"/>
        <v>16.699999999999996</v>
      </c>
      <c r="T103" s="14">
        <f t="shared" si="7"/>
        <v>0.46778711484593832</v>
      </c>
    </row>
    <row r="104" spans="1:20">
      <c r="A104" t="s">
        <v>808</v>
      </c>
      <c r="B104" s="8">
        <v>45741</v>
      </c>
      <c r="C104" t="s">
        <v>683</v>
      </c>
      <c r="D104" t="s">
        <v>54</v>
      </c>
      <c r="E104" t="s">
        <v>697</v>
      </c>
      <c r="F104" t="s">
        <v>702</v>
      </c>
      <c r="G104">
        <v>3</v>
      </c>
      <c r="H104" s="9">
        <v>0.1</v>
      </c>
      <c r="I104" t="s">
        <v>699</v>
      </c>
      <c r="J104">
        <v>5</v>
      </c>
      <c r="K104">
        <v>1</v>
      </c>
      <c r="L104" t="str">
        <f>VLOOKUP(D104,Products!A:E,2,FALSE)</f>
        <v>Webcam</v>
      </c>
      <c r="M104" t="str">
        <f>VLOOKUP(D104,Products!A:E,3,FALSE)</f>
        <v>Technology</v>
      </c>
      <c r="N104">
        <f>VLOOKUP(D104,Products!A:E,4,FALSE)</f>
        <v>115</v>
      </c>
      <c r="O104" s="13">
        <f>VLOOKUP(D104,Products!A:E,5,FALSE)</f>
        <v>58</v>
      </c>
      <c r="P104" s="13" t="str">
        <f>VLOOKUP(C104,Customers!A:C,3,FALSE)</f>
        <v>Consumer</v>
      </c>
      <c r="Q104" s="13">
        <f t="shared" si="4"/>
        <v>310.5</v>
      </c>
      <c r="R104" s="13">
        <f t="shared" si="5"/>
        <v>174</v>
      </c>
      <c r="S104" s="13">
        <f t="shared" si="6"/>
        <v>136.5</v>
      </c>
      <c r="T104" s="14">
        <f t="shared" si="7"/>
        <v>0.43961352657004832</v>
      </c>
    </row>
    <row r="105" spans="1:20">
      <c r="A105" t="s">
        <v>809</v>
      </c>
      <c r="B105" s="8">
        <v>45975</v>
      </c>
      <c r="C105" t="s">
        <v>659</v>
      </c>
      <c r="D105" t="s">
        <v>72</v>
      </c>
      <c r="E105" t="s">
        <v>701</v>
      </c>
      <c r="F105" t="s">
        <v>702</v>
      </c>
      <c r="G105">
        <v>1</v>
      </c>
      <c r="H105" s="9">
        <v>0.1</v>
      </c>
      <c r="I105" t="s">
        <v>703</v>
      </c>
      <c r="J105">
        <v>5</v>
      </c>
      <c r="K105">
        <v>6</v>
      </c>
      <c r="L105" t="str">
        <f>VLOOKUP(D105,Products!A:E,2,FALSE)</f>
        <v>Phone Charger</v>
      </c>
      <c r="M105" t="str">
        <f>VLOOKUP(D105,Products!A:E,3,FALSE)</f>
        <v>Accessories</v>
      </c>
      <c r="N105">
        <f>VLOOKUP(D105,Products!A:E,4,FALSE)</f>
        <v>32</v>
      </c>
      <c r="O105" s="13">
        <f>VLOOKUP(D105,Products!A:E,5,FALSE)</f>
        <v>13</v>
      </c>
      <c r="P105" s="13" t="str">
        <f>VLOOKUP(C105,Customers!A:C,3,FALSE)</f>
        <v>Small Business</v>
      </c>
      <c r="Q105" s="13">
        <f t="shared" si="4"/>
        <v>28.8</v>
      </c>
      <c r="R105" s="13">
        <f t="shared" si="5"/>
        <v>13</v>
      </c>
      <c r="S105" s="13">
        <f t="shared" si="6"/>
        <v>15.8</v>
      </c>
      <c r="T105" s="14">
        <f t="shared" si="7"/>
        <v>0.54861111111111116</v>
      </c>
    </row>
    <row r="106" spans="1:20">
      <c r="A106" t="s">
        <v>810</v>
      </c>
      <c r="B106" s="8">
        <v>46091</v>
      </c>
      <c r="C106" t="s">
        <v>607</v>
      </c>
      <c r="D106" t="s">
        <v>70</v>
      </c>
      <c r="E106" t="s">
        <v>705</v>
      </c>
      <c r="F106" t="s">
        <v>702</v>
      </c>
      <c r="G106">
        <v>7</v>
      </c>
      <c r="H106" s="9">
        <v>0</v>
      </c>
      <c r="I106" t="s">
        <v>699</v>
      </c>
      <c r="J106">
        <v>3</v>
      </c>
      <c r="K106">
        <v>2</v>
      </c>
      <c r="L106" t="str">
        <f>VLOOKUP(D106,Products!A:E,2,FALSE)</f>
        <v>USB-C Hub</v>
      </c>
      <c r="M106" t="str">
        <f>VLOOKUP(D106,Products!A:E,3,FALSE)</f>
        <v>Accessories</v>
      </c>
      <c r="N106">
        <f>VLOOKUP(D106,Products!A:E,4,FALSE)</f>
        <v>68</v>
      </c>
      <c r="O106" s="13">
        <f>VLOOKUP(D106,Products!A:E,5,FALSE)</f>
        <v>31</v>
      </c>
      <c r="P106" s="13" t="str">
        <f>VLOOKUP(C106,Customers!A:C,3,FALSE)</f>
        <v>Small Business</v>
      </c>
      <c r="Q106" s="13">
        <f t="shared" si="4"/>
        <v>476</v>
      </c>
      <c r="R106" s="13">
        <f t="shared" si="5"/>
        <v>217</v>
      </c>
      <c r="S106" s="13">
        <f t="shared" si="6"/>
        <v>259</v>
      </c>
      <c r="T106" s="14">
        <f t="shared" si="7"/>
        <v>0.54411764705882348</v>
      </c>
    </row>
    <row r="107" spans="1:20">
      <c r="A107" t="s">
        <v>811</v>
      </c>
      <c r="B107" s="8">
        <v>45816</v>
      </c>
      <c r="C107" t="s">
        <v>165</v>
      </c>
      <c r="D107" t="s">
        <v>65</v>
      </c>
      <c r="E107" t="s">
        <v>697</v>
      </c>
      <c r="F107" t="s">
        <v>702</v>
      </c>
      <c r="G107">
        <v>4</v>
      </c>
      <c r="H107" s="9">
        <v>0.15</v>
      </c>
      <c r="I107" t="s">
        <v>699</v>
      </c>
      <c r="J107">
        <v>1</v>
      </c>
      <c r="K107">
        <v>5</v>
      </c>
      <c r="L107" t="str">
        <f>VLOOKUP(D107,Products!A:E,2,FALSE)</f>
        <v>Laptop Stand</v>
      </c>
      <c r="M107" t="str">
        <f>VLOOKUP(D107,Products!A:E,3,FALSE)</f>
        <v>Accessories</v>
      </c>
      <c r="N107">
        <f>VLOOKUP(D107,Products!A:E,4,FALSE)</f>
        <v>48</v>
      </c>
      <c r="O107" s="13">
        <f>VLOOKUP(D107,Products!A:E,5,FALSE)</f>
        <v>22</v>
      </c>
      <c r="P107" s="13" t="str">
        <f>VLOOKUP(C107,Customers!A:C,3,FALSE)</f>
        <v>Corporate</v>
      </c>
      <c r="Q107" s="13">
        <f t="shared" si="4"/>
        <v>163.19999999999999</v>
      </c>
      <c r="R107" s="13">
        <f t="shared" si="5"/>
        <v>88</v>
      </c>
      <c r="S107" s="13">
        <f t="shared" si="6"/>
        <v>75.199999999999989</v>
      </c>
      <c r="T107" s="14">
        <f t="shared" si="7"/>
        <v>0.46078431372549017</v>
      </c>
    </row>
    <row r="108" spans="1:20">
      <c r="A108" t="s">
        <v>812</v>
      </c>
      <c r="B108" s="8">
        <v>46043</v>
      </c>
      <c r="C108" t="s">
        <v>243</v>
      </c>
      <c r="D108" t="s">
        <v>56</v>
      </c>
      <c r="E108" t="s">
        <v>705</v>
      </c>
      <c r="F108" t="s">
        <v>698</v>
      </c>
      <c r="G108">
        <v>3</v>
      </c>
      <c r="H108" s="9">
        <v>0.15</v>
      </c>
      <c r="I108" t="s">
        <v>699</v>
      </c>
      <c r="J108">
        <v>2</v>
      </c>
      <c r="K108">
        <v>5</v>
      </c>
      <c r="L108" t="str">
        <f>VLOOKUP(D108,Products!A:E,2,FALSE)</f>
        <v>Headset</v>
      </c>
      <c r="M108" t="str">
        <f>VLOOKUP(D108,Products!A:E,3,FALSE)</f>
        <v>Technology</v>
      </c>
      <c r="N108">
        <f>VLOOKUP(D108,Products!A:E,4,FALSE)</f>
        <v>98</v>
      </c>
      <c r="O108" s="13">
        <f>VLOOKUP(D108,Products!A:E,5,FALSE)</f>
        <v>46</v>
      </c>
      <c r="P108" s="13" t="str">
        <f>VLOOKUP(C108,Customers!A:C,3,FALSE)</f>
        <v>Consumer</v>
      </c>
      <c r="Q108" s="13">
        <f t="shared" si="4"/>
        <v>249.9</v>
      </c>
      <c r="R108" s="13">
        <f t="shared" si="5"/>
        <v>138</v>
      </c>
      <c r="S108" s="13">
        <f t="shared" si="6"/>
        <v>111.9</v>
      </c>
      <c r="T108" s="14">
        <f t="shared" si="7"/>
        <v>0.44777911164465789</v>
      </c>
    </row>
    <row r="109" spans="1:20">
      <c r="A109" t="s">
        <v>813</v>
      </c>
      <c r="B109" s="8">
        <v>46112</v>
      </c>
      <c r="C109" t="s">
        <v>377</v>
      </c>
      <c r="D109" t="s">
        <v>77</v>
      </c>
      <c r="E109" t="s">
        <v>708</v>
      </c>
      <c r="F109" t="s">
        <v>702</v>
      </c>
      <c r="G109">
        <v>7</v>
      </c>
      <c r="H109" s="9">
        <v>0.1</v>
      </c>
      <c r="I109" t="s">
        <v>699</v>
      </c>
      <c r="J109">
        <v>3</v>
      </c>
      <c r="K109">
        <v>5</v>
      </c>
      <c r="L109" t="str">
        <f>VLOOKUP(D109,Products!A:E,2,FALSE)</f>
        <v>File Folder Pack</v>
      </c>
      <c r="M109" t="str">
        <f>VLOOKUP(D109,Products!A:E,3,FALSE)</f>
        <v>Office Supplies</v>
      </c>
      <c r="N109">
        <f>VLOOKUP(D109,Products!A:E,4,FALSE)</f>
        <v>23</v>
      </c>
      <c r="O109" s="13">
        <f>VLOOKUP(D109,Products!A:E,5,FALSE)</f>
        <v>10</v>
      </c>
      <c r="P109" s="13" t="str">
        <f>VLOOKUP(C109,Customers!A:C,3,FALSE)</f>
        <v>Consumer</v>
      </c>
      <c r="Q109" s="13">
        <f t="shared" si="4"/>
        <v>144.9</v>
      </c>
      <c r="R109" s="13">
        <f t="shared" si="5"/>
        <v>70</v>
      </c>
      <c r="S109" s="13">
        <f t="shared" si="6"/>
        <v>74.900000000000006</v>
      </c>
      <c r="T109" s="14">
        <f t="shared" si="7"/>
        <v>0.51690821256038644</v>
      </c>
    </row>
    <row r="110" spans="1:20">
      <c r="A110" t="s">
        <v>814</v>
      </c>
      <c r="B110" s="8">
        <v>46109</v>
      </c>
      <c r="C110" t="s">
        <v>559</v>
      </c>
      <c r="D110" t="s">
        <v>65</v>
      </c>
      <c r="E110" t="s">
        <v>697</v>
      </c>
      <c r="F110" t="s">
        <v>698</v>
      </c>
      <c r="G110">
        <v>2</v>
      </c>
      <c r="H110" s="9">
        <v>0</v>
      </c>
      <c r="I110" t="s">
        <v>699</v>
      </c>
      <c r="J110">
        <v>4</v>
      </c>
      <c r="K110">
        <v>3</v>
      </c>
      <c r="L110" t="str">
        <f>VLOOKUP(D110,Products!A:E,2,FALSE)</f>
        <v>Laptop Stand</v>
      </c>
      <c r="M110" t="str">
        <f>VLOOKUP(D110,Products!A:E,3,FALSE)</f>
        <v>Accessories</v>
      </c>
      <c r="N110">
        <f>VLOOKUP(D110,Products!A:E,4,FALSE)</f>
        <v>48</v>
      </c>
      <c r="O110" s="13">
        <f>VLOOKUP(D110,Products!A:E,5,FALSE)</f>
        <v>22</v>
      </c>
      <c r="P110" s="13" t="str">
        <f>VLOOKUP(C110,Customers!A:C,3,FALSE)</f>
        <v>Small Business</v>
      </c>
      <c r="Q110" s="13">
        <f t="shared" si="4"/>
        <v>96</v>
      </c>
      <c r="R110" s="13">
        <f t="shared" si="5"/>
        <v>44</v>
      </c>
      <c r="S110" s="13">
        <f t="shared" si="6"/>
        <v>52</v>
      </c>
      <c r="T110" s="14">
        <f t="shared" si="7"/>
        <v>0.54166666666666663</v>
      </c>
    </row>
    <row r="111" spans="1:20">
      <c r="A111" t="s">
        <v>815</v>
      </c>
      <c r="B111" s="8">
        <v>45711</v>
      </c>
      <c r="C111" t="s">
        <v>579</v>
      </c>
      <c r="D111" t="s">
        <v>70</v>
      </c>
      <c r="E111" t="s">
        <v>715</v>
      </c>
      <c r="F111" t="s">
        <v>702</v>
      </c>
      <c r="G111">
        <v>5</v>
      </c>
      <c r="H111" s="9">
        <v>0.15</v>
      </c>
      <c r="I111" t="s">
        <v>699</v>
      </c>
      <c r="J111">
        <v>5</v>
      </c>
      <c r="K111">
        <v>3</v>
      </c>
      <c r="L111" t="str">
        <f>VLOOKUP(D111,Products!A:E,2,FALSE)</f>
        <v>USB-C Hub</v>
      </c>
      <c r="M111" t="str">
        <f>VLOOKUP(D111,Products!A:E,3,FALSE)</f>
        <v>Accessories</v>
      </c>
      <c r="N111">
        <f>VLOOKUP(D111,Products!A:E,4,FALSE)</f>
        <v>68</v>
      </c>
      <c r="O111" s="13">
        <f>VLOOKUP(D111,Products!A:E,5,FALSE)</f>
        <v>31</v>
      </c>
      <c r="P111" s="13" t="str">
        <f>VLOOKUP(C111,Customers!A:C,3,FALSE)</f>
        <v>Consumer</v>
      </c>
      <c r="Q111" s="13">
        <f t="shared" si="4"/>
        <v>289</v>
      </c>
      <c r="R111" s="13">
        <f t="shared" si="5"/>
        <v>155</v>
      </c>
      <c r="S111" s="13">
        <f t="shared" si="6"/>
        <v>134</v>
      </c>
      <c r="T111" s="14">
        <f t="shared" si="7"/>
        <v>0.46366782006920415</v>
      </c>
    </row>
    <row r="112" spans="1:20">
      <c r="A112" t="s">
        <v>816</v>
      </c>
      <c r="B112" s="8">
        <v>46118</v>
      </c>
      <c r="C112" t="s">
        <v>611</v>
      </c>
      <c r="D112" t="s">
        <v>54</v>
      </c>
      <c r="E112" t="s">
        <v>697</v>
      </c>
      <c r="F112" t="s">
        <v>702</v>
      </c>
      <c r="G112">
        <v>6</v>
      </c>
      <c r="H112" s="9">
        <v>0.1</v>
      </c>
      <c r="I112" t="s">
        <v>699</v>
      </c>
      <c r="J112">
        <v>5</v>
      </c>
      <c r="K112">
        <v>4</v>
      </c>
      <c r="L112" t="str">
        <f>VLOOKUP(D112,Products!A:E,2,FALSE)</f>
        <v>Webcam</v>
      </c>
      <c r="M112" t="str">
        <f>VLOOKUP(D112,Products!A:E,3,FALSE)</f>
        <v>Technology</v>
      </c>
      <c r="N112">
        <f>VLOOKUP(D112,Products!A:E,4,FALSE)</f>
        <v>115</v>
      </c>
      <c r="O112" s="13">
        <f>VLOOKUP(D112,Products!A:E,5,FALSE)</f>
        <v>58</v>
      </c>
      <c r="P112" s="13" t="str">
        <f>VLOOKUP(C112,Customers!A:C,3,FALSE)</f>
        <v>Consumer</v>
      </c>
      <c r="Q112" s="13">
        <f t="shared" si="4"/>
        <v>621</v>
      </c>
      <c r="R112" s="13">
        <f t="shared" si="5"/>
        <v>348</v>
      </c>
      <c r="S112" s="13">
        <f t="shared" si="6"/>
        <v>273</v>
      </c>
      <c r="T112" s="14">
        <f t="shared" si="7"/>
        <v>0.43961352657004832</v>
      </c>
    </row>
    <row r="113" spans="1:20">
      <c r="A113" t="s">
        <v>817</v>
      </c>
      <c r="B113" s="8">
        <v>45712</v>
      </c>
      <c r="C113" t="s">
        <v>491</v>
      </c>
      <c r="D113" t="s">
        <v>70</v>
      </c>
      <c r="E113" t="s">
        <v>708</v>
      </c>
      <c r="F113" t="s">
        <v>706</v>
      </c>
      <c r="G113">
        <v>2</v>
      </c>
      <c r="H113" s="9">
        <v>0</v>
      </c>
      <c r="I113" t="s">
        <v>703</v>
      </c>
      <c r="J113">
        <v>5</v>
      </c>
      <c r="K113">
        <v>5</v>
      </c>
      <c r="L113" t="str">
        <f>VLOOKUP(D113,Products!A:E,2,FALSE)</f>
        <v>USB-C Hub</v>
      </c>
      <c r="M113" t="str">
        <f>VLOOKUP(D113,Products!A:E,3,FALSE)</f>
        <v>Accessories</v>
      </c>
      <c r="N113">
        <f>VLOOKUP(D113,Products!A:E,4,FALSE)</f>
        <v>68</v>
      </c>
      <c r="O113" s="13">
        <f>VLOOKUP(D113,Products!A:E,5,FALSE)</f>
        <v>31</v>
      </c>
      <c r="P113" s="13" t="str">
        <f>VLOOKUP(C113,Customers!A:C,3,FALSE)</f>
        <v>Small Business</v>
      </c>
      <c r="Q113" s="13">
        <f t="shared" si="4"/>
        <v>136</v>
      </c>
      <c r="R113" s="13">
        <f t="shared" si="5"/>
        <v>62</v>
      </c>
      <c r="S113" s="13">
        <f t="shared" si="6"/>
        <v>74</v>
      </c>
      <c r="T113" s="14">
        <f t="shared" si="7"/>
        <v>0.54411764705882348</v>
      </c>
    </row>
    <row r="114" spans="1:20">
      <c r="A114" t="s">
        <v>818</v>
      </c>
      <c r="B114" s="8">
        <v>45798</v>
      </c>
      <c r="C114" t="s">
        <v>125</v>
      </c>
      <c r="D114" t="s">
        <v>65</v>
      </c>
      <c r="E114" t="s">
        <v>697</v>
      </c>
      <c r="F114" t="s">
        <v>702</v>
      </c>
      <c r="G114">
        <v>5</v>
      </c>
      <c r="H114" s="9">
        <v>0.1</v>
      </c>
      <c r="I114" t="s">
        <v>699</v>
      </c>
      <c r="J114">
        <v>5</v>
      </c>
      <c r="K114">
        <v>1</v>
      </c>
      <c r="L114" t="str">
        <f>VLOOKUP(D114,Products!A:E,2,FALSE)</f>
        <v>Laptop Stand</v>
      </c>
      <c r="M114" t="str">
        <f>VLOOKUP(D114,Products!A:E,3,FALSE)</f>
        <v>Accessories</v>
      </c>
      <c r="N114">
        <f>VLOOKUP(D114,Products!A:E,4,FALSE)</f>
        <v>48</v>
      </c>
      <c r="O114" s="13">
        <f>VLOOKUP(D114,Products!A:E,5,FALSE)</f>
        <v>22</v>
      </c>
      <c r="P114" s="13" t="str">
        <f>VLOOKUP(C114,Customers!A:C,3,FALSE)</f>
        <v>Consumer</v>
      </c>
      <c r="Q114" s="13">
        <f t="shared" si="4"/>
        <v>216</v>
      </c>
      <c r="R114" s="13">
        <f t="shared" si="5"/>
        <v>110</v>
      </c>
      <c r="S114" s="13">
        <f t="shared" si="6"/>
        <v>106</v>
      </c>
      <c r="T114" s="14">
        <f t="shared" si="7"/>
        <v>0.49074074074074076</v>
      </c>
    </row>
    <row r="115" spans="1:20">
      <c r="A115" t="s">
        <v>819</v>
      </c>
      <c r="B115" s="8">
        <v>45677</v>
      </c>
      <c r="C115" t="s">
        <v>349</v>
      </c>
      <c r="D115" t="s">
        <v>58</v>
      </c>
      <c r="E115" t="s">
        <v>697</v>
      </c>
      <c r="F115" t="s">
        <v>698</v>
      </c>
      <c r="G115">
        <v>4</v>
      </c>
      <c r="H115" s="9">
        <v>0.05</v>
      </c>
      <c r="I115" t="s">
        <v>699</v>
      </c>
      <c r="J115">
        <v>4</v>
      </c>
      <c r="K115">
        <v>3</v>
      </c>
      <c r="L115" t="str">
        <f>VLOOKUP(D115,Products!A:E,2,FALSE)</f>
        <v>Standing Desk</v>
      </c>
      <c r="M115" t="str">
        <f>VLOOKUP(D115,Products!A:E,3,FALSE)</f>
        <v>Furniture</v>
      </c>
      <c r="N115">
        <f>VLOOKUP(D115,Products!A:E,4,FALSE)</f>
        <v>540</v>
      </c>
      <c r="O115" s="13">
        <f>VLOOKUP(D115,Products!A:E,5,FALSE)</f>
        <v>320</v>
      </c>
      <c r="P115" s="13" t="str">
        <f>VLOOKUP(C115,Customers!A:C,3,FALSE)</f>
        <v>Consumer</v>
      </c>
      <c r="Q115" s="13">
        <f t="shared" si="4"/>
        <v>2052</v>
      </c>
      <c r="R115" s="13">
        <f t="shared" si="5"/>
        <v>1280</v>
      </c>
      <c r="S115" s="13">
        <f t="shared" si="6"/>
        <v>772</v>
      </c>
      <c r="T115" s="14">
        <f t="shared" si="7"/>
        <v>0.37621832358674462</v>
      </c>
    </row>
    <row r="116" spans="1:20">
      <c r="A116" t="s">
        <v>820</v>
      </c>
      <c r="B116" s="8">
        <v>45782</v>
      </c>
      <c r="C116" t="s">
        <v>135</v>
      </c>
      <c r="D116" t="s">
        <v>61</v>
      </c>
      <c r="E116" t="s">
        <v>708</v>
      </c>
      <c r="F116" t="s">
        <v>698</v>
      </c>
      <c r="G116">
        <v>2</v>
      </c>
      <c r="H116" s="9">
        <v>0</v>
      </c>
      <c r="I116" t="s">
        <v>699</v>
      </c>
      <c r="J116">
        <v>4</v>
      </c>
      <c r="K116">
        <v>1</v>
      </c>
      <c r="L116" t="str">
        <f>VLOOKUP(D116,Products!A:E,2,FALSE)</f>
        <v>Office Chair</v>
      </c>
      <c r="M116" t="str">
        <f>VLOOKUP(D116,Products!A:E,3,FALSE)</f>
        <v>Furniture</v>
      </c>
      <c r="N116">
        <f>VLOOKUP(D116,Products!A:E,4,FALSE)</f>
        <v>255</v>
      </c>
      <c r="O116" s="13">
        <f>VLOOKUP(D116,Products!A:E,5,FALSE)</f>
        <v>145</v>
      </c>
      <c r="P116" s="13" t="str">
        <f>VLOOKUP(C116,Customers!A:C,3,FALSE)</f>
        <v>Small Business</v>
      </c>
      <c r="Q116" s="13">
        <f t="shared" si="4"/>
        <v>510</v>
      </c>
      <c r="R116" s="13">
        <f t="shared" si="5"/>
        <v>290</v>
      </c>
      <c r="S116" s="13">
        <f t="shared" si="6"/>
        <v>220</v>
      </c>
      <c r="T116" s="14">
        <f t="shared" si="7"/>
        <v>0.43137254901960786</v>
      </c>
    </row>
    <row r="117" spans="1:20">
      <c r="A117" t="s">
        <v>821</v>
      </c>
      <c r="B117" s="8">
        <v>46185</v>
      </c>
      <c r="C117" t="s">
        <v>675</v>
      </c>
      <c r="D117" t="s">
        <v>61</v>
      </c>
      <c r="E117" t="s">
        <v>701</v>
      </c>
      <c r="F117" t="s">
        <v>702</v>
      </c>
      <c r="G117">
        <v>1</v>
      </c>
      <c r="H117" s="9">
        <v>0</v>
      </c>
      <c r="I117" t="s">
        <v>699</v>
      </c>
      <c r="J117">
        <v>3</v>
      </c>
      <c r="K117">
        <v>1</v>
      </c>
      <c r="L117" t="str">
        <f>VLOOKUP(D117,Products!A:E,2,FALSE)</f>
        <v>Office Chair</v>
      </c>
      <c r="M117" t="str">
        <f>VLOOKUP(D117,Products!A:E,3,FALSE)</f>
        <v>Furniture</v>
      </c>
      <c r="N117">
        <f>VLOOKUP(D117,Products!A:E,4,FALSE)</f>
        <v>255</v>
      </c>
      <c r="O117" s="13">
        <f>VLOOKUP(D117,Products!A:E,5,FALSE)</f>
        <v>145</v>
      </c>
      <c r="P117" s="13" t="str">
        <f>VLOOKUP(C117,Customers!A:C,3,FALSE)</f>
        <v>Corporate</v>
      </c>
      <c r="Q117" s="13">
        <f t="shared" si="4"/>
        <v>255</v>
      </c>
      <c r="R117" s="13">
        <f t="shared" si="5"/>
        <v>145</v>
      </c>
      <c r="S117" s="13">
        <f t="shared" si="6"/>
        <v>110</v>
      </c>
      <c r="T117" s="14">
        <f t="shared" si="7"/>
        <v>0.43137254901960786</v>
      </c>
    </row>
    <row r="118" spans="1:20">
      <c r="A118" t="s">
        <v>822</v>
      </c>
      <c r="B118" s="8">
        <v>46194</v>
      </c>
      <c r="C118" t="s">
        <v>455</v>
      </c>
      <c r="D118" t="s">
        <v>50</v>
      </c>
      <c r="E118" t="s">
        <v>697</v>
      </c>
      <c r="F118" t="s">
        <v>698</v>
      </c>
      <c r="G118">
        <v>4</v>
      </c>
      <c r="H118" s="9">
        <v>0.05</v>
      </c>
      <c r="I118" t="s">
        <v>699</v>
      </c>
      <c r="J118">
        <v>5</v>
      </c>
      <c r="K118">
        <v>1</v>
      </c>
      <c r="L118" t="str">
        <f>VLOOKUP(D118,Products!A:E,2,FALSE)</f>
        <v>Keyboard</v>
      </c>
      <c r="M118" t="str">
        <f>VLOOKUP(D118,Products!A:E,3,FALSE)</f>
        <v>Technology</v>
      </c>
      <c r="N118">
        <f>VLOOKUP(D118,Products!A:E,4,FALSE)</f>
        <v>75</v>
      </c>
      <c r="O118" s="13">
        <f>VLOOKUP(D118,Products!A:E,5,FALSE)</f>
        <v>38</v>
      </c>
      <c r="P118" s="13" t="str">
        <f>VLOOKUP(C118,Customers!A:C,3,FALSE)</f>
        <v>Consumer</v>
      </c>
      <c r="Q118" s="13">
        <f t="shared" si="4"/>
        <v>285</v>
      </c>
      <c r="R118" s="13">
        <f t="shared" si="5"/>
        <v>152</v>
      </c>
      <c r="S118" s="13">
        <f t="shared" si="6"/>
        <v>133</v>
      </c>
      <c r="T118" s="14">
        <f t="shared" si="7"/>
        <v>0.46666666666666667</v>
      </c>
    </row>
    <row r="119" spans="1:20">
      <c r="A119" t="s">
        <v>823</v>
      </c>
      <c r="B119" s="8">
        <v>46054</v>
      </c>
      <c r="C119" t="s">
        <v>469</v>
      </c>
      <c r="D119" t="s">
        <v>63</v>
      </c>
      <c r="E119" t="s">
        <v>701</v>
      </c>
      <c r="F119" t="s">
        <v>702</v>
      </c>
      <c r="G119">
        <v>1</v>
      </c>
      <c r="H119" s="9">
        <v>0</v>
      </c>
      <c r="I119" t="s">
        <v>699</v>
      </c>
      <c r="J119">
        <v>2</v>
      </c>
      <c r="K119">
        <v>8</v>
      </c>
      <c r="L119" t="str">
        <f>VLOOKUP(D119,Products!A:E,2,FALSE)</f>
        <v>Bookshelf</v>
      </c>
      <c r="M119" t="str">
        <f>VLOOKUP(D119,Products!A:E,3,FALSE)</f>
        <v>Furniture</v>
      </c>
      <c r="N119">
        <f>VLOOKUP(D119,Products!A:E,4,FALSE)</f>
        <v>185</v>
      </c>
      <c r="O119" s="13">
        <f>VLOOKUP(D119,Products!A:E,5,FALSE)</f>
        <v>105</v>
      </c>
      <c r="P119" s="13" t="str">
        <f>VLOOKUP(C119,Customers!A:C,3,FALSE)</f>
        <v>Consumer</v>
      </c>
      <c r="Q119" s="13">
        <f t="shared" si="4"/>
        <v>185</v>
      </c>
      <c r="R119" s="13">
        <f t="shared" si="5"/>
        <v>105</v>
      </c>
      <c r="S119" s="13">
        <f t="shared" si="6"/>
        <v>80</v>
      </c>
      <c r="T119" s="14">
        <f t="shared" si="7"/>
        <v>0.43243243243243246</v>
      </c>
    </row>
    <row r="120" spans="1:20">
      <c r="A120" t="s">
        <v>824</v>
      </c>
      <c r="B120" s="8">
        <v>45794</v>
      </c>
      <c r="C120" t="s">
        <v>131</v>
      </c>
      <c r="D120" t="s">
        <v>70</v>
      </c>
      <c r="E120" t="s">
        <v>715</v>
      </c>
      <c r="F120" t="s">
        <v>698</v>
      </c>
      <c r="G120">
        <v>1</v>
      </c>
      <c r="H120" s="9">
        <v>0.1</v>
      </c>
      <c r="I120" t="s">
        <v>699</v>
      </c>
      <c r="J120">
        <v>5</v>
      </c>
      <c r="K120">
        <v>2</v>
      </c>
      <c r="L120" t="str">
        <f>VLOOKUP(D120,Products!A:E,2,FALSE)</f>
        <v>USB-C Hub</v>
      </c>
      <c r="M120" t="str">
        <f>VLOOKUP(D120,Products!A:E,3,FALSE)</f>
        <v>Accessories</v>
      </c>
      <c r="N120">
        <f>VLOOKUP(D120,Products!A:E,4,FALSE)</f>
        <v>68</v>
      </c>
      <c r="O120" s="13">
        <f>VLOOKUP(D120,Products!A:E,5,FALSE)</f>
        <v>31</v>
      </c>
      <c r="P120" s="13" t="str">
        <f>VLOOKUP(C120,Customers!A:C,3,FALSE)</f>
        <v>Consumer</v>
      </c>
      <c r="Q120" s="13">
        <f t="shared" si="4"/>
        <v>61.2</v>
      </c>
      <c r="R120" s="13">
        <f t="shared" si="5"/>
        <v>31</v>
      </c>
      <c r="S120" s="13">
        <f t="shared" si="6"/>
        <v>30.200000000000003</v>
      </c>
      <c r="T120" s="14">
        <f t="shared" si="7"/>
        <v>0.49346405228758172</v>
      </c>
    </row>
    <row r="121" spans="1:20">
      <c r="A121" t="s">
        <v>825</v>
      </c>
      <c r="B121" s="8">
        <v>45796</v>
      </c>
      <c r="C121" t="s">
        <v>151</v>
      </c>
      <c r="D121" t="s">
        <v>77</v>
      </c>
      <c r="E121" t="s">
        <v>705</v>
      </c>
      <c r="F121" t="s">
        <v>702</v>
      </c>
      <c r="G121">
        <v>4</v>
      </c>
      <c r="H121" s="9">
        <v>0.15</v>
      </c>
      <c r="I121" t="s">
        <v>699</v>
      </c>
      <c r="J121">
        <v>4</v>
      </c>
      <c r="K121">
        <v>4</v>
      </c>
      <c r="L121" t="str">
        <f>VLOOKUP(D121,Products!A:E,2,FALSE)</f>
        <v>File Folder Pack</v>
      </c>
      <c r="M121" t="str">
        <f>VLOOKUP(D121,Products!A:E,3,FALSE)</f>
        <v>Office Supplies</v>
      </c>
      <c r="N121">
        <f>VLOOKUP(D121,Products!A:E,4,FALSE)</f>
        <v>23</v>
      </c>
      <c r="O121" s="13">
        <f>VLOOKUP(D121,Products!A:E,5,FALSE)</f>
        <v>10</v>
      </c>
      <c r="P121" s="13" t="str">
        <f>VLOOKUP(C121,Customers!A:C,3,FALSE)</f>
        <v>Corporate</v>
      </c>
      <c r="Q121" s="13">
        <f t="shared" si="4"/>
        <v>78.2</v>
      </c>
      <c r="R121" s="13">
        <f t="shared" si="5"/>
        <v>40</v>
      </c>
      <c r="S121" s="13">
        <f t="shared" si="6"/>
        <v>38.200000000000003</v>
      </c>
      <c r="T121" s="14">
        <f t="shared" si="7"/>
        <v>0.48849104859335041</v>
      </c>
    </row>
    <row r="122" spans="1:20">
      <c r="A122" t="s">
        <v>826</v>
      </c>
      <c r="B122" s="8">
        <v>46214</v>
      </c>
      <c r="C122" t="s">
        <v>571</v>
      </c>
      <c r="D122" t="s">
        <v>63</v>
      </c>
      <c r="E122" t="s">
        <v>705</v>
      </c>
      <c r="F122" t="s">
        <v>698</v>
      </c>
      <c r="G122">
        <v>1</v>
      </c>
      <c r="H122" s="9">
        <v>0.15</v>
      </c>
      <c r="I122" t="s">
        <v>699</v>
      </c>
      <c r="J122">
        <v>5</v>
      </c>
      <c r="K122">
        <v>3</v>
      </c>
      <c r="L122" t="str">
        <f>VLOOKUP(D122,Products!A:E,2,FALSE)</f>
        <v>Bookshelf</v>
      </c>
      <c r="M122" t="str">
        <f>VLOOKUP(D122,Products!A:E,3,FALSE)</f>
        <v>Furniture</v>
      </c>
      <c r="N122">
        <f>VLOOKUP(D122,Products!A:E,4,FALSE)</f>
        <v>185</v>
      </c>
      <c r="O122" s="13">
        <f>VLOOKUP(D122,Products!A:E,5,FALSE)</f>
        <v>105</v>
      </c>
      <c r="P122" s="13" t="str">
        <f>VLOOKUP(C122,Customers!A:C,3,FALSE)</f>
        <v>Corporate</v>
      </c>
      <c r="Q122" s="13">
        <f t="shared" si="4"/>
        <v>157.25</v>
      </c>
      <c r="R122" s="13">
        <f t="shared" si="5"/>
        <v>105</v>
      </c>
      <c r="S122" s="13">
        <f t="shared" si="6"/>
        <v>52.25</v>
      </c>
      <c r="T122" s="14">
        <f t="shared" si="7"/>
        <v>0.33227344992050872</v>
      </c>
    </row>
    <row r="123" spans="1:20">
      <c r="A123" t="s">
        <v>827</v>
      </c>
      <c r="B123" s="8">
        <v>45785</v>
      </c>
      <c r="C123" t="s">
        <v>463</v>
      </c>
      <c r="D123" t="s">
        <v>74</v>
      </c>
      <c r="E123" t="s">
        <v>697</v>
      </c>
      <c r="F123" t="s">
        <v>698</v>
      </c>
      <c r="G123">
        <v>6</v>
      </c>
      <c r="H123" s="9">
        <v>0</v>
      </c>
      <c r="I123" t="s">
        <v>703</v>
      </c>
      <c r="J123">
        <v>4</v>
      </c>
      <c r="K123">
        <v>7</v>
      </c>
      <c r="L123" t="str">
        <f>VLOOKUP(D123,Products!A:E,2,FALSE)</f>
        <v>Printer Paper</v>
      </c>
      <c r="M123" t="str">
        <f>VLOOKUP(D123,Products!A:E,3,FALSE)</f>
        <v>Office Supplies</v>
      </c>
      <c r="N123">
        <f>VLOOKUP(D123,Products!A:E,4,FALSE)</f>
        <v>17</v>
      </c>
      <c r="O123" s="13">
        <f>VLOOKUP(D123,Products!A:E,5,FALSE)</f>
        <v>8</v>
      </c>
      <c r="P123" s="13" t="str">
        <f>VLOOKUP(C123,Customers!A:C,3,FALSE)</f>
        <v>Consumer</v>
      </c>
      <c r="Q123" s="13">
        <f t="shared" si="4"/>
        <v>102</v>
      </c>
      <c r="R123" s="13">
        <f t="shared" si="5"/>
        <v>48</v>
      </c>
      <c r="S123" s="13">
        <f t="shared" si="6"/>
        <v>54</v>
      </c>
      <c r="T123" s="14">
        <f t="shared" si="7"/>
        <v>0.52941176470588236</v>
      </c>
    </row>
    <row r="124" spans="1:20">
      <c r="A124" t="s">
        <v>828</v>
      </c>
      <c r="B124" s="8">
        <v>46189</v>
      </c>
      <c r="C124" t="s">
        <v>359</v>
      </c>
      <c r="D124" t="s">
        <v>50</v>
      </c>
      <c r="E124" t="s">
        <v>701</v>
      </c>
      <c r="F124" t="s">
        <v>702</v>
      </c>
      <c r="G124">
        <v>3</v>
      </c>
      <c r="H124" s="9">
        <v>0.1</v>
      </c>
      <c r="I124" t="s">
        <v>699</v>
      </c>
      <c r="J124">
        <v>4</v>
      </c>
      <c r="K124">
        <v>1</v>
      </c>
      <c r="L124" t="str">
        <f>VLOOKUP(D124,Products!A:E,2,FALSE)</f>
        <v>Keyboard</v>
      </c>
      <c r="M124" t="str">
        <f>VLOOKUP(D124,Products!A:E,3,FALSE)</f>
        <v>Technology</v>
      </c>
      <c r="N124">
        <f>VLOOKUP(D124,Products!A:E,4,FALSE)</f>
        <v>75</v>
      </c>
      <c r="O124" s="13">
        <f>VLOOKUP(D124,Products!A:E,5,FALSE)</f>
        <v>38</v>
      </c>
      <c r="P124" s="13" t="str">
        <f>VLOOKUP(C124,Customers!A:C,3,FALSE)</f>
        <v>Consumer</v>
      </c>
      <c r="Q124" s="13">
        <f t="shared" si="4"/>
        <v>202.5</v>
      </c>
      <c r="R124" s="13">
        <f t="shared" si="5"/>
        <v>114</v>
      </c>
      <c r="S124" s="13">
        <f t="shared" si="6"/>
        <v>88.5</v>
      </c>
      <c r="T124" s="14">
        <f t="shared" si="7"/>
        <v>0.43703703703703706</v>
      </c>
    </row>
    <row r="125" spans="1:20">
      <c r="A125" t="s">
        <v>829</v>
      </c>
      <c r="B125" s="8">
        <v>45993</v>
      </c>
      <c r="C125" t="s">
        <v>389</v>
      </c>
      <c r="D125" t="s">
        <v>65</v>
      </c>
      <c r="E125" t="s">
        <v>715</v>
      </c>
      <c r="F125" t="s">
        <v>698</v>
      </c>
      <c r="G125">
        <v>1</v>
      </c>
      <c r="H125" s="9">
        <v>0</v>
      </c>
      <c r="I125" t="s">
        <v>699</v>
      </c>
      <c r="J125">
        <v>5</v>
      </c>
      <c r="K125">
        <v>3</v>
      </c>
      <c r="L125" t="str">
        <f>VLOOKUP(D125,Products!A:E,2,FALSE)</f>
        <v>Laptop Stand</v>
      </c>
      <c r="M125" t="str">
        <f>VLOOKUP(D125,Products!A:E,3,FALSE)</f>
        <v>Accessories</v>
      </c>
      <c r="N125">
        <f>VLOOKUP(D125,Products!A:E,4,FALSE)</f>
        <v>48</v>
      </c>
      <c r="O125" s="13">
        <f>VLOOKUP(D125,Products!A:E,5,FALSE)</f>
        <v>22</v>
      </c>
      <c r="P125" s="13" t="str">
        <f>VLOOKUP(C125,Customers!A:C,3,FALSE)</f>
        <v>Corporate</v>
      </c>
      <c r="Q125" s="13">
        <f t="shared" si="4"/>
        <v>48</v>
      </c>
      <c r="R125" s="13">
        <f t="shared" si="5"/>
        <v>22</v>
      </c>
      <c r="S125" s="13">
        <f t="shared" si="6"/>
        <v>26</v>
      </c>
      <c r="T125" s="14">
        <f t="shared" si="7"/>
        <v>0.54166666666666663</v>
      </c>
    </row>
    <row r="126" spans="1:20">
      <c r="A126" t="s">
        <v>830</v>
      </c>
      <c r="B126" s="8">
        <v>46103</v>
      </c>
      <c r="C126" t="s">
        <v>367</v>
      </c>
      <c r="D126" t="s">
        <v>48</v>
      </c>
      <c r="E126" t="s">
        <v>705</v>
      </c>
      <c r="F126" t="s">
        <v>698</v>
      </c>
      <c r="G126">
        <v>2</v>
      </c>
      <c r="H126" s="9">
        <v>0.1</v>
      </c>
      <c r="I126" t="s">
        <v>699</v>
      </c>
      <c r="J126">
        <v>5</v>
      </c>
      <c r="K126">
        <v>2</v>
      </c>
      <c r="L126" t="str">
        <f>VLOOKUP(D126,Products!A:E,2,FALSE)</f>
        <v>Monitor</v>
      </c>
      <c r="M126" t="str">
        <f>VLOOKUP(D126,Products!A:E,3,FALSE)</f>
        <v>Technology</v>
      </c>
      <c r="N126">
        <f>VLOOKUP(D126,Products!A:E,4,FALSE)</f>
        <v>310</v>
      </c>
      <c r="O126" s="13">
        <f>VLOOKUP(D126,Products!A:E,5,FALSE)</f>
        <v>190</v>
      </c>
      <c r="P126" s="13" t="str">
        <f>VLOOKUP(C126,Customers!A:C,3,FALSE)</f>
        <v>Consumer</v>
      </c>
      <c r="Q126" s="13">
        <f t="shared" si="4"/>
        <v>558</v>
      </c>
      <c r="R126" s="13">
        <f t="shared" si="5"/>
        <v>380</v>
      </c>
      <c r="S126" s="13">
        <f t="shared" si="6"/>
        <v>178</v>
      </c>
      <c r="T126" s="14">
        <f t="shared" si="7"/>
        <v>0.31899641577060933</v>
      </c>
    </row>
    <row r="127" spans="1:20">
      <c r="A127" t="s">
        <v>831</v>
      </c>
      <c r="B127" s="8">
        <v>46106</v>
      </c>
      <c r="C127" t="s">
        <v>121</v>
      </c>
      <c r="D127" t="s">
        <v>54</v>
      </c>
      <c r="E127" t="s">
        <v>705</v>
      </c>
      <c r="F127" t="s">
        <v>698</v>
      </c>
      <c r="G127">
        <v>2</v>
      </c>
      <c r="H127" s="9">
        <v>0</v>
      </c>
      <c r="I127" t="s">
        <v>699</v>
      </c>
      <c r="J127">
        <v>4</v>
      </c>
      <c r="K127">
        <v>4</v>
      </c>
      <c r="L127" t="str">
        <f>VLOOKUP(D127,Products!A:E,2,FALSE)</f>
        <v>Webcam</v>
      </c>
      <c r="M127" t="str">
        <f>VLOOKUP(D127,Products!A:E,3,FALSE)</f>
        <v>Technology</v>
      </c>
      <c r="N127">
        <f>VLOOKUP(D127,Products!A:E,4,FALSE)</f>
        <v>115</v>
      </c>
      <c r="O127" s="13">
        <f>VLOOKUP(D127,Products!A:E,5,FALSE)</f>
        <v>58</v>
      </c>
      <c r="P127" s="13" t="str">
        <f>VLOOKUP(C127,Customers!A:C,3,FALSE)</f>
        <v>Corporate</v>
      </c>
      <c r="Q127" s="13">
        <f t="shared" si="4"/>
        <v>230</v>
      </c>
      <c r="R127" s="13">
        <f t="shared" si="5"/>
        <v>116</v>
      </c>
      <c r="S127" s="13">
        <f t="shared" si="6"/>
        <v>114</v>
      </c>
      <c r="T127" s="14">
        <f t="shared" si="7"/>
        <v>0.4956521739130435</v>
      </c>
    </row>
    <row r="128" spans="1:20">
      <c r="A128" t="s">
        <v>832</v>
      </c>
      <c r="B128" s="8">
        <v>46037</v>
      </c>
      <c r="C128" t="s">
        <v>467</v>
      </c>
      <c r="D128" t="s">
        <v>77</v>
      </c>
      <c r="E128" t="s">
        <v>701</v>
      </c>
      <c r="F128" t="s">
        <v>698</v>
      </c>
      <c r="G128">
        <v>2</v>
      </c>
      <c r="H128" s="9">
        <v>0</v>
      </c>
      <c r="I128" t="s">
        <v>699</v>
      </c>
      <c r="J128">
        <v>3</v>
      </c>
      <c r="K128">
        <v>1</v>
      </c>
      <c r="L128" t="str">
        <f>VLOOKUP(D128,Products!A:E,2,FALSE)</f>
        <v>File Folder Pack</v>
      </c>
      <c r="M128" t="str">
        <f>VLOOKUP(D128,Products!A:E,3,FALSE)</f>
        <v>Office Supplies</v>
      </c>
      <c r="N128">
        <f>VLOOKUP(D128,Products!A:E,4,FALSE)</f>
        <v>23</v>
      </c>
      <c r="O128" s="13">
        <f>VLOOKUP(D128,Products!A:E,5,FALSE)</f>
        <v>10</v>
      </c>
      <c r="P128" s="13" t="str">
        <f>VLOOKUP(C128,Customers!A:C,3,FALSE)</f>
        <v>Consumer</v>
      </c>
      <c r="Q128" s="13">
        <f t="shared" si="4"/>
        <v>46</v>
      </c>
      <c r="R128" s="13">
        <f t="shared" si="5"/>
        <v>20</v>
      </c>
      <c r="S128" s="13">
        <f t="shared" si="6"/>
        <v>26</v>
      </c>
      <c r="T128" s="14">
        <f t="shared" si="7"/>
        <v>0.56521739130434778</v>
      </c>
    </row>
    <row r="129" spans="1:20">
      <c r="A129" t="s">
        <v>833</v>
      </c>
      <c r="B129" s="8">
        <v>45684</v>
      </c>
      <c r="C129" t="s">
        <v>277</v>
      </c>
      <c r="D129" t="s">
        <v>79</v>
      </c>
      <c r="E129" t="s">
        <v>715</v>
      </c>
      <c r="F129" t="s">
        <v>706</v>
      </c>
      <c r="G129">
        <v>1</v>
      </c>
      <c r="H129" s="9">
        <v>0.1</v>
      </c>
      <c r="I129" t="s">
        <v>699</v>
      </c>
      <c r="J129">
        <v>3</v>
      </c>
      <c r="K129">
        <v>5</v>
      </c>
      <c r="L129" t="str">
        <f>VLOOKUP(D129,Products!A:E,2,FALSE)</f>
        <v>Desk Organiser</v>
      </c>
      <c r="M129" t="str">
        <f>VLOOKUP(D129,Products!A:E,3,FALSE)</f>
        <v>Office Supplies</v>
      </c>
      <c r="N129">
        <f>VLOOKUP(D129,Products!A:E,4,FALSE)</f>
        <v>28</v>
      </c>
      <c r="O129" s="13">
        <f>VLOOKUP(D129,Products!A:E,5,FALSE)</f>
        <v>12</v>
      </c>
      <c r="P129" s="13" t="str">
        <f>VLOOKUP(C129,Customers!A:C,3,FALSE)</f>
        <v>Consumer</v>
      </c>
      <c r="Q129" s="13">
        <f t="shared" si="4"/>
        <v>25.2</v>
      </c>
      <c r="R129" s="13">
        <f t="shared" si="5"/>
        <v>12</v>
      </c>
      <c r="S129" s="13">
        <f t="shared" si="6"/>
        <v>13.2</v>
      </c>
      <c r="T129" s="14">
        <f t="shared" si="7"/>
        <v>0.52380952380952384</v>
      </c>
    </row>
    <row r="130" spans="1:20">
      <c r="A130" t="s">
        <v>834</v>
      </c>
      <c r="B130" s="8">
        <v>45950</v>
      </c>
      <c r="C130" t="s">
        <v>589</v>
      </c>
      <c r="D130" t="s">
        <v>58</v>
      </c>
      <c r="E130" t="s">
        <v>705</v>
      </c>
      <c r="F130" t="s">
        <v>706</v>
      </c>
      <c r="G130">
        <v>2</v>
      </c>
      <c r="H130" s="9">
        <v>0.15</v>
      </c>
      <c r="I130" t="s">
        <v>699</v>
      </c>
      <c r="J130">
        <v>2</v>
      </c>
      <c r="K130">
        <v>6</v>
      </c>
      <c r="L130" t="str">
        <f>VLOOKUP(D130,Products!A:E,2,FALSE)</f>
        <v>Standing Desk</v>
      </c>
      <c r="M130" t="str">
        <f>VLOOKUP(D130,Products!A:E,3,FALSE)</f>
        <v>Furniture</v>
      </c>
      <c r="N130">
        <f>VLOOKUP(D130,Products!A:E,4,FALSE)</f>
        <v>540</v>
      </c>
      <c r="O130" s="13">
        <f>VLOOKUP(D130,Products!A:E,5,FALSE)</f>
        <v>320</v>
      </c>
      <c r="P130" s="13" t="str">
        <f>VLOOKUP(C130,Customers!A:C,3,FALSE)</f>
        <v>Corporate</v>
      </c>
      <c r="Q130" s="13">
        <f t="shared" ref="Q130:Q193" si="8">G130*N130*(1-H130)</f>
        <v>918</v>
      </c>
      <c r="R130" s="13">
        <f t="shared" ref="R130:R193" si="9">G130*O130</f>
        <v>640</v>
      </c>
      <c r="S130" s="13">
        <f t="shared" ref="S130:S193" si="10">Q130-R130</f>
        <v>278</v>
      </c>
      <c r="T130" s="14">
        <f t="shared" ref="T130:T193" si="11">IFERROR(S130/Q130,0)</f>
        <v>0.30283224400871461</v>
      </c>
    </row>
    <row r="131" spans="1:20">
      <c r="A131" t="s">
        <v>835</v>
      </c>
      <c r="B131" s="8">
        <v>45724</v>
      </c>
      <c r="C131" t="s">
        <v>649</v>
      </c>
      <c r="D131" t="s">
        <v>65</v>
      </c>
      <c r="E131" t="s">
        <v>697</v>
      </c>
      <c r="F131" t="s">
        <v>706</v>
      </c>
      <c r="G131">
        <v>4</v>
      </c>
      <c r="H131" s="9">
        <v>0.15</v>
      </c>
      <c r="I131" t="s">
        <v>699</v>
      </c>
      <c r="J131">
        <v>5</v>
      </c>
      <c r="K131">
        <v>5</v>
      </c>
      <c r="L131" t="str">
        <f>VLOOKUP(D131,Products!A:E,2,FALSE)</f>
        <v>Laptop Stand</v>
      </c>
      <c r="M131" t="str">
        <f>VLOOKUP(D131,Products!A:E,3,FALSE)</f>
        <v>Accessories</v>
      </c>
      <c r="N131">
        <f>VLOOKUP(D131,Products!A:E,4,FALSE)</f>
        <v>48</v>
      </c>
      <c r="O131" s="13">
        <f>VLOOKUP(D131,Products!A:E,5,FALSE)</f>
        <v>22</v>
      </c>
      <c r="P131" s="13" t="str">
        <f>VLOOKUP(C131,Customers!A:C,3,FALSE)</f>
        <v>Consumer</v>
      </c>
      <c r="Q131" s="13">
        <f t="shared" si="8"/>
        <v>163.19999999999999</v>
      </c>
      <c r="R131" s="13">
        <f t="shared" si="9"/>
        <v>88</v>
      </c>
      <c r="S131" s="13">
        <f t="shared" si="10"/>
        <v>75.199999999999989</v>
      </c>
      <c r="T131" s="14">
        <f t="shared" si="11"/>
        <v>0.46078431372549017</v>
      </c>
    </row>
    <row r="132" spans="1:20">
      <c r="A132" t="s">
        <v>836</v>
      </c>
      <c r="B132" s="8">
        <v>45887</v>
      </c>
      <c r="C132" t="s">
        <v>211</v>
      </c>
      <c r="D132" t="s">
        <v>58</v>
      </c>
      <c r="E132" t="s">
        <v>697</v>
      </c>
      <c r="F132" t="s">
        <v>702</v>
      </c>
      <c r="G132">
        <v>2</v>
      </c>
      <c r="H132" s="9">
        <v>0</v>
      </c>
      <c r="I132" t="s">
        <v>699</v>
      </c>
      <c r="J132">
        <v>4</v>
      </c>
      <c r="K132">
        <v>5</v>
      </c>
      <c r="L132" t="str">
        <f>VLOOKUP(D132,Products!A:E,2,FALSE)</f>
        <v>Standing Desk</v>
      </c>
      <c r="M132" t="str">
        <f>VLOOKUP(D132,Products!A:E,3,FALSE)</f>
        <v>Furniture</v>
      </c>
      <c r="N132">
        <f>VLOOKUP(D132,Products!A:E,4,FALSE)</f>
        <v>540</v>
      </c>
      <c r="O132" s="13">
        <f>VLOOKUP(D132,Products!A:E,5,FALSE)</f>
        <v>320</v>
      </c>
      <c r="P132" s="13" t="str">
        <f>VLOOKUP(C132,Customers!A:C,3,FALSE)</f>
        <v>Corporate</v>
      </c>
      <c r="Q132" s="13">
        <f t="shared" si="8"/>
        <v>1080</v>
      </c>
      <c r="R132" s="13">
        <f t="shared" si="9"/>
        <v>640</v>
      </c>
      <c r="S132" s="13">
        <f t="shared" si="10"/>
        <v>440</v>
      </c>
      <c r="T132" s="14">
        <f t="shared" si="11"/>
        <v>0.40740740740740738</v>
      </c>
    </row>
    <row r="133" spans="1:20">
      <c r="A133" t="s">
        <v>837</v>
      </c>
      <c r="B133" s="8">
        <v>45790</v>
      </c>
      <c r="C133" t="s">
        <v>175</v>
      </c>
      <c r="D133" t="s">
        <v>50</v>
      </c>
      <c r="E133" t="s">
        <v>708</v>
      </c>
      <c r="F133" t="s">
        <v>706</v>
      </c>
      <c r="G133">
        <v>4</v>
      </c>
      <c r="H133" s="9">
        <v>0.05</v>
      </c>
      <c r="I133" t="s">
        <v>699</v>
      </c>
      <c r="J133">
        <v>5</v>
      </c>
      <c r="K133">
        <v>1</v>
      </c>
      <c r="L133" t="str">
        <f>VLOOKUP(D133,Products!A:E,2,FALSE)</f>
        <v>Keyboard</v>
      </c>
      <c r="M133" t="str">
        <f>VLOOKUP(D133,Products!A:E,3,FALSE)</f>
        <v>Technology</v>
      </c>
      <c r="N133">
        <f>VLOOKUP(D133,Products!A:E,4,FALSE)</f>
        <v>75</v>
      </c>
      <c r="O133" s="13">
        <f>VLOOKUP(D133,Products!A:E,5,FALSE)</f>
        <v>38</v>
      </c>
      <c r="P133" s="13" t="str">
        <f>VLOOKUP(C133,Customers!A:C,3,FALSE)</f>
        <v>Consumer</v>
      </c>
      <c r="Q133" s="13">
        <f t="shared" si="8"/>
        <v>285</v>
      </c>
      <c r="R133" s="13">
        <f t="shared" si="9"/>
        <v>152</v>
      </c>
      <c r="S133" s="13">
        <f t="shared" si="10"/>
        <v>133</v>
      </c>
      <c r="T133" s="14">
        <f t="shared" si="11"/>
        <v>0.46666666666666667</v>
      </c>
    </row>
    <row r="134" spans="1:20">
      <c r="A134" t="s">
        <v>838</v>
      </c>
      <c r="B134" s="8">
        <v>45786</v>
      </c>
      <c r="C134" t="s">
        <v>411</v>
      </c>
      <c r="D134" t="s">
        <v>50</v>
      </c>
      <c r="E134" t="s">
        <v>715</v>
      </c>
      <c r="F134" t="s">
        <v>698</v>
      </c>
      <c r="G134">
        <v>2</v>
      </c>
      <c r="H134" s="9">
        <v>0.15</v>
      </c>
      <c r="I134" t="s">
        <v>699</v>
      </c>
      <c r="J134">
        <v>5</v>
      </c>
      <c r="K134">
        <v>2</v>
      </c>
      <c r="L134" t="str">
        <f>VLOOKUP(D134,Products!A:E,2,FALSE)</f>
        <v>Keyboard</v>
      </c>
      <c r="M134" t="str">
        <f>VLOOKUP(D134,Products!A:E,3,FALSE)</f>
        <v>Technology</v>
      </c>
      <c r="N134">
        <f>VLOOKUP(D134,Products!A:E,4,FALSE)</f>
        <v>75</v>
      </c>
      <c r="O134" s="13">
        <f>VLOOKUP(D134,Products!A:E,5,FALSE)</f>
        <v>38</v>
      </c>
      <c r="P134" s="13" t="str">
        <f>VLOOKUP(C134,Customers!A:C,3,FALSE)</f>
        <v>Consumer</v>
      </c>
      <c r="Q134" s="13">
        <f t="shared" si="8"/>
        <v>127.5</v>
      </c>
      <c r="R134" s="13">
        <f t="shared" si="9"/>
        <v>76</v>
      </c>
      <c r="S134" s="13">
        <f t="shared" si="10"/>
        <v>51.5</v>
      </c>
      <c r="T134" s="14">
        <f t="shared" si="11"/>
        <v>0.40392156862745099</v>
      </c>
    </row>
    <row r="135" spans="1:20">
      <c r="A135" t="s">
        <v>839</v>
      </c>
      <c r="B135" s="8">
        <v>45790</v>
      </c>
      <c r="C135" t="s">
        <v>529</v>
      </c>
      <c r="D135" t="s">
        <v>48</v>
      </c>
      <c r="E135" t="s">
        <v>697</v>
      </c>
      <c r="F135" t="s">
        <v>698</v>
      </c>
      <c r="G135">
        <v>1</v>
      </c>
      <c r="H135" s="9">
        <v>0</v>
      </c>
      <c r="I135" t="s">
        <v>703</v>
      </c>
      <c r="J135">
        <v>3</v>
      </c>
      <c r="K135">
        <v>8</v>
      </c>
      <c r="L135" t="str">
        <f>VLOOKUP(D135,Products!A:E,2,FALSE)</f>
        <v>Monitor</v>
      </c>
      <c r="M135" t="str">
        <f>VLOOKUP(D135,Products!A:E,3,FALSE)</f>
        <v>Technology</v>
      </c>
      <c r="N135">
        <f>VLOOKUP(D135,Products!A:E,4,FALSE)</f>
        <v>310</v>
      </c>
      <c r="O135" s="13">
        <f>VLOOKUP(D135,Products!A:E,5,FALSE)</f>
        <v>190</v>
      </c>
      <c r="P135" s="13" t="str">
        <f>VLOOKUP(C135,Customers!A:C,3,FALSE)</f>
        <v>Corporate</v>
      </c>
      <c r="Q135" s="13">
        <f t="shared" si="8"/>
        <v>310</v>
      </c>
      <c r="R135" s="13">
        <f t="shared" si="9"/>
        <v>190</v>
      </c>
      <c r="S135" s="13">
        <f t="shared" si="10"/>
        <v>120</v>
      </c>
      <c r="T135" s="14">
        <f t="shared" si="11"/>
        <v>0.38709677419354838</v>
      </c>
    </row>
    <row r="136" spans="1:20">
      <c r="A136" t="s">
        <v>840</v>
      </c>
      <c r="B136" s="8">
        <v>45738</v>
      </c>
      <c r="C136" t="s">
        <v>343</v>
      </c>
      <c r="D136" t="s">
        <v>58</v>
      </c>
      <c r="E136" t="s">
        <v>701</v>
      </c>
      <c r="F136" t="s">
        <v>698</v>
      </c>
      <c r="G136">
        <v>1</v>
      </c>
      <c r="H136" s="9">
        <v>0</v>
      </c>
      <c r="I136" t="s">
        <v>699</v>
      </c>
      <c r="J136">
        <v>4</v>
      </c>
      <c r="K136">
        <v>2</v>
      </c>
      <c r="L136" t="str">
        <f>VLOOKUP(D136,Products!A:E,2,FALSE)</f>
        <v>Standing Desk</v>
      </c>
      <c r="M136" t="str">
        <f>VLOOKUP(D136,Products!A:E,3,FALSE)</f>
        <v>Furniture</v>
      </c>
      <c r="N136">
        <f>VLOOKUP(D136,Products!A:E,4,FALSE)</f>
        <v>540</v>
      </c>
      <c r="O136" s="13">
        <f>VLOOKUP(D136,Products!A:E,5,FALSE)</f>
        <v>320</v>
      </c>
      <c r="P136" s="13" t="str">
        <f>VLOOKUP(C136,Customers!A:C,3,FALSE)</f>
        <v>Small Business</v>
      </c>
      <c r="Q136" s="13">
        <f t="shared" si="8"/>
        <v>540</v>
      </c>
      <c r="R136" s="13">
        <f t="shared" si="9"/>
        <v>320</v>
      </c>
      <c r="S136" s="13">
        <f t="shared" si="10"/>
        <v>220</v>
      </c>
      <c r="T136" s="14">
        <f t="shared" si="11"/>
        <v>0.40740740740740738</v>
      </c>
    </row>
    <row r="137" spans="1:20">
      <c r="A137" t="s">
        <v>841</v>
      </c>
      <c r="B137" s="8">
        <v>46264</v>
      </c>
      <c r="C137" t="s">
        <v>681</v>
      </c>
      <c r="D137" t="s">
        <v>54</v>
      </c>
      <c r="E137" t="s">
        <v>705</v>
      </c>
      <c r="F137" t="s">
        <v>698</v>
      </c>
      <c r="G137">
        <v>6</v>
      </c>
      <c r="H137" s="9">
        <v>0</v>
      </c>
      <c r="I137" t="s">
        <v>703</v>
      </c>
      <c r="J137">
        <v>2</v>
      </c>
      <c r="K137">
        <v>2</v>
      </c>
      <c r="L137" t="str">
        <f>VLOOKUP(D137,Products!A:E,2,FALSE)</f>
        <v>Webcam</v>
      </c>
      <c r="M137" t="str">
        <f>VLOOKUP(D137,Products!A:E,3,FALSE)</f>
        <v>Technology</v>
      </c>
      <c r="N137">
        <f>VLOOKUP(D137,Products!A:E,4,FALSE)</f>
        <v>115</v>
      </c>
      <c r="O137" s="13">
        <f>VLOOKUP(D137,Products!A:E,5,FALSE)</f>
        <v>58</v>
      </c>
      <c r="P137" s="13" t="str">
        <f>VLOOKUP(C137,Customers!A:C,3,FALSE)</f>
        <v>Consumer</v>
      </c>
      <c r="Q137" s="13">
        <f t="shared" si="8"/>
        <v>690</v>
      </c>
      <c r="R137" s="13">
        <f t="shared" si="9"/>
        <v>348</v>
      </c>
      <c r="S137" s="13">
        <f t="shared" si="10"/>
        <v>342</v>
      </c>
      <c r="T137" s="14">
        <f t="shared" si="11"/>
        <v>0.4956521739130435</v>
      </c>
    </row>
    <row r="138" spans="1:20">
      <c r="A138" t="s">
        <v>842</v>
      </c>
      <c r="B138" s="8">
        <v>45704</v>
      </c>
      <c r="C138" t="s">
        <v>677</v>
      </c>
      <c r="D138" t="s">
        <v>63</v>
      </c>
      <c r="E138" t="s">
        <v>701</v>
      </c>
      <c r="F138" t="s">
        <v>698</v>
      </c>
      <c r="G138">
        <v>2</v>
      </c>
      <c r="H138" s="9">
        <v>0.05</v>
      </c>
      <c r="I138" t="s">
        <v>699</v>
      </c>
      <c r="J138">
        <v>5</v>
      </c>
      <c r="K138">
        <v>3</v>
      </c>
      <c r="L138" t="str">
        <f>VLOOKUP(D138,Products!A:E,2,FALSE)</f>
        <v>Bookshelf</v>
      </c>
      <c r="M138" t="str">
        <f>VLOOKUP(D138,Products!A:E,3,FALSE)</f>
        <v>Furniture</v>
      </c>
      <c r="N138">
        <f>VLOOKUP(D138,Products!A:E,4,FALSE)</f>
        <v>185</v>
      </c>
      <c r="O138" s="13">
        <f>VLOOKUP(D138,Products!A:E,5,FALSE)</f>
        <v>105</v>
      </c>
      <c r="P138" s="13" t="str">
        <f>VLOOKUP(C138,Customers!A:C,3,FALSE)</f>
        <v>Corporate</v>
      </c>
      <c r="Q138" s="13">
        <f t="shared" si="8"/>
        <v>351.5</v>
      </c>
      <c r="R138" s="13">
        <f t="shared" si="9"/>
        <v>210</v>
      </c>
      <c r="S138" s="13">
        <f t="shared" si="10"/>
        <v>141.5</v>
      </c>
      <c r="T138" s="14">
        <f t="shared" si="11"/>
        <v>0.40256045519203415</v>
      </c>
    </row>
    <row r="139" spans="1:20">
      <c r="A139" t="s">
        <v>843</v>
      </c>
      <c r="B139" s="8">
        <v>45967</v>
      </c>
      <c r="C139" t="s">
        <v>581</v>
      </c>
      <c r="D139" t="s">
        <v>61</v>
      </c>
      <c r="E139" t="s">
        <v>697</v>
      </c>
      <c r="F139" t="s">
        <v>698</v>
      </c>
      <c r="G139">
        <v>1</v>
      </c>
      <c r="H139" s="9">
        <v>0</v>
      </c>
      <c r="I139" t="s">
        <v>699</v>
      </c>
      <c r="J139">
        <v>4</v>
      </c>
      <c r="K139">
        <v>4</v>
      </c>
      <c r="L139" t="str">
        <f>VLOOKUP(D139,Products!A:E,2,FALSE)</f>
        <v>Office Chair</v>
      </c>
      <c r="M139" t="str">
        <f>VLOOKUP(D139,Products!A:E,3,FALSE)</f>
        <v>Furniture</v>
      </c>
      <c r="N139">
        <f>VLOOKUP(D139,Products!A:E,4,FALSE)</f>
        <v>255</v>
      </c>
      <c r="O139" s="13">
        <f>VLOOKUP(D139,Products!A:E,5,FALSE)</f>
        <v>145</v>
      </c>
      <c r="P139" s="13" t="str">
        <f>VLOOKUP(C139,Customers!A:C,3,FALSE)</f>
        <v>Consumer</v>
      </c>
      <c r="Q139" s="13">
        <f t="shared" si="8"/>
        <v>255</v>
      </c>
      <c r="R139" s="13">
        <f t="shared" si="9"/>
        <v>145</v>
      </c>
      <c r="S139" s="13">
        <f t="shared" si="10"/>
        <v>110</v>
      </c>
      <c r="T139" s="14">
        <f t="shared" si="11"/>
        <v>0.43137254901960786</v>
      </c>
    </row>
    <row r="140" spans="1:20">
      <c r="A140" t="s">
        <v>844</v>
      </c>
      <c r="B140" s="8">
        <v>46133</v>
      </c>
      <c r="C140" t="s">
        <v>295</v>
      </c>
      <c r="D140" t="s">
        <v>68</v>
      </c>
      <c r="E140" t="s">
        <v>701</v>
      </c>
      <c r="F140" t="s">
        <v>702</v>
      </c>
      <c r="G140">
        <v>4</v>
      </c>
      <c r="H140" s="9">
        <v>0.1</v>
      </c>
      <c r="I140" t="s">
        <v>699</v>
      </c>
      <c r="J140">
        <v>5</v>
      </c>
      <c r="K140">
        <v>2</v>
      </c>
      <c r="L140" t="str">
        <f>VLOOKUP(D140,Products!A:E,2,FALSE)</f>
        <v>Backpack</v>
      </c>
      <c r="M140" t="str">
        <f>VLOOKUP(D140,Products!A:E,3,FALSE)</f>
        <v>Accessories</v>
      </c>
      <c r="N140">
        <f>VLOOKUP(D140,Products!A:E,4,FALSE)</f>
        <v>85</v>
      </c>
      <c r="O140" s="13">
        <f>VLOOKUP(D140,Products!A:E,5,FALSE)</f>
        <v>39</v>
      </c>
      <c r="P140" s="13" t="str">
        <f>VLOOKUP(C140,Customers!A:C,3,FALSE)</f>
        <v>Consumer</v>
      </c>
      <c r="Q140" s="13">
        <f t="shared" si="8"/>
        <v>306</v>
      </c>
      <c r="R140" s="13">
        <f t="shared" si="9"/>
        <v>156</v>
      </c>
      <c r="S140" s="13">
        <f t="shared" si="10"/>
        <v>150</v>
      </c>
      <c r="T140" s="14">
        <f t="shared" si="11"/>
        <v>0.49019607843137253</v>
      </c>
    </row>
    <row r="141" spans="1:20">
      <c r="A141" t="s">
        <v>845</v>
      </c>
      <c r="B141" s="8">
        <v>46037</v>
      </c>
      <c r="C141" t="s">
        <v>613</v>
      </c>
      <c r="D141" t="s">
        <v>52</v>
      </c>
      <c r="E141" t="s">
        <v>708</v>
      </c>
      <c r="F141" t="s">
        <v>702</v>
      </c>
      <c r="G141">
        <v>1</v>
      </c>
      <c r="H141" s="9">
        <v>0</v>
      </c>
      <c r="I141" t="s">
        <v>699</v>
      </c>
      <c r="J141">
        <v>4</v>
      </c>
      <c r="K141">
        <v>4</v>
      </c>
      <c r="L141" t="str">
        <f>VLOOKUP(D141,Products!A:E,2,FALSE)</f>
        <v>Mouse</v>
      </c>
      <c r="M141" t="str">
        <f>VLOOKUP(D141,Products!A:E,3,FALSE)</f>
        <v>Technology</v>
      </c>
      <c r="N141">
        <f>VLOOKUP(D141,Products!A:E,4,FALSE)</f>
        <v>42</v>
      </c>
      <c r="O141" s="13">
        <f>VLOOKUP(D141,Products!A:E,5,FALSE)</f>
        <v>19</v>
      </c>
      <c r="P141" s="13" t="str">
        <f>VLOOKUP(C141,Customers!A:C,3,FALSE)</f>
        <v>Consumer</v>
      </c>
      <c r="Q141" s="13">
        <f t="shared" si="8"/>
        <v>42</v>
      </c>
      <c r="R141" s="13">
        <f t="shared" si="9"/>
        <v>19</v>
      </c>
      <c r="S141" s="13">
        <f t="shared" si="10"/>
        <v>23</v>
      </c>
      <c r="T141" s="14">
        <f t="shared" si="11"/>
        <v>0.54761904761904767</v>
      </c>
    </row>
    <row r="142" spans="1:20">
      <c r="A142" t="s">
        <v>846</v>
      </c>
      <c r="B142" s="8">
        <v>46086</v>
      </c>
      <c r="C142" t="s">
        <v>341</v>
      </c>
      <c r="D142" t="s">
        <v>56</v>
      </c>
      <c r="E142" t="s">
        <v>697</v>
      </c>
      <c r="F142" t="s">
        <v>706</v>
      </c>
      <c r="G142">
        <v>4</v>
      </c>
      <c r="H142" s="9">
        <v>0</v>
      </c>
      <c r="I142" t="s">
        <v>699</v>
      </c>
      <c r="J142">
        <v>5</v>
      </c>
      <c r="K142">
        <v>4</v>
      </c>
      <c r="L142" t="str">
        <f>VLOOKUP(D142,Products!A:E,2,FALSE)</f>
        <v>Headset</v>
      </c>
      <c r="M142" t="str">
        <f>VLOOKUP(D142,Products!A:E,3,FALSE)</f>
        <v>Technology</v>
      </c>
      <c r="N142">
        <f>VLOOKUP(D142,Products!A:E,4,FALSE)</f>
        <v>98</v>
      </c>
      <c r="O142" s="13">
        <f>VLOOKUP(D142,Products!A:E,5,FALSE)</f>
        <v>46</v>
      </c>
      <c r="P142" s="13" t="str">
        <f>VLOOKUP(C142,Customers!A:C,3,FALSE)</f>
        <v>Small Business</v>
      </c>
      <c r="Q142" s="13">
        <f t="shared" si="8"/>
        <v>392</v>
      </c>
      <c r="R142" s="13">
        <f t="shared" si="9"/>
        <v>184</v>
      </c>
      <c r="S142" s="13">
        <f t="shared" si="10"/>
        <v>208</v>
      </c>
      <c r="T142" s="14">
        <f t="shared" si="11"/>
        <v>0.53061224489795922</v>
      </c>
    </row>
    <row r="143" spans="1:20">
      <c r="A143" t="s">
        <v>847</v>
      </c>
      <c r="B143" s="8">
        <v>46168</v>
      </c>
      <c r="C143" t="s">
        <v>401</v>
      </c>
      <c r="D143" t="s">
        <v>79</v>
      </c>
      <c r="E143" t="s">
        <v>705</v>
      </c>
      <c r="F143" t="s">
        <v>706</v>
      </c>
      <c r="G143">
        <v>2</v>
      </c>
      <c r="H143" s="9">
        <v>0.2</v>
      </c>
      <c r="I143" t="s">
        <v>699</v>
      </c>
      <c r="J143">
        <v>4</v>
      </c>
      <c r="K143">
        <v>1</v>
      </c>
      <c r="L143" t="str">
        <f>VLOOKUP(D143,Products!A:E,2,FALSE)</f>
        <v>Desk Organiser</v>
      </c>
      <c r="M143" t="str">
        <f>VLOOKUP(D143,Products!A:E,3,FALSE)</f>
        <v>Office Supplies</v>
      </c>
      <c r="N143">
        <f>VLOOKUP(D143,Products!A:E,4,FALSE)</f>
        <v>28</v>
      </c>
      <c r="O143" s="13">
        <f>VLOOKUP(D143,Products!A:E,5,FALSE)</f>
        <v>12</v>
      </c>
      <c r="P143" s="13" t="str">
        <f>VLOOKUP(C143,Customers!A:C,3,FALSE)</f>
        <v>Corporate</v>
      </c>
      <c r="Q143" s="13">
        <f t="shared" si="8"/>
        <v>44.800000000000004</v>
      </c>
      <c r="R143" s="13">
        <f t="shared" si="9"/>
        <v>24</v>
      </c>
      <c r="S143" s="13">
        <f t="shared" si="10"/>
        <v>20.800000000000004</v>
      </c>
      <c r="T143" s="14">
        <f t="shared" si="11"/>
        <v>0.46428571428571436</v>
      </c>
    </row>
    <row r="144" spans="1:20">
      <c r="A144" t="s">
        <v>848</v>
      </c>
      <c r="B144" s="8">
        <v>45946</v>
      </c>
      <c r="C144" t="s">
        <v>593</v>
      </c>
      <c r="D144" t="s">
        <v>79</v>
      </c>
      <c r="E144" t="s">
        <v>708</v>
      </c>
      <c r="F144" t="s">
        <v>702</v>
      </c>
      <c r="G144">
        <v>1</v>
      </c>
      <c r="H144" s="9">
        <v>0</v>
      </c>
      <c r="I144" t="s">
        <v>699</v>
      </c>
      <c r="J144">
        <v>4</v>
      </c>
      <c r="K144">
        <v>4</v>
      </c>
      <c r="L144" t="str">
        <f>VLOOKUP(D144,Products!A:E,2,FALSE)</f>
        <v>Desk Organiser</v>
      </c>
      <c r="M144" t="str">
        <f>VLOOKUP(D144,Products!A:E,3,FALSE)</f>
        <v>Office Supplies</v>
      </c>
      <c r="N144">
        <f>VLOOKUP(D144,Products!A:E,4,FALSE)</f>
        <v>28</v>
      </c>
      <c r="O144" s="13">
        <f>VLOOKUP(D144,Products!A:E,5,FALSE)</f>
        <v>12</v>
      </c>
      <c r="P144" s="13" t="str">
        <f>VLOOKUP(C144,Customers!A:C,3,FALSE)</f>
        <v>Consumer</v>
      </c>
      <c r="Q144" s="13">
        <f t="shared" si="8"/>
        <v>28</v>
      </c>
      <c r="R144" s="13">
        <f t="shared" si="9"/>
        <v>12</v>
      </c>
      <c r="S144" s="13">
        <f t="shared" si="10"/>
        <v>16</v>
      </c>
      <c r="T144" s="14">
        <f t="shared" si="11"/>
        <v>0.5714285714285714</v>
      </c>
    </row>
    <row r="145" spans="1:20">
      <c r="A145" t="s">
        <v>849</v>
      </c>
      <c r="B145" s="8">
        <v>46032</v>
      </c>
      <c r="C145" t="s">
        <v>133</v>
      </c>
      <c r="D145" t="s">
        <v>72</v>
      </c>
      <c r="E145" t="s">
        <v>705</v>
      </c>
      <c r="F145" t="s">
        <v>698</v>
      </c>
      <c r="G145">
        <v>2</v>
      </c>
      <c r="H145" s="9">
        <v>0</v>
      </c>
      <c r="I145" t="s">
        <v>699</v>
      </c>
      <c r="J145">
        <v>4</v>
      </c>
      <c r="K145">
        <v>5</v>
      </c>
      <c r="L145" t="str">
        <f>VLOOKUP(D145,Products!A:E,2,FALSE)</f>
        <v>Phone Charger</v>
      </c>
      <c r="M145" t="str">
        <f>VLOOKUP(D145,Products!A:E,3,FALSE)</f>
        <v>Accessories</v>
      </c>
      <c r="N145">
        <f>VLOOKUP(D145,Products!A:E,4,FALSE)</f>
        <v>32</v>
      </c>
      <c r="O145" s="13">
        <f>VLOOKUP(D145,Products!A:E,5,FALSE)</f>
        <v>13</v>
      </c>
      <c r="P145" s="13" t="str">
        <f>VLOOKUP(C145,Customers!A:C,3,FALSE)</f>
        <v>Consumer</v>
      </c>
      <c r="Q145" s="13">
        <f t="shared" si="8"/>
        <v>64</v>
      </c>
      <c r="R145" s="13">
        <f t="shared" si="9"/>
        <v>26</v>
      </c>
      <c r="S145" s="13">
        <f t="shared" si="10"/>
        <v>38</v>
      </c>
      <c r="T145" s="14">
        <f t="shared" si="11"/>
        <v>0.59375</v>
      </c>
    </row>
    <row r="146" spans="1:20">
      <c r="A146" t="s">
        <v>850</v>
      </c>
      <c r="B146" s="8">
        <v>45944</v>
      </c>
      <c r="C146" t="s">
        <v>207</v>
      </c>
      <c r="D146" t="s">
        <v>54</v>
      </c>
      <c r="E146" t="s">
        <v>697</v>
      </c>
      <c r="F146" t="s">
        <v>702</v>
      </c>
      <c r="G146">
        <v>4</v>
      </c>
      <c r="H146" s="9">
        <v>0</v>
      </c>
      <c r="I146" t="s">
        <v>703</v>
      </c>
      <c r="J146">
        <v>5</v>
      </c>
      <c r="K146">
        <v>6</v>
      </c>
      <c r="L146" t="str">
        <f>VLOOKUP(D146,Products!A:E,2,FALSE)</f>
        <v>Webcam</v>
      </c>
      <c r="M146" t="str">
        <f>VLOOKUP(D146,Products!A:E,3,FALSE)</f>
        <v>Technology</v>
      </c>
      <c r="N146">
        <f>VLOOKUP(D146,Products!A:E,4,FALSE)</f>
        <v>115</v>
      </c>
      <c r="O146" s="13">
        <f>VLOOKUP(D146,Products!A:E,5,FALSE)</f>
        <v>58</v>
      </c>
      <c r="P146" s="13" t="str">
        <f>VLOOKUP(C146,Customers!A:C,3,FALSE)</f>
        <v>Small Business</v>
      </c>
      <c r="Q146" s="13">
        <f t="shared" si="8"/>
        <v>460</v>
      </c>
      <c r="R146" s="13">
        <f t="shared" si="9"/>
        <v>232</v>
      </c>
      <c r="S146" s="13">
        <f t="shared" si="10"/>
        <v>228</v>
      </c>
      <c r="T146" s="14">
        <f t="shared" si="11"/>
        <v>0.4956521739130435</v>
      </c>
    </row>
    <row r="147" spans="1:20">
      <c r="A147" t="s">
        <v>851</v>
      </c>
      <c r="B147" s="8">
        <v>46170</v>
      </c>
      <c r="C147" t="s">
        <v>127</v>
      </c>
      <c r="D147" t="s">
        <v>48</v>
      </c>
      <c r="E147" t="s">
        <v>705</v>
      </c>
      <c r="F147" t="s">
        <v>698</v>
      </c>
      <c r="G147">
        <v>4</v>
      </c>
      <c r="H147" s="9">
        <v>0.05</v>
      </c>
      <c r="I147" t="s">
        <v>699</v>
      </c>
      <c r="J147">
        <v>5</v>
      </c>
      <c r="K147">
        <v>2</v>
      </c>
      <c r="L147" t="str">
        <f>VLOOKUP(D147,Products!A:E,2,FALSE)</f>
        <v>Monitor</v>
      </c>
      <c r="M147" t="str">
        <f>VLOOKUP(D147,Products!A:E,3,FALSE)</f>
        <v>Technology</v>
      </c>
      <c r="N147">
        <f>VLOOKUP(D147,Products!A:E,4,FALSE)</f>
        <v>310</v>
      </c>
      <c r="O147" s="13">
        <f>VLOOKUP(D147,Products!A:E,5,FALSE)</f>
        <v>190</v>
      </c>
      <c r="P147" s="13" t="str">
        <f>VLOOKUP(C147,Customers!A:C,3,FALSE)</f>
        <v>Small Business</v>
      </c>
      <c r="Q147" s="13">
        <f t="shared" si="8"/>
        <v>1178</v>
      </c>
      <c r="R147" s="13">
        <f t="shared" si="9"/>
        <v>760</v>
      </c>
      <c r="S147" s="13">
        <f t="shared" si="10"/>
        <v>418</v>
      </c>
      <c r="T147" s="14">
        <f t="shared" si="11"/>
        <v>0.35483870967741937</v>
      </c>
    </row>
    <row r="148" spans="1:20">
      <c r="A148" t="s">
        <v>852</v>
      </c>
      <c r="B148" s="8">
        <v>45993</v>
      </c>
      <c r="C148" t="s">
        <v>413</v>
      </c>
      <c r="D148" t="s">
        <v>56</v>
      </c>
      <c r="E148" t="s">
        <v>708</v>
      </c>
      <c r="F148" t="s">
        <v>698</v>
      </c>
      <c r="G148">
        <v>5</v>
      </c>
      <c r="H148" s="9">
        <v>0.05</v>
      </c>
      <c r="I148" t="s">
        <v>699</v>
      </c>
      <c r="J148">
        <v>4</v>
      </c>
      <c r="K148">
        <v>4</v>
      </c>
      <c r="L148" t="str">
        <f>VLOOKUP(D148,Products!A:E,2,FALSE)</f>
        <v>Headset</v>
      </c>
      <c r="M148" t="str">
        <f>VLOOKUP(D148,Products!A:E,3,FALSE)</f>
        <v>Technology</v>
      </c>
      <c r="N148">
        <f>VLOOKUP(D148,Products!A:E,4,FALSE)</f>
        <v>98</v>
      </c>
      <c r="O148" s="13">
        <f>VLOOKUP(D148,Products!A:E,5,FALSE)</f>
        <v>46</v>
      </c>
      <c r="P148" s="13" t="str">
        <f>VLOOKUP(C148,Customers!A:C,3,FALSE)</f>
        <v>Small Business</v>
      </c>
      <c r="Q148" s="13">
        <f t="shared" si="8"/>
        <v>465.5</v>
      </c>
      <c r="R148" s="13">
        <f t="shared" si="9"/>
        <v>230</v>
      </c>
      <c r="S148" s="13">
        <f t="shared" si="10"/>
        <v>235.5</v>
      </c>
      <c r="T148" s="14">
        <f t="shared" si="11"/>
        <v>0.50590762620837804</v>
      </c>
    </row>
    <row r="149" spans="1:20">
      <c r="A149" t="s">
        <v>853</v>
      </c>
      <c r="B149" s="8">
        <v>46234</v>
      </c>
      <c r="C149" t="s">
        <v>393</v>
      </c>
      <c r="D149" t="s">
        <v>79</v>
      </c>
      <c r="E149" t="s">
        <v>697</v>
      </c>
      <c r="F149" t="s">
        <v>702</v>
      </c>
      <c r="G149">
        <v>3</v>
      </c>
      <c r="H149" s="9">
        <v>0.2</v>
      </c>
      <c r="I149" t="s">
        <v>699</v>
      </c>
      <c r="J149">
        <v>5</v>
      </c>
      <c r="K149">
        <v>1</v>
      </c>
      <c r="L149" t="str">
        <f>VLOOKUP(D149,Products!A:E,2,FALSE)</f>
        <v>Desk Organiser</v>
      </c>
      <c r="M149" t="str">
        <f>VLOOKUP(D149,Products!A:E,3,FALSE)</f>
        <v>Office Supplies</v>
      </c>
      <c r="N149">
        <f>VLOOKUP(D149,Products!A:E,4,FALSE)</f>
        <v>28</v>
      </c>
      <c r="O149" s="13">
        <f>VLOOKUP(D149,Products!A:E,5,FALSE)</f>
        <v>12</v>
      </c>
      <c r="P149" s="13" t="str">
        <f>VLOOKUP(C149,Customers!A:C,3,FALSE)</f>
        <v>Corporate</v>
      </c>
      <c r="Q149" s="13">
        <f t="shared" si="8"/>
        <v>67.2</v>
      </c>
      <c r="R149" s="13">
        <f t="shared" si="9"/>
        <v>36</v>
      </c>
      <c r="S149" s="13">
        <f t="shared" si="10"/>
        <v>31.200000000000003</v>
      </c>
      <c r="T149" s="14">
        <f t="shared" si="11"/>
        <v>0.4642857142857143</v>
      </c>
    </row>
    <row r="150" spans="1:20">
      <c r="A150" t="s">
        <v>854</v>
      </c>
      <c r="B150" s="8">
        <v>46143</v>
      </c>
      <c r="C150" t="s">
        <v>357</v>
      </c>
      <c r="D150" t="s">
        <v>61</v>
      </c>
      <c r="E150" t="s">
        <v>701</v>
      </c>
      <c r="F150" t="s">
        <v>698</v>
      </c>
      <c r="G150">
        <v>1</v>
      </c>
      <c r="H150" s="9">
        <v>0.05</v>
      </c>
      <c r="I150" t="s">
        <v>699</v>
      </c>
      <c r="J150">
        <v>5</v>
      </c>
      <c r="K150">
        <v>2</v>
      </c>
      <c r="L150" t="str">
        <f>VLOOKUP(D150,Products!A:E,2,FALSE)</f>
        <v>Office Chair</v>
      </c>
      <c r="M150" t="str">
        <f>VLOOKUP(D150,Products!A:E,3,FALSE)</f>
        <v>Furniture</v>
      </c>
      <c r="N150">
        <f>VLOOKUP(D150,Products!A:E,4,FALSE)</f>
        <v>255</v>
      </c>
      <c r="O150" s="13">
        <f>VLOOKUP(D150,Products!A:E,5,FALSE)</f>
        <v>145</v>
      </c>
      <c r="P150" s="13" t="str">
        <f>VLOOKUP(C150,Customers!A:C,3,FALSE)</f>
        <v>Consumer</v>
      </c>
      <c r="Q150" s="13">
        <f t="shared" si="8"/>
        <v>242.25</v>
      </c>
      <c r="R150" s="13">
        <f t="shared" si="9"/>
        <v>145</v>
      </c>
      <c r="S150" s="13">
        <f t="shared" si="10"/>
        <v>97.25</v>
      </c>
      <c r="T150" s="14">
        <f t="shared" si="11"/>
        <v>0.40144478844169246</v>
      </c>
    </row>
    <row r="151" spans="1:20">
      <c r="A151" t="s">
        <v>855</v>
      </c>
      <c r="B151" s="8">
        <v>45906</v>
      </c>
      <c r="C151" t="s">
        <v>119</v>
      </c>
      <c r="D151" t="s">
        <v>52</v>
      </c>
      <c r="E151" t="s">
        <v>705</v>
      </c>
      <c r="F151" t="s">
        <v>702</v>
      </c>
      <c r="G151">
        <v>2</v>
      </c>
      <c r="H151" s="9">
        <v>0</v>
      </c>
      <c r="I151" t="s">
        <v>699</v>
      </c>
      <c r="J151">
        <v>4</v>
      </c>
      <c r="K151">
        <v>5</v>
      </c>
      <c r="L151" t="str">
        <f>VLOOKUP(D151,Products!A:E,2,FALSE)</f>
        <v>Mouse</v>
      </c>
      <c r="M151" t="str">
        <f>VLOOKUP(D151,Products!A:E,3,FALSE)</f>
        <v>Technology</v>
      </c>
      <c r="N151">
        <f>VLOOKUP(D151,Products!A:E,4,FALSE)</f>
        <v>42</v>
      </c>
      <c r="O151" s="13">
        <f>VLOOKUP(D151,Products!A:E,5,FALSE)</f>
        <v>19</v>
      </c>
      <c r="P151" s="13" t="str">
        <f>VLOOKUP(C151,Customers!A:C,3,FALSE)</f>
        <v>Consumer</v>
      </c>
      <c r="Q151" s="13">
        <f t="shared" si="8"/>
        <v>84</v>
      </c>
      <c r="R151" s="13">
        <f t="shared" si="9"/>
        <v>38</v>
      </c>
      <c r="S151" s="13">
        <f t="shared" si="10"/>
        <v>46</v>
      </c>
      <c r="T151" s="14">
        <f t="shared" si="11"/>
        <v>0.54761904761904767</v>
      </c>
    </row>
    <row r="152" spans="1:20">
      <c r="A152" t="s">
        <v>856</v>
      </c>
      <c r="B152" s="8">
        <v>46140</v>
      </c>
      <c r="C152" t="s">
        <v>149</v>
      </c>
      <c r="D152" t="s">
        <v>54</v>
      </c>
      <c r="E152" t="s">
        <v>715</v>
      </c>
      <c r="F152" t="s">
        <v>698</v>
      </c>
      <c r="G152">
        <v>8</v>
      </c>
      <c r="H152" s="9">
        <v>0.05</v>
      </c>
      <c r="I152" t="s">
        <v>699</v>
      </c>
      <c r="J152">
        <v>5</v>
      </c>
      <c r="K152">
        <v>4</v>
      </c>
      <c r="L152" t="str">
        <f>VLOOKUP(D152,Products!A:E,2,FALSE)</f>
        <v>Webcam</v>
      </c>
      <c r="M152" t="str">
        <f>VLOOKUP(D152,Products!A:E,3,FALSE)</f>
        <v>Technology</v>
      </c>
      <c r="N152">
        <f>VLOOKUP(D152,Products!A:E,4,FALSE)</f>
        <v>115</v>
      </c>
      <c r="O152" s="13">
        <f>VLOOKUP(D152,Products!A:E,5,FALSE)</f>
        <v>58</v>
      </c>
      <c r="P152" s="13" t="str">
        <f>VLOOKUP(C152,Customers!A:C,3,FALSE)</f>
        <v>Corporate</v>
      </c>
      <c r="Q152" s="13">
        <f t="shared" si="8"/>
        <v>874</v>
      </c>
      <c r="R152" s="13">
        <f t="shared" si="9"/>
        <v>464</v>
      </c>
      <c r="S152" s="13">
        <f t="shared" si="10"/>
        <v>410</v>
      </c>
      <c r="T152" s="14">
        <f t="shared" si="11"/>
        <v>0.46910755148741418</v>
      </c>
    </row>
    <row r="153" spans="1:20">
      <c r="A153" t="s">
        <v>857</v>
      </c>
      <c r="B153" s="8">
        <v>46203</v>
      </c>
      <c r="C153" t="s">
        <v>437</v>
      </c>
      <c r="D153" t="s">
        <v>70</v>
      </c>
      <c r="E153" t="s">
        <v>701</v>
      </c>
      <c r="F153" t="s">
        <v>706</v>
      </c>
      <c r="G153">
        <v>3</v>
      </c>
      <c r="H153" s="9">
        <v>0.1</v>
      </c>
      <c r="I153" t="s">
        <v>699</v>
      </c>
      <c r="J153">
        <v>4</v>
      </c>
      <c r="K153">
        <v>2</v>
      </c>
      <c r="L153" t="str">
        <f>VLOOKUP(D153,Products!A:E,2,FALSE)</f>
        <v>USB-C Hub</v>
      </c>
      <c r="M153" t="str">
        <f>VLOOKUP(D153,Products!A:E,3,FALSE)</f>
        <v>Accessories</v>
      </c>
      <c r="N153">
        <f>VLOOKUP(D153,Products!A:E,4,FALSE)</f>
        <v>68</v>
      </c>
      <c r="O153" s="13">
        <f>VLOOKUP(D153,Products!A:E,5,FALSE)</f>
        <v>31</v>
      </c>
      <c r="P153" s="13" t="str">
        <f>VLOOKUP(C153,Customers!A:C,3,FALSE)</f>
        <v>Consumer</v>
      </c>
      <c r="Q153" s="13">
        <f t="shared" si="8"/>
        <v>183.6</v>
      </c>
      <c r="R153" s="13">
        <f t="shared" si="9"/>
        <v>93</v>
      </c>
      <c r="S153" s="13">
        <f t="shared" si="10"/>
        <v>90.6</v>
      </c>
      <c r="T153" s="14">
        <f t="shared" si="11"/>
        <v>0.49346405228758167</v>
      </c>
    </row>
    <row r="154" spans="1:20">
      <c r="A154" t="s">
        <v>858</v>
      </c>
      <c r="B154" s="8">
        <v>45943</v>
      </c>
      <c r="C154" t="s">
        <v>657</v>
      </c>
      <c r="D154" t="s">
        <v>65</v>
      </c>
      <c r="E154" t="s">
        <v>708</v>
      </c>
      <c r="F154" t="s">
        <v>706</v>
      </c>
      <c r="G154">
        <v>1</v>
      </c>
      <c r="H154" s="9">
        <v>0</v>
      </c>
      <c r="I154" t="s">
        <v>699</v>
      </c>
      <c r="J154">
        <v>5</v>
      </c>
      <c r="K154">
        <v>3</v>
      </c>
      <c r="L154" t="str">
        <f>VLOOKUP(D154,Products!A:E,2,FALSE)</f>
        <v>Laptop Stand</v>
      </c>
      <c r="M154" t="str">
        <f>VLOOKUP(D154,Products!A:E,3,FALSE)</f>
        <v>Accessories</v>
      </c>
      <c r="N154">
        <f>VLOOKUP(D154,Products!A:E,4,FALSE)</f>
        <v>48</v>
      </c>
      <c r="O154" s="13">
        <f>VLOOKUP(D154,Products!A:E,5,FALSE)</f>
        <v>22</v>
      </c>
      <c r="P154" s="13" t="str">
        <f>VLOOKUP(C154,Customers!A:C,3,FALSE)</f>
        <v>Small Business</v>
      </c>
      <c r="Q154" s="13">
        <f t="shared" si="8"/>
        <v>48</v>
      </c>
      <c r="R154" s="13">
        <f t="shared" si="9"/>
        <v>22</v>
      </c>
      <c r="S154" s="13">
        <f t="shared" si="10"/>
        <v>26</v>
      </c>
      <c r="T154" s="14">
        <f t="shared" si="11"/>
        <v>0.54166666666666663</v>
      </c>
    </row>
    <row r="155" spans="1:20">
      <c r="A155" t="s">
        <v>859</v>
      </c>
      <c r="B155" s="8">
        <v>46149</v>
      </c>
      <c r="C155" t="s">
        <v>443</v>
      </c>
      <c r="D155" t="s">
        <v>63</v>
      </c>
      <c r="E155" t="s">
        <v>708</v>
      </c>
      <c r="F155" t="s">
        <v>698</v>
      </c>
      <c r="G155">
        <v>2</v>
      </c>
      <c r="H155" s="9">
        <v>0.15</v>
      </c>
      <c r="I155" t="s">
        <v>699</v>
      </c>
      <c r="J155">
        <v>4</v>
      </c>
      <c r="K155">
        <v>2</v>
      </c>
      <c r="L155" t="str">
        <f>VLOOKUP(D155,Products!A:E,2,FALSE)</f>
        <v>Bookshelf</v>
      </c>
      <c r="M155" t="str">
        <f>VLOOKUP(D155,Products!A:E,3,FALSE)</f>
        <v>Furniture</v>
      </c>
      <c r="N155">
        <f>VLOOKUP(D155,Products!A:E,4,FALSE)</f>
        <v>185</v>
      </c>
      <c r="O155" s="13">
        <f>VLOOKUP(D155,Products!A:E,5,FALSE)</f>
        <v>105</v>
      </c>
      <c r="P155" s="13" t="str">
        <f>VLOOKUP(C155,Customers!A:C,3,FALSE)</f>
        <v>Consumer</v>
      </c>
      <c r="Q155" s="13">
        <f t="shared" si="8"/>
        <v>314.5</v>
      </c>
      <c r="R155" s="13">
        <f t="shared" si="9"/>
        <v>210</v>
      </c>
      <c r="S155" s="13">
        <f t="shared" si="10"/>
        <v>104.5</v>
      </c>
      <c r="T155" s="14">
        <f t="shared" si="11"/>
        <v>0.33227344992050872</v>
      </c>
    </row>
    <row r="156" spans="1:20">
      <c r="A156" t="s">
        <v>860</v>
      </c>
      <c r="B156" s="8">
        <v>45955</v>
      </c>
      <c r="C156" t="s">
        <v>129</v>
      </c>
      <c r="D156" t="s">
        <v>65</v>
      </c>
      <c r="E156" t="s">
        <v>697</v>
      </c>
      <c r="F156" t="s">
        <v>702</v>
      </c>
      <c r="G156">
        <v>6</v>
      </c>
      <c r="H156" s="9">
        <v>0.05</v>
      </c>
      <c r="I156" t="s">
        <v>699</v>
      </c>
      <c r="J156">
        <v>3</v>
      </c>
      <c r="K156">
        <v>5</v>
      </c>
      <c r="L156" t="str">
        <f>VLOOKUP(D156,Products!A:E,2,FALSE)</f>
        <v>Laptop Stand</v>
      </c>
      <c r="M156" t="str">
        <f>VLOOKUP(D156,Products!A:E,3,FALSE)</f>
        <v>Accessories</v>
      </c>
      <c r="N156">
        <f>VLOOKUP(D156,Products!A:E,4,FALSE)</f>
        <v>48</v>
      </c>
      <c r="O156" s="13">
        <f>VLOOKUP(D156,Products!A:E,5,FALSE)</f>
        <v>22</v>
      </c>
      <c r="P156" s="13" t="str">
        <f>VLOOKUP(C156,Customers!A:C,3,FALSE)</f>
        <v>Corporate</v>
      </c>
      <c r="Q156" s="13">
        <f t="shared" si="8"/>
        <v>273.59999999999997</v>
      </c>
      <c r="R156" s="13">
        <f t="shared" si="9"/>
        <v>132</v>
      </c>
      <c r="S156" s="13">
        <f t="shared" si="10"/>
        <v>141.59999999999997</v>
      </c>
      <c r="T156" s="14">
        <f t="shared" si="11"/>
        <v>0.51754385964912275</v>
      </c>
    </row>
    <row r="157" spans="1:20">
      <c r="A157" t="s">
        <v>861</v>
      </c>
      <c r="B157" s="8">
        <v>45935</v>
      </c>
      <c r="C157" t="s">
        <v>661</v>
      </c>
      <c r="D157" t="s">
        <v>63</v>
      </c>
      <c r="E157" t="s">
        <v>705</v>
      </c>
      <c r="F157" t="s">
        <v>698</v>
      </c>
      <c r="G157">
        <v>3</v>
      </c>
      <c r="H157" s="9">
        <v>0</v>
      </c>
      <c r="I157" t="s">
        <v>699</v>
      </c>
      <c r="J157">
        <v>4</v>
      </c>
      <c r="K157">
        <v>2</v>
      </c>
      <c r="L157" t="str">
        <f>VLOOKUP(D157,Products!A:E,2,FALSE)</f>
        <v>Bookshelf</v>
      </c>
      <c r="M157" t="str">
        <f>VLOOKUP(D157,Products!A:E,3,FALSE)</f>
        <v>Furniture</v>
      </c>
      <c r="N157">
        <f>VLOOKUP(D157,Products!A:E,4,FALSE)</f>
        <v>185</v>
      </c>
      <c r="O157" s="13">
        <f>VLOOKUP(D157,Products!A:E,5,FALSE)</f>
        <v>105</v>
      </c>
      <c r="P157" s="13" t="str">
        <f>VLOOKUP(C157,Customers!A:C,3,FALSE)</f>
        <v>Consumer</v>
      </c>
      <c r="Q157" s="13">
        <f t="shared" si="8"/>
        <v>555</v>
      </c>
      <c r="R157" s="13">
        <f t="shared" si="9"/>
        <v>315</v>
      </c>
      <c r="S157" s="13">
        <f t="shared" si="10"/>
        <v>240</v>
      </c>
      <c r="T157" s="14">
        <f t="shared" si="11"/>
        <v>0.43243243243243246</v>
      </c>
    </row>
    <row r="158" spans="1:20">
      <c r="A158" t="s">
        <v>862</v>
      </c>
      <c r="B158" s="8">
        <v>45711</v>
      </c>
      <c r="C158" t="s">
        <v>189</v>
      </c>
      <c r="D158" t="s">
        <v>74</v>
      </c>
      <c r="E158" t="s">
        <v>708</v>
      </c>
      <c r="F158" t="s">
        <v>702</v>
      </c>
      <c r="G158">
        <v>3</v>
      </c>
      <c r="H158" s="9">
        <v>0</v>
      </c>
      <c r="I158" t="s">
        <v>703</v>
      </c>
      <c r="J158">
        <v>5</v>
      </c>
      <c r="K158">
        <v>6</v>
      </c>
      <c r="L158" t="str">
        <f>VLOOKUP(D158,Products!A:E,2,FALSE)</f>
        <v>Printer Paper</v>
      </c>
      <c r="M158" t="str">
        <f>VLOOKUP(D158,Products!A:E,3,FALSE)</f>
        <v>Office Supplies</v>
      </c>
      <c r="N158">
        <f>VLOOKUP(D158,Products!A:E,4,FALSE)</f>
        <v>17</v>
      </c>
      <c r="O158" s="13">
        <f>VLOOKUP(D158,Products!A:E,5,FALSE)</f>
        <v>8</v>
      </c>
      <c r="P158" s="13" t="str">
        <f>VLOOKUP(C158,Customers!A:C,3,FALSE)</f>
        <v>Consumer</v>
      </c>
      <c r="Q158" s="13">
        <f t="shared" si="8"/>
        <v>51</v>
      </c>
      <c r="R158" s="13">
        <f t="shared" si="9"/>
        <v>24</v>
      </c>
      <c r="S158" s="13">
        <f t="shared" si="10"/>
        <v>27</v>
      </c>
      <c r="T158" s="14">
        <f t="shared" si="11"/>
        <v>0.52941176470588236</v>
      </c>
    </row>
    <row r="159" spans="1:20">
      <c r="A159" t="s">
        <v>863</v>
      </c>
      <c r="B159" s="8">
        <v>46145</v>
      </c>
      <c r="C159" t="s">
        <v>575</v>
      </c>
      <c r="D159" t="s">
        <v>58</v>
      </c>
      <c r="E159" t="s">
        <v>701</v>
      </c>
      <c r="F159" t="s">
        <v>702</v>
      </c>
      <c r="G159">
        <v>1</v>
      </c>
      <c r="H159" s="9">
        <v>0</v>
      </c>
      <c r="I159" t="s">
        <v>699</v>
      </c>
      <c r="J159">
        <v>5</v>
      </c>
      <c r="K159">
        <v>2</v>
      </c>
      <c r="L159" t="str">
        <f>VLOOKUP(D159,Products!A:E,2,FALSE)</f>
        <v>Standing Desk</v>
      </c>
      <c r="M159" t="str">
        <f>VLOOKUP(D159,Products!A:E,3,FALSE)</f>
        <v>Furniture</v>
      </c>
      <c r="N159">
        <f>VLOOKUP(D159,Products!A:E,4,FALSE)</f>
        <v>540</v>
      </c>
      <c r="O159" s="13">
        <f>VLOOKUP(D159,Products!A:E,5,FALSE)</f>
        <v>320</v>
      </c>
      <c r="P159" s="13" t="str">
        <f>VLOOKUP(C159,Customers!A:C,3,FALSE)</f>
        <v>Consumer</v>
      </c>
      <c r="Q159" s="13">
        <f t="shared" si="8"/>
        <v>540</v>
      </c>
      <c r="R159" s="13">
        <f t="shared" si="9"/>
        <v>320</v>
      </c>
      <c r="S159" s="13">
        <f t="shared" si="10"/>
        <v>220</v>
      </c>
      <c r="T159" s="14">
        <f t="shared" si="11"/>
        <v>0.40740740740740738</v>
      </c>
    </row>
    <row r="160" spans="1:20">
      <c r="A160" t="s">
        <v>864</v>
      </c>
      <c r="B160" s="8">
        <v>46205</v>
      </c>
      <c r="C160" t="s">
        <v>125</v>
      </c>
      <c r="D160" t="s">
        <v>56</v>
      </c>
      <c r="E160" t="s">
        <v>708</v>
      </c>
      <c r="F160" t="s">
        <v>706</v>
      </c>
      <c r="G160">
        <v>6</v>
      </c>
      <c r="H160" s="9">
        <v>0</v>
      </c>
      <c r="I160" t="s">
        <v>699</v>
      </c>
      <c r="J160">
        <v>5</v>
      </c>
      <c r="K160">
        <v>2</v>
      </c>
      <c r="L160" t="str">
        <f>VLOOKUP(D160,Products!A:E,2,FALSE)</f>
        <v>Headset</v>
      </c>
      <c r="M160" t="str">
        <f>VLOOKUP(D160,Products!A:E,3,FALSE)</f>
        <v>Technology</v>
      </c>
      <c r="N160">
        <f>VLOOKUP(D160,Products!A:E,4,FALSE)</f>
        <v>98</v>
      </c>
      <c r="O160" s="13">
        <f>VLOOKUP(D160,Products!A:E,5,FALSE)</f>
        <v>46</v>
      </c>
      <c r="P160" s="13" t="str">
        <f>VLOOKUP(C160,Customers!A:C,3,FALSE)</f>
        <v>Consumer</v>
      </c>
      <c r="Q160" s="13">
        <f t="shared" si="8"/>
        <v>588</v>
      </c>
      <c r="R160" s="13">
        <f t="shared" si="9"/>
        <v>276</v>
      </c>
      <c r="S160" s="13">
        <f t="shared" si="10"/>
        <v>312</v>
      </c>
      <c r="T160" s="14">
        <f t="shared" si="11"/>
        <v>0.53061224489795922</v>
      </c>
    </row>
    <row r="161" spans="1:20">
      <c r="A161" t="s">
        <v>865</v>
      </c>
      <c r="B161" s="8">
        <v>45954</v>
      </c>
      <c r="C161" t="s">
        <v>125</v>
      </c>
      <c r="D161" t="s">
        <v>45</v>
      </c>
      <c r="E161" t="s">
        <v>708</v>
      </c>
      <c r="F161" t="s">
        <v>698</v>
      </c>
      <c r="G161">
        <v>6</v>
      </c>
      <c r="H161" s="9">
        <v>0</v>
      </c>
      <c r="I161" t="s">
        <v>699</v>
      </c>
      <c r="J161">
        <v>5</v>
      </c>
      <c r="K161">
        <v>5</v>
      </c>
      <c r="L161" t="str">
        <f>VLOOKUP(D161,Products!A:E,2,FALSE)</f>
        <v>Laptop</v>
      </c>
      <c r="M161" t="str">
        <f>VLOOKUP(D161,Products!A:E,3,FALSE)</f>
        <v>Technology</v>
      </c>
      <c r="N161">
        <f>VLOOKUP(D161,Products!A:E,4,FALSE)</f>
        <v>1100</v>
      </c>
      <c r="O161" s="13">
        <f>VLOOKUP(D161,Products!A:E,5,FALSE)</f>
        <v>720</v>
      </c>
      <c r="P161" s="13" t="str">
        <f>VLOOKUP(C161,Customers!A:C,3,FALSE)</f>
        <v>Consumer</v>
      </c>
      <c r="Q161" s="13">
        <f t="shared" si="8"/>
        <v>6600</v>
      </c>
      <c r="R161" s="13">
        <f t="shared" si="9"/>
        <v>4320</v>
      </c>
      <c r="S161" s="13">
        <f t="shared" si="10"/>
        <v>2280</v>
      </c>
      <c r="T161" s="14">
        <f t="shared" si="11"/>
        <v>0.34545454545454546</v>
      </c>
    </row>
    <row r="162" spans="1:20">
      <c r="A162" t="s">
        <v>866</v>
      </c>
      <c r="B162" s="8">
        <v>46163</v>
      </c>
      <c r="C162" t="s">
        <v>223</v>
      </c>
      <c r="D162" t="s">
        <v>77</v>
      </c>
      <c r="E162" t="s">
        <v>708</v>
      </c>
      <c r="F162" t="s">
        <v>698</v>
      </c>
      <c r="G162">
        <v>2</v>
      </c>
      <c r="H162" s="9">
        <v>0.1</v>
      </c>
      <c r="I162" t="s">
        <v>699</v>
      </c>
      <c r="J162">
        <v>5</v>
      </c>
      <c r="K162">
        <v>1</v>
      </c>
      <c r="L162" t="str">
        <f>VLOOKUP(D162,Products!A:E,2,FALSE)</f>
        <v>File Folder Pack</v>
      </c>
      <c r="M162" t="str">
        <f>VLOOKUP(D162,Products!A:E,3,FALSE)</f>
        <v>Office Supplies</v>
      </c>
      <c r="N162">
        <f>VLOOKUP(D162,Products!A:E,4,FALSE)</f>
        <v>23</v>
      </c>
      <c r="O162" s="13">
        <f>VLOOKUP(D162,Products!A:E,5,FALSE)</f>
        <v>10</v>
      </c>
      <c r="P162" s="13" t="str">
        <f>VLOOKUP(C162,Customers!A:C,3,FALSE)</f>
        <v>Consumer</v>
      </c>
      <c r="Q162" s="13">
        <f t="shared" si="8"/>
        <v>41.4</v>
      </c>
      <c r="R162" s="13">
        <f t="shared" si="9"/>
        <v>20</v>
      </c>
      <c r="S162" s="13">
        <f t="shared" si="10"/>
        <v>21.4</v>
      </c>
      <c r="T162" s="14">
        <f t="shared" si="11"/>
        <v>0.51690821256038644</v>
      </c>
    </row>
    <row r="163" spans="1:20">
      <c r="A163" t="s">
        <v>867</v>
      </c>
      <c r="B163" s="8">
        <v>46003</v>
      </c>
      <c r="C163" t="s">
        <v>389</v>
      </c>
      <c r="D163" t="s">
        <v>58</v>
      </c>
      <c r="E163" t="s">
        <v>705</v>
      </c>
      <c r="F163" t="s">
        <v>706</v>
      </c>
      <c r="G163">
        <v>6</v>
      </c>
      <c r="H163" s="9">
        <v>0.1</v>
      </c>
      <c r="I163" t="s">
        <v>699</v>
      </c>
      <c r="J163">
        <v>2</v>
      </c>
      <c r="K163">
        <v>3</v>
      </c>
      <c r="L163" t="str">
        <f>VLOOKUP(D163,Products!A:E,2,FALSE)</f>
        <v>Standing Desk</v>
      </c>
      <c r="M163" t="str">
        <f>VLOOKUP(D163,Products!A:E,3,FALSE)</f>
        <v>Furniture</v>
      </c>
      <c r="N163">
        <f>VLOOKUP(D163,Products!A:E,4,FALSE)</f>
        <v>540</v>
      </c>
      <c r="O163" s="13">
        <f>VLOOKUP(D163,Products!A:E,5,FALSE)</f>
        <v>320</v>
      </c>
      <c r="P163" s="13" t="str">
        <f>VLOOKUP(C163,Customers!A:C,3,FALSE)</f>
        <v>Corporate</v>
      </c>
      <c r="Q163" s="13">
        <f t="shared" si="8"/>
        <v>2916</v>
      </c>
      <c r="R163" s="13">
        <f t="shared" si="9"/>
        <v>1920</v>
      </c>
      <c r="S163" s="13">
        <f t="shared" si="10"/>
        <v>996</v>
      </c>
      <c r="T163" s="14">
        <f t="shared" si="11"/>
        <v>0.34156378600823045</v>
      </c>
    </row>
    <row r="164" spans="1:20">
      <c r="A164" t="s">
        <v>868</v>
      </c>
      <c r="B164" s="8">
        <v>45801</v>
      </c>
      <c r="C164" t="s">
        <v>575</v>
      </c>
      <c r="D164" t="s">
        <v>68</v>
      </c>
      <c r="E164" t="s">
        <v>697</v>
      </c>
      <c r="F164" t="s">
        <v>702</v>
      </c>
      <c r="G164">
        <v>2</v>
      </c>
      <c r="H164" s="9">
        <v>0</v>
      </c>
      <c r="I164" t="s">
        <v>699</v>
      </c>
      <c r="J164">
        <v>4</v>
      </c>
      <c r="K164">
        <v>5</v>
      </c>
      <c r="L164" t="str">
        <f>VLOOKUP(D164,Products!A:E,2,FALSE)</f>
        <v>Backpack</v>
      </c>
      <c r="M164" t="str">
        <f>VLOOKUP(D164,Products!A:E,3,FALSE)</f>
        <v>Accessories</v>
      </c>
      <c r="N164">
        <f>VLOOKUP(D164,Products!A:E,4,FALSE)</f>
        <v>85</v>
      </c>
      <c r="O164" s="13">
        <f>VLOOKUP(D164,Products!A:E,5,FALSE)</f>
        <v>39</v>
      </c>
      <c r="P164" s="13" t="str">
        <f>VLOOKUP(C164,Customers!A:C,3,FALSE)</f>
        <v>Consumer</v>
      </c>
      <c r="Q164" s="13">
        <f t="shared" si="8"/>
        <v>170</v>
      </c>
      <c r="R164" s="13">
        <f t="shared" si="9"/>
        <v>78</v>
      </c>
      <c r="S164" s="13">
        <f t="shared" si="10"/>
        <v>92</v>
      </c>
      <c r="T164" s="14">
        <f t="shared" si="11"/>
        <v>0.54117647058823526</v>
      </c>
    </row>
    <row r="165" spans="1:20">
      <c r="A165" t="s">
        <v>869</v>
      </c>
      <c r="B165" s="8">
        <v>46244</v>
      </c>
      <c r="C165" t="s">
        <v>96</v>
      </c>
      <c r="D165" t="s">
        <v>63</v>
      </c>
      <c r="E165" t="s">
        <v>701</v>
      </c>
      <c r="F165" t="s">
        <v>698</v>
      </c>
      <c r="G165">
        <v>1</v>
      </c>
      <c r="H165" s="9">
        <v>0</v>
      </c>
      <c r="I165" t="s">
        <v>699</v>
      </c>
      <c r="J165">
        <v>4</v>
      </c>
      <c r="K165">
        <v>5</v>
      </c>
      <c r="L165" t="str">
        <f>VLOOKUP(D165,Products!A:E,2,FALSE)</f>
        <v>Bookshelf</v>
      </c>
      <c r="M165" t="str">
        <f>VLOOKUP(D165,Products!A:E,3,FALSE)</f>
        <v>Furniture</v>
      </c>
      <c r="N165">
        <f>VLOOKUP(D165,Products!A:E,4,FALSE)</f>
        <v>185</v>
      </c>
      <c r="O165" s="13">
        <f>VLOOKUP(D165,Products!A:E,5,FALSE)</f>
        <v>105</v>
      </c>
      <c r="P165" s="13" t="str">
        <f>VLOOKUP(C165,Customers!A:C,3,FALSE)</f>
        <v>Corporate</v>
      </c>
      <c r="Q165" s="13">
        <f t="shared" si="8"/>
        <v>185</v>
      </c>
      <c r="R165" s="13">
        <f t="shared" si="9"/>
        <v>105</v>
      </c>
      <c r="S165" s="13">
        <f t="shared" si="10"/>
        <v>80</v>
      </c>
      <c r="T165" s="14">
        <f t="shared" si="11"/>
        <v>0.43243243243243246</v>
      </c>
    </row>
    <row r="166" spans="1:20">
      <c r="A166" t="s">
        <v>870</v>
      </c>
      <c r="B166" s="8">
        <v>45976</v>
      </c>
      <c r="C166" t="s">
        <v>207</v>
      </c>
      <c r="D166" t="s">
        <v>65</v>
      </c>
      <c r="E166" t="s">
        <v>708</v>
      </c>
      <c r="F166" t="s">
        <v>702</v>
      </c>
      <c r="G166">
        <v>7</v>
      </c>
      <c r="H166" s="9">
        <v>0.05</v>
      </c>
      <c r="I166" t="s">
        <v>699</v>
      </c>
      <c r="J166">
        <v>5</v>
      </c>
      <c r="K166">
        <v>3</v>
      </c>
      <c r="L166" t="str">
        <f>VLOOKUP(D166,Products!A:E,2,FALSE)</f>
        <v>Laptop Stand</v>
      </c>
      <c r="M166" t="str">
        <f>VLOOKUP(D166,Products!A:E,3,FALSE)</f>
        <v>Accessories</v>
      </c>
      <c r="N166">
        <f>VLOOKUP(D166,Products!A:E,4,FALSE)</f>
        <v>48</v>
      </c>
      <c r="O166" s="13">
        <f>VLOOKUP(D166,Products!A:E,5,FALSE)</f>
        <v>22</v>
      </c>
      <c r="P166" s="13" t="str">
        <f>VLOOKUP(C166,Customers!A:C,3,FALSE)</f>
        <v>Small Business</v>
      </c>
      <c r="Q166" s="13">
        <f t="shared" si="8"/>
        <v>319.2</v>
      </c>
      <c r="R166" s="13">
        <f t="shared" si="9"/>
        <v>154</v>
      </c>
      <c r="S166" s="13">
        <f t="shared" si="10"/>
        <v>165.2</v>
      </c>
      <c r="T166" s="14">
        <f t="shared" si="11"/>
        <v>0.51754385964912275</v>
      </c>
    </row>
    <row r="167" spans="1:20">
      <c r="A167" t="s">
        <v>871</v>
      </c>
      <c r="B167" s="8">
        <v>46083</v>
      </c>
      <c r="C167" t="s">
        <v>649</v>
      </c>
      <c r="D167" t="s">
        <v>79</v>
      </c>
      <c r="E167" t="s">
        <v>701</v>
      </c>
      <c r="F167" t="s">
        <v>698</v>
      </c>
      <c r="G167">
        <v>5</v>
      </c>
      <c r="H167" s="9">
        <v>0.1</v>
      </c>
      <c r="I167" t="s">
        <v>699</v>
      </c>
      <c r="J167">
        <v>4</v>
      </c>
      <c r="K167">
        <v>1</v>
      </c>
      <c r="L167" t="str">
        <f>VLOOKUP(D167,Products!A:E,2,FALSE)</f>
        <v>Desk Organiser</v>
      </c>
      <c r="M167" t="str">
        <f>VLOOKUP(D167,Products!A:E,3,FALSE)</f>
        <v>Office Supplies</v>
      </c>
      <c r="N167">
        <f>VLOOKUP(D167,Products!A:E,4,FALSE)</f>
        <v>28</v>
      </c>
      <c r="O167" s="13">
        <f>VLOOKUP(D167,Products!A:E,5,FALSE)</f>
        <v>12</v>
      </c>
      <c r="P167" s="13" t="str">
        <f>VLOOKUP(C167,Customers!A:C,3,FALSE)</f>
        <v>Consumer</v>
      </c>
      <c r="Q167" s="13">
        <f t="shared" si="8"/>
        <v>126</v>
      </c>
      <c r="R167" s="13">
        <f t="shared" si="9"/>
        <v>60</v>
      </c>
      <c r="S167" s="13">
        <f t="shared" si="10"/>
        <v>66</v>
      </c>
      <c r="T167" s="14">
        <f t="shared" si="11"/>
        <v>0.52380952380952384</v>
      </c>
    </row>
    <row r="168" spans="1:20">
      <c r="A168" t="s">
        <v>872</v>
      </c>
      <c r="B168" s="8">
        <v>46196</v>
      </c>
      <c r="C168" t="s">
        <v>543</v>
      </c>
      <c r="D168" t="s">
        <v>70</v>
      </c>
      <c r="E168" t="s">
        <v>705</v>
      </c>
      <c r="F168" t="s">
        <v>698</v>
      </c>
      <c r="G168">
        <v>1</v>
      </c>
      <c r="H168" s="9">
        <v>0.05</v>
      </c>
      <c r="I168" t="s">
        <v>699</v>
      </c>
      <c r="J168">
        <v>4</v>
      </c>
      <c r="K168">
        <v>2</v>
      </c>
      <c r="L168" t="str">
        <f>VLOOKUP(D168,Products!A:E,2,FALSE)</f>
        <v>USB-C Hub</v>
      </c>
      <c r="M168" t="str">
        <f>VLOOKUP(D168,Products!A:E,3,FALSE)</f>
        <v>Accessories</v>
      </c>
      <c r="N168">
        <f>VLOOKUP(D168,Products!A:E,4,FALSE)</f>
        <v>68</v>
      </c>
      <c r="O168" s="13">
        <f>VLOOKUP(D168,Products!A:E,5,FALSE)</f>
        <v>31</v>
      </c>
      <c r="P168" s="13" t="str">
        <f>VLOOKUP(C168,Customers!A:C,3,FALSE)</f>
        <v>Consumer</v>
      </c>
      <c r="Q168" s="13">
        <f t="shared" si="8"/>
        <v>64.599999999999994</v>
      </c>
      <c r="R168" s="13">
        <f t="shared" si="9"/>
        <v>31</v>
      </c>
      <c r="S168" s="13">
        <f t="shared" si="10"/>
        <v>33.599999999999994</v>
      </c>
      <c r="T168" s="14">
        <f t="shared" si="11"/>
        <v>0.52012383900928794</v>
      </c>
    </row>
    <row r="169" spans="1:20">
      <c r="A169" t="s">
        <v>873</v>
      </c>
      <c r="B169" s="8">
        <v>45826</v>
      </c>
      <c r="C169" t="s">
        <v>421</v>
      </c>
      <c r="D169" t="s">
        <v>77</v>
      </c>
      <c r="E169" t="s">
        <v>705</v>
      </c>
      <c r="F169" t="s">
        <v>702</v>
      </c>
      <c r="G169">
        <v>3</v>
      </c>
      <c r="H169" s="9">
        <v>0</v>
      </c>
      <c r="I169" t="s">
        <v>699</v>
      </c>
      <c r="J169">
        <v>5</v>
      </c>
      <c r="K169">
        <v>4</v>
      </c>
      <c r="L169" t="str">
        <f>VLOOKUP(D169,Products!A:E,2,FALSE)</f>
        <v>File Folder Pack</v>
      </c>
      <c r="M169" t="str">
        <f>VLOOKUP(D169,Products!A:E,3,FALSE)</f>
        <v>Office Supplies</v>
      </c>
      <c r="N169">
        <f>VLOOKUP(D169,Products!A:E,4,FALSE)</f>
        <v>23</v>
      </c>
      <c r="O169" s="13">
        <f>VLOOKUP(D169,Products!A:E,5,FALSE)</f>
        <v>10</v>
      </c>
      <c r="P169" s="13" t="str">
        <f>VLOOKUP(C169,Customers!A:C,3,FALSE)</f>
        <v>Corporate</v>
      </c>
      <c r="Q169" s="13">
        <f t="shared" si="8"/>
        <v>69</v>
      </c>
      <c r="R169" s="13">
        <f t="shared" si="9"/>
        <v>30</v>
      </c>
      <c r="S169" s="13">
        <f t="shared" si="10"/>
        <v>39</v>
      </c>
      <c r="T169" s="14">
        <f t="shared" si="11"/>
        <v>0.56521739130434778</v>
      </c>
    </row>
    <row r="170" spans="1:20">
      <c r="A170" t="s">
        <v>874</v>
      </c>
      <c r="B170" s="8">
        <v>45793</v>
      </c>
      <c r="C170" t="s">
        <v>611</v>
      </c>
      <c r="D170" t="s">
        <v>74</v>
      </c>
      <c r="E170" t="s">
        <v>715</v>
      </c>
      <c r="F170" t="s">
        <v>702</v>
      </c>
      <c r="G170">
        <v>2</v>
      </c>
      <c r="H170" s="9">
        <v>0.1</v>
      </c>
      <c r="I170" t="s">
        <v>699</v>
      </c>
      <c r="J170">
        <v>4</v>
      </c>
      <c r="K170">
        <v>1</v>
      </c>
      <c r="L170" t="str">
        <f>VLOOKUP(D170,Products!A:E,2,FALSE)</f>
        <v>Printer Paper</v>
      </c>
      <c r="M170" t="str">
        <f>VLOOKUP(D170,Products!A:E,3,FALSE)</f>
        <v>Office Supplies</v>
      </c>
      <c r="N170">
        <f>VLOOKUP(D170,Products!A:E,4,FALSE)</f>
        <v>17</v>
      </c>
      <c r="O170" s="13">
        <f>VLOOKUP(D170,Products!A:E,5,FALSE)</f>
        <v>8</v>
      </c>
      <c r="P170" s="13" t="str">
        <f>VLOOKUP(C170,Customers!A:C,3,FALSE)</f>
        <v>Consumer</v>
      </c>
      <c r="Q170" s="13">
        <f t="shared" si="8"/>
        <v>30.6</v>
      </c>
      <c r="R170" s="13">
        <f t="shared" si="9"/>
        <v>16</v>
      </c>
      <c r="S170" s="13">
        <f t="shared" si="10"/>
        <v>14.600000000000001</v>
      </c>
      <c r="T170" s="14">
        <f t="shared" si="11"/>
        <v>0.47712418300653597</v>
      </c>
    </row>
    <row r="171" spans="1:20">
      <c r="A171" t="s">
        <v>875</v>
      </c>
      <c r="B171" s="8">
        <v>45881</v>
      </c>
      <c r="C171" t="s">
        <v>679</v>
      </c>
      <c r="D171" t="s">
        <v>50</v>
      </c>
      <c r="E171" t="s">
        <v>705</v>
      </c>
      <c r="F171" t="s">
        <v>702</v>
      </c>
      <c r="G171">
        <v>1</v>
      </c>
      <c r="H171" s="9">
        <v>0.2</v>
      </c>
      <c r="I171" t="s">
        <v>703</v>
      </c>
      <c r="J171">
        <v>2</v>
      </c>
      <c r="K171">
        <v>5</v>
      </c>
      <c r="L171" t="str">
        <f>VLOOKUP(D171,Products!A:E,2,FALSE)</f>
        <v>Keyboard</v>
      </c>
      <c r="M171" t="str">
        <f>VLOOKUP(D171,Products!A:E,3,FALSE)</f>
        <v>Technology</v>
      </c>
      <c r="N171">
        <f>VLOOKUP(D171,Products!A:E,4,FALSE)</f>
        <v>75</v>
      </c>
      <c r="O171" s="13">
        <f>VLOOKUP(D171,Products!A:E,5,FALSE)</f>
        <v>38</v>
      </c>
      <c r="P171" s="13" t="str">
        <f>VLOOKUP(C171,Customers!A:C,3,FALSE)</f>
        <v>Consumer</v>
      </c>
      <c r="Q171" s="13">
        <f t="shared" si="8"/>
        <v>60</v>
      </c>
      <c r="R171" s="13">
        <f t="shared" si="9"/>
        <v>38</v>
      </c>
      <c r="S171" s="13">
        <f t="shared" si="10"/>
        <v>22</v>
      </c>
      <c r="T171" s="14">
        <f t="shared" si="11"/>
        <v>0.36666666666666664</v>
      </c>
    </row>
    <row r="172" spans="1:20">
      <c r="A172" t="s">
        <v>876</v>
      </c>
      <c r="B172" s="8">
        <v>45951</v>
      </c>
      <c r="C172" t="s">
        <v>505</v>
      </c>
      <c r="D172" t="s">
        <v>56</v>
      </c>
      <c r="E172" t="s">
        <v>701</v>
      </c>
      <c r="F172" t="s">
        <v>698</v>
      </c>
      <c r="G172">
        <v>8</v>
      </c>
      <c r="H172" s="9">
        <v>0.05</v>
      </c>
      <c r="I172" t="s">
        <v>699</v>
      </c>
      <c r="J172">
        <v>5</v>
      </c>
      <c r="K172">
        <v>4</v>
      </c>
      <c r="L172" t="str">
        <f>VLOOKUP(D172,Products!A:E,2,FALSE)</f>
        <v>Headset</v>
      </c>
      <c r="M172" t="str">
        <f>VLOOKUP(D172,Products!A:E,3,FALSE)</f>
        <v>Technology</v>
      </c>
      <c r="N172">
        <f>VLOOKUP(D172,Products!A:E,4,FALSE)</f>
        <v>98</v>
      </c>
      <c r="O172" s="13">
        <f>VLOOKUP(D172,Products!A:E,5,FALSE)</f>
        <v>46</v>
      </c>
      <c r="P172" s="13" t="str">
        <f>VLOOKUP(C172,Customers!A:C,3,FALSE)</f>
        <v>Small Business</v>
      </c>
      <c r="Q172" s="13">
        <f t="shared" si="8"/>
        <v>744.8</v>
      </c>
      <c r="R172" s="13">
        <f t="shared" si="9"/>
        <v>368</v>
      </c>
      <c r="S172" s="13">
        <f t="shared" si="10"/>
        <v>376.79999999999995</v>
      </c>
      <c r="T172" s="14">
        <f t="shared" si="11"/>
        <v>0.50590762620837804</v>
      </c>
    </row>
    <row r="173" spans="1:20">
      <c r="A173" t="s">
        <v>877</v>
      </c>
      <c r="B173" s="8">
        <v>46117</v>
      </c>
      <c r="C173" t="s">
        <v>473</v>
      </c>
      <c r="D173" t="s">
        <v>72</v>
      </c>
      <c r="E173" t="s">
        <v>705</v>
      </c>
      <c r="F173" t="s">
        <v>706</v>
      </c>
      <c r="G173">
        <v>5</v>
      </c>
      <c r="H173" s="9">
        <v>0</v>
      </c>
      <c r="I173" t="s">
        <v>699</v>
      </c>
      <c r="J173">
        <v>3</v>
      </c>
      <c r="K173">
        <v>5</v>
      </c>
      <c r="L173" t="str">
        <f>VLOOKUP(D173,Products!A:E,2,FALSE)</f>
        <v>Phone Charger</v>
      </c>
      <c r="M173" t="str">
        <f>VLOOKUP(D173,Products!A:E,3,FALSE)</f>
        <v>Accessories</v>
      </c>
      <c r="N173">
        <f>VLOOKUP(D173,Products!A:E,4,FALSE)</f>
        <v>32</v>
      </c>
      <c r="O173" s="13">
        <f>VLOOKUP(D173,Products!A:E,5,FALSE)</f>
        <v>13</v>
      </c>
      <c r="P173" s="13" t="str">
        <f>VLOOKUP(C173,Customers!A:C,3,FALSE)</f>
        <v>Small Business</v>
      </c>
      <c r="Q173" s="13">
        <f t="shared" si="8"/>
        <v>160</v>
      </c>
      <c r="R173" s="13">
        <f t="shared" si="9"/>
        <v>65</v>
      </c>
      <c r="S173" s="13">
        <f t="shared" si="10"/>
        <v>95</v>
      </c>
      <c r="T173" s="14">
        <f t="shared" si="11"/>
        <v>0.59375</v>
      </c>
    </row>
    <row r="174" spans="1:20">
      <c r="A174" t="s">
        <v>878</v>
      </c>
      <c r="B174" s="8">
        <v>46060</v>
      </c>
      <c r="C174" t="s">
        <v>627</v>
      </c>
      <c r="D174" t="s">
        <v>54</v>
      </c>
      <c r="E174" t="s">
        <v>701</v>
      </c>
      <c r="F174" t="s">
        <v>702</v>
      </c>
      <c r="G174">
        <v>1</v>
      </c>
      <c r="H174" s="9">
        <v>0</v>
      </c>
      <c r="I174" t="s">
        <v>699</v>
      </c>
      <c r="J174">
        <v>5</v>
      </c>
      <c r="K174">
        <v>5</v>
      </c>
      <c r="L174" t="str">
        <f>VLOOKUP(D174,Products!A:E,2,FALSE)</f>
        <v>Webcam</v>
      </c>
      <c r="M174" t="str">
        <f>VLOOKUP(D174,Products!A:E,3,FALSE)</f>
        <v>Technology</v>
      </c>
      <c r="N174">
        <f>VLOOKUP(D174,Products!A:E,4,FALSE)</f>
        <v>115</v>
      </c>
      <c r="O174" s="13">
        <f>VLOOKUP(D174,Products!A:E,5,FALSE)</f>
        <v>58</v>
      </c>
      <c r="P174" s="13" t="str">
        <f>VLOOKUP(C174,Customers!A:C,3,FALSE)</f>
        <v>Small Business</v>
      </c>
      <c r="Q174" s="13">
        <f t="shared" si="8"/>
        <v>115</v>
      </c>
      <c r="R174" s="13">
        <f t="shared" si="9"/>
        <v>58</v>
      </c>
      <c r="S174" s="13">
        <f t="shared" si="10"/>
        <v>57</v>
      </c>
      <c r="T174" s="14">
        <f t="shared" si="11"/>
        <v>0.4956521739130435</v>
      </c>
    </row>
    <row r="175" spans="1:20">
      <c r="A175" t="s">
        <v>879</v>
      </c>
      <c r="B175" s="8">
        <v>46092</v>
      </c>
      <c r="C175" t="s">
        <v>631</v>
      </c>
      <c r="D175" t="s">
        <v>72</v>
      </c>
      <c r="E175" t="s">
        <v>697</v>
      </c>
      <c r="F175" t="s">
        <v>702</v>
      </c>
      <c r="G175">
        <v>2</v>
      </c>
      <c r="H175" s="9">
        <v>0</v>
      </c>
      <c r="I175" t="s">
        <v>703</v>
      </c>
      <c r="J175">
        <v>5</v>
      </c>
      <c r="K175">
        <v>2</v>
      </c>
      <c r="L175" t="str">
        <f>VLOOKUP(D175,Products!A:E,2,FALSE)</f>
        <v>Phone Charger</v>
      </c>
      <c r="M175" t="str">
        <f>VLOOKUP(D175,Products!A:E,3,FALSE)</f>
        <v>Accessories</v>
      </c>
      <c r="N175">
        <f>VLOOKUP(D175,Products!A:E,4,FALSE)</f>
        <v>32</v>
      </c>
      <c r="O175" s="13">
        <f>VLOOKUP(D175,Products!A:E,5,FALSE)</f>
        <v>13</v>
      </c>
      <c r="P175" s="13" t="str">
        <f>VLOOKUP(C175,Customers!A:C,3,FALSE)</f>
        <v>Corporate</v>
      </c>
      <c r="Q175" s="13">
        <f t="shared" si="8"/>
        <v>64</v>
      </c>
      <c r="R175" s="13">
        <f t="shared" si="9"/>
        <v>26</v>
      </c>
      <c r="S175" s="13">
        <f t="shared" si="10"/>
        <v>38</v>
      </c>
      <c r="T175" s="14">
        <f t="shared" si="11"/>
        <v>0.59375</v>
      </c>
    </row>
    <row r="176" spans="1:20">
      <c r="A176" t="s">
        <v>880</v>
      </c>
      <c r="B176" s="8">
        <v>46087</v>
      </c>
      <c r="C176" t="s">
        <v>103</v>
      </c>
      <c r="D176" t="s">
        <v>61</v>
      </c>
      <c r="E176" t="s">
        <v>705</v>
      </c>
      <c r="F176" t="s">
        <v>702</v>
      </c>
      <c r="G176">
        <v>1</v>
      </c>
      <c r="H176" s="9">
        <v>0.05</v>
      </c>
      <c r="I176" t="s">
        <v>699</v>
      </c>
      <c r="J176">
        <v>2</v>
      </c>
      <c r="K176">
        <v>5</v>
      </c>
      <c r="L176" t="str">
        <f>VLOOKUP(D176,Products!A:E,2,FALSE)</f>
        <v>Office Chair</v>
      </c>
      <c r="M176" t="str">
        <f>VLOOKUP(D176,Products!A:E,3,FALSE)</f>
        <v>Furniture</v>
      </c>
      <c r="N176">
        <f>VLOOKUP(D176,Products!A:E,4,FALSE)</f>
        <v>255</v>
      </c>
      <c r="O176" s="13">
        <f>VLOOKUP(D176,Products!A:E,5,FALSE)</f>
        <v>145</v>
      </c>
      <c r="P176" s="13" t="str">
        <f>VLOOKUP(C176,Customers!A:C,3,FALSE)</f>
        <v>Consumer</v>
      </c>
      <c r="Q176" s="13">
        <f t="shared" si="8"/>
        <v>242.25</v>
      </c>
      <c r="R176" s="13">
        <f t="shared" si="9"/>
        <v>145</v>
      </c>
      <c r="S176" s="13">
        <f t="shared" si="10"/>
        <v>97.25</v>
      </c>
      <c r="T176" s="14">
        <f t="shared" si="11"/>
        <v>0.40144478844169246</v>
      </c>
    </row>
    <row r="177" spans="1:20">
      <c r="A177" t="s">
        <v>881</v>
      </c>
      <c r="B177" s="8">
        <v>46107</v>
      </c>
      <c r="C177" t="s">
        <v>325</v>
      </c>
      <c r="D177" t="s">
        <v>58</v>
      </c>
      <c r="E177" t="s">
        <v>701</v>
      </c>
      <c r="F177" t="s">
        <v>698</v>
      </c>
      <c r="G177">
        <v>1</v>
      </c>
      <c r="H177" s="9">
        <v>0.2</v>
      </c>
      <c r="I177" t="s">
        <v>699</v>
      </c>
      <c r="J177">
        <v>5</v>
      </c>
      <c r="K177">
        <v>5</v>
      </c>
      <c r="L177" t="str">
        <f>VLOOKUP(D177,Products!A:E,2,FALSE)</f>
        <v>Standing Desk</v>
      </c>
      <c r="M177" t="str">
        <f>VLOOKUP(D177,Products!A:E,3,FALSE)</f>
        <v>Furniture</v>
      </c>
      <c r="N177">
        <f>VLOOKUP(D177,Products!A:E,4,FALSE)</f>
        <v>540</v>
      </c>
      <c r="O177" s="13">
        <f>VLOOKUP(D177,Products!A:E,5,FALSE)</f>
        <v>320</v>
      </c>
      <c r="P177" s="13" t="str">
        <f>VLOOKUP(C177,Customers!A:C,3,FALSE)</f>
        <v>Consumer</v>
      </c>
      <c r="Q177" s="13">
        <f t="shared" si="8"/>
        <v>432</v>
      </c>
      <c r="R177" s="13">
        <f t="shared" si="9"/>
        <v>320</v>
      </c>
      <c r="S177" s="13">
        <f t="shared" si="10"/>
        <v>112</v>
      </c>
      <c r="T177" s="14">
        <f t="shared" si="11"/>
        <v>0.25925925925925924</v>
      </c>
    </row>
    <row r="178" spans="1:20">
      <c r="A178" t="s">
        <v>882</v>
      </c>
      <c r="B178" s="8">
        <v>45984</v>
      </c>
      <c r="C178" t="s">
        <v>677</v>
      </c>
      <c r="D178" t="s">
        <v>68</v>
      </c>
      <c r="E178" t="s">
        <v>708</v>
      </c>
      <c r="F178" t="s">
        <v>706</v>
      </c>
      <c r="G178">
        <v>8</v>
      </c>
      <c r="H178" s="9">
        <v>0.05</v>
      </c>
      <c r="I178" t="s">
        <v>699</v>
      </c>
      <c r="J178">
        <v>4</v>
      </c>
      <c r="K178">
        <v>5</v>
      </c>
      <c r="L178" t="str">
        <f>VLOOKUP(D178,Products!A:E,2,FALSE)</f>
        <v>Backpack</v>
      </c>
      <c r="M178" t="str">
        <f>VLOOKUP(D178,Products!A:E,3,FALSE)</f>
        <v>Accessories</v>
      </c>
      <c r="N178">
        <f>VLOOKUP(D178,Products!A:E,4,FALSE)</f>
        <v>85</v>
      </c>
      <c r="O178" s="13">
        <f>VLOOKUP(D178,Products!A:E,5,FALSE)</f>
        <v>39</v>
      </c>
      <c r="P178" s="13" t="str">
        <f>VLOOKUP(C178,Customers!A:C,3,FALSE)</f>
        <v>Corporate</v>
      </c>
      <c r="Q178" s="13">
        <f t="shared" si="8"/>
        <v>646</v>
      </c>
      <c r="R178" s="13">
        <f t="shared" si="9"/>
        <v>312</v>
      </c>
      <c r="S178" s="13">
        <f t="shared" si="10"/>
        <v>334</v>
      </c>
      <c r="T178" s="14">
        <f t="shared" si="11"/>
        <v>0.51702786377708976</v>
      </c>
    </row>
    <row r="179" spans="1:20">
      <c r="A179" t="s">
        <v>883</v>
      </c>
      <c r="B179" s="8">
        <v>46263</v>
      </c>
      <c r="C179" t="s">
        <v>265</v>
      </c>
      <c r="D179" t="s">
        <v>74</v>
      </c>
      <c r="E179" t="s">
        <v>715</v>
      </c>
      <c r="F179" t="s">
        <v>702</v>
      </c>
      <c r="G179">
        <v>2</v>
      </c>
      <c r="H179" s="9">
        <v>0.05</v>
      </c>
      <c r="I179" t="s">
        <v>699</v>
      </c>
      <c r="J179">
        <v>4</v>
      </c>
      <c r="K179">
        <v>4</v>
      </c>
      <c r="L179" t="str">
        <f>VLOOKUP(D179,Products!A:E,2,FALSE)</f>
        <v>Printer Paper</v>
      </c>
      <c r="M179" t="str">
        <f>VLOOKUP(D179,Products!A:E,3,FALSE)</f>
        <v>Office Supplies</v>
      </c>
      <c r="N179">
        <f>VLOOKUP(D179,Products!A:E,4,FALSE)</f>
        <v>17</v>
      </c>
      <c r="O179" s="13">
        <f>VLOOKUP(D179,Products!A:E,5,FALSE)</f>
        <v>8</v>
      </c>
      <c r="P179" s="13" t="str">
        <f>VLOOKUP(C179,Customers!A:C,3,FALSE)</f>
        <v>Consumer</v>
      </c>
      <c r="Q179" s="13">
        <f t="shared" si="8"/>
        <v>32.299999999999997</v>
      </c>
      <c r="R179" s="13">
        <f t="shared" si="9"/>
        <v>16</v>
      </c>
      <c r="S179" s="13">
        <f t="shared" si="10"/>
        <v>16.299999999999997</v>
      </c>
      <c r="T179" s="14">
        <f t="shared" si="11"/>
        <v>0.50464396284829716</v>
      </c>
    </row>
    <row r="180" spans="1:20">
      <c r="A180" t="s">
        <v>884</v>
      </c>
      <c r="B180" s="8">
        <v>46076</v>
      </c>
      <c r="C180" t="s">
        <v>239</v>
      </c>
      <c r="D180" t="s">
        <v>65</v>
      </c>
      <c r="E180" t="s">
        <v>708</v>
      </c>
      <c r="F180" t="s">
        <v>698</v>
      </c>
      <c r="G180">
        <v>2</v>
      </c>
      <c r="H180" s="9">
        <v>0.15</v>
      </c>
      <c r="I180" t="s">
        <v>699</v>
      </c>
      <c r="J180">
        <v>5</v>
      </c>
      <c r="K180">
        <v>4</v>
      </c>
      <c r="L180" t="str">
        <f>VLOOKUP(D180,Products!A:E,2,FALSE)</f>
        <v>Laptop Stand</v>
      </c>
      <c r="M180" t="str">
        <f>VLOOKUP(D180,Products!A:E,3,FALSE)</f>
        <v>Accessories</v>
      </c>
      <c r="N180">
        <f>VLOOKUP(D180,Products!A:E,4,FALSE)</f>
        <v>48</v>
      </c>
      <c r="O180" s="13">
        <f>VLOOKUP(D180,Products!A:E,5,FALSE)</f>
        <v>22</v>
      </c>
      <c r="P180" s="13" t="str">
        <f>VLOOKUP(C180,Customers!A:C,3,FALSE)</f>
        <v>Small Business</v>
      </c>
      <c r="Q180" s="13">
        <f t="shared" si="8"/>
        <v>81.599999999999994</v>
      </c>
      <c r="R180" s="13">
        <f t="shared" si="9"/>
        <v>44</v>
      </c>
      <c r="S180" s="13">
        <f t="shared" si="10"/>
        <v>37.599999999999994</v>
      </c>
      <c r="T180" s="14">
        <f t="shared" si="11"/>
        <v>0.46078431372549017</v>
      </c>
    </row>
    <row r="181" spans="1:20">
      <c r="A181" t="s">
        <v>885</v>
      </c>
      <c r="B181" s="8">
        <v>45717</v>
      </c>
      <c r="C181" t="s">
        <v>661</v>
      </c>
      <c r="D181" t="s">
        <v>74</v>
      </c>
      <c r="E181" t="s">
        <v>697</v>
      </c>
      <c r="F181" t="s">
        <v>698</v>
      </c>
      <c r="G181">
        <v>1</v>
      </c>
      <c r="H181" s="9">
        <v>0</v>
      </c>
      <c r="I181" t="s">
        <v>699</v>
      </c>
      <c r="J181">
        <v>5</v>
      </c>
      <c r="K181">
        <v>4</v>
      </c>
      <c r="L181" t="str">
        <f>VLOOKUP(D181,Products!A:E,2,FALSE)</f>
        <v>Printer Paper</v>
      </c>
      <c r="M181" t="str">
        <f>VLOOKUP(D181,Products!A:E,3,FALSE)</f>
        <v>Office Supplies</v>
      </c>
      <c r="N181">
        <f>VLOOKUP(D181,Products!A:E,4,FALSE)</f>
        <v>17</v>
      </c>
      <c r="O181" s="13">
        <f>VLOOKUP(D181,Products!A:E,5,FALSE)</f>
        <v>8</v>
      </c>
      <c r="P181" s="13" t="str">
        <f>VLOOKUP(C181,Customers!A:C,3,FALSE)</f>
        <v>Consumer</v>
      </c>
      <c r="Q181" s="13">
        <f t="shared" si="8"/>
        <v>17</v>
      </c>
      <c r="R181" s="13">
        <f t="shared" si="9"/>
        <v>8</v>
      </c>
      <c r="S181" s="13">
        <f t="shared" si="10"/>
        <v>9</v>
      </c>
      <c r="T181" s="14">
        <f t="shared" si="11"/>
        <v>0.52941176470588236</v>
      </c>
    </row>
    <row r="182" spans="1:20">
      <c r="A182" t="s">
        <v>886</v>
      </c>
      <c r="B182" s="8">
        <v>46037</v>
      </c>
      <c r="C182" t="s">
        <v>181</v>
      </c>
      <c r="D182" t="s">
        <v>58</v>
      </c>
      <c r="E182" t="s">
        <v>705</v>
      </c>
      <c r="F182" t="s">
        <v>702</v>
      </c>
      <c r="G182">
        <v>3</v>
      </c>
      <c r="H182" s="9">
        <v>0</v>
      </c>
      <c r="I182" t="s">
        <v>699</v>
      </c>
      <c r="J182">
        <v>5</v>
      </c>
      <c r="K182">
        <v>5</v>
      </c>
      <c r="L182" t="str">
        <f>VLOOKUP(D182,Products!A:E,2,FALSE)</f>
        <v>Standing Desk</v>
      </c>
      <c r="M182" t="str">
        <f>VLOOKUP(D182,Products!A:E,3,FALSE)</f>
        <v>Furniture</v>
      </c>
      <c r="N182">
        <f>VLOOKUP(D182,Products!A:E,4,FALSE)</f>
        <v>540</v>
      </c>
      <c r="O182" s="13">
        <f>VLOOKUP(D182,Products!A:E,5,FALSE)</f>
        <v>320</v>
      </c>
      <c r="P182" s="13" t="str">
        <f>VLOOKUP(C182,Customers!A:C,3,FALSE)</f>
        <v>Consumer</v>
      </c>
      <c r="Q182" s="13">
        <f t="shared" si="8"/>
        <v>1620</v>
      </c>
      <c r="R182" s="13">
        <f t="shared" si="9"/>
        <v>960</v>
      </c>
      <c r="S182" s="13">
        <f t="shared" si="10"/>
        <v>660</v>
      </c>
      <c r="T182" s="14">
        <f t="shared" si="11"/>
        <v>0.40740740740740738</v>
      </c>
    </row>
    <row r="183" spans="1:20">
      <c r="A183" t="s">
        <v>887</v>
      </c>
      <c r="B183" s="8">
        <v>46230</v>
      </c>
      <c r="C183" t="s">
        <v>309</v>
      </c>
      <c r="D183" t="s">
        <v>79</v>
      </c>
      <c r="E183" t="s">
        <v>705</v>
      </c>
      <c r="F183" t="s">
        <v>706</v>
      </c>
      <c r="G183">
        <v>1</v>
      </c>
      <c r="H183" s="9">
        <v>0.15</v>
      </c>
      <c r="I183" t="s">
        <v>699</v>
      </c>
      <c r="J183">
        <v>3</v>
      </c>
      <c r="K183">
        <v>1</v>
      </c>
      <c r="L183" t="str">
        <f>VLOOKUP(D183,Products!A:E,2,FALSE)</f>
        <v>Desk Organiser</v>
      </c>
      <c r="M183" t="str">
        <f>VLOOKUP(D183,Products!A:E,3,FALSE)</f>
        <v>Office Supplies</v>
      </c>
      <c r="N183">
        <f>VLOOKUP(D183,Products!A:E,4,FALSE)</f>
        <v>28</v>
      </c>
      <c r="O183" s="13">
        <f>VLOOKUP(D183,Products!A:E,5,FALSE)</f>
        <v>12</v>
      </c>
      <c r="P183" s="13" t="str">
        <f>VLOOKUP(C183,Customers!A:C,3,FALSE)</f>
        <v>Consumer</v>
      </c>
      <c r="Q183" s="13">
        <f t="shared" si="8"/>
        <v>23.8</v>
      </c>
      <c r="R183" s="13">
        <f t="shared" si="9"/>
        <v>12</v>
      </c>
      <c r="S183" s="13">
        <f t="shared" si="10"/>
        <v>11.8</v>
      </c>
      <c r="T183" s="14">
        <f t="shared" si="11"/>
        <v>0.49579831932773111</v>
      </c>
    </row>
    <row r="184" spans="1:20">
      <c r="A184" t="s">
        <v>888</v>
      </c>
      <c r="B184" s="8">
        <v>46148</v>
      </c>
      <c r="C184" t="s">
        <v>335</v>
      </c>
      <c r="D184" t="s">
        <v>58</v>
      </c>
      <c r="E184" t="s">
        <v>708</v>
      </c>
      <c r="F184" t="s">
        <v>702</v>
      </c>
      <c r="G184">
        <v>2</v>
      </c>
      <c r="H184" s="9">
        <v>0</v>
      </c>
      <c r="I184" t="s">
        <v>699</v>
      </c>
      <c r="J184">
        <v>5</v>
      </c>
      <c r="K184">
        <v>3</v>
      </c>
      <c r="L184" t="str">
        <f>VLOOKUP(D184,Products!A:E,2,FALSE)</f>
        <v>Standing Desk</v>
      </c>
      <c r="M184" t="str">
        <f>VLOOKUP(D184,Products!A:E,3,FALSE)</f>
        <v>Furniture</v>
      </c>
      <c r="N184">
        <f>VLOOKUP(D184,Products!A:E,4,FALSE)</f>
        <v>540</v>
      </c>
      <c r="O184" s="13">
        <f>VLOOKUP(D184,Products!A:E,5,FALSE)</f>
        <v>320</v>
      </c>
      <c r="P184" s="13" t="str">
        <f>VLOOKUP(C184,Customers!A:C,3,FALSE)</f>
        <v>Consumer</v>
      </c>
      <c r="Q184" s="13">
        <f t="shared" si="8"/>
        <v>1080</v>
      </c>
      <c r="R184" s="13">
        <f t="shared" si="9"/>
        <v>640</v>
      </c>
      <c r="S184" s="13">
        <f t="shared" si="10"/>
        <v>440</v>
      </c>
      <c r="T184" s="14">
        <f t="shared" si="11"/>
        <v>0.40740740740740738</v>
      </c>
    </row>
    <row r="185" spans="1:20">
      <c r="A185" t="s">
        <v>889</v>
      </c>
      <c r="B185" s="8">
        <v>45925</v>
      </c>
      <c r="C185" t="s">
        <v>455</v>
      </c>
      <c r="D185" t="s">
        <v>79</v>
      </c>
      <c r="E185" t="s">
        <v>715</v>
      </c>
      <c r="F185" t="s">
        <v>698</v>
      </c>
      <c r="G185">
        <v>4</v>
      </c>
      <c r="H185" s="9">
        <v>0.1</v>
      </c>
      <c r="I185" t="s">
        <v>699</v>
      </c>
      <c r="J185">
        <v>3</v>
      </c>
      <c r="K185">
        <v>3</v>
      </c>
      <c r="L185" t="str">
        <f>VLOOKUP(D185,Products!A:E,2,FALSE)</f>
        <v>Desk Organiser</v>
      </c>
      <c r="M185" t="str">
        <f>VLOOKUP(D185,Products!A:E,3,FALSE)</f>
        <v>Office Supplies</v>
      </c>
      <c r="N185">
        <f>VLOOKUP(D185,Products!A:E,4,FALSE)</f>
        <v>28</v>
      </c>
      <c r="O185" s="13">
        <f>VLOOKUP(D185,Products!A:E,5,FALSE)</f>
        <v>12</v>
      </c>
      <c r="P185" s="13" t="str">
        <f>VLOOKUP(C185,Customers!A:C,3,FALSE)</f>
        <v>Consumer</v>
      </c>
      <c r="Q185" s="13">
        <f t="shared" si="8"/>
        <v>100.8</v>
      </c>
      <c r="R185" s="13">
        <f t="shared" si="9"/>
        <v>48</v>
      </c>
      <c r="S185" s="13">
        <f t="shared" si="10"/>
        <v>52.8</v>
      </c>
      <c r="T185" s="14">
        <f t="shared" si="11"/>
        <v>0.52380952380952384</v>
      </c>
    </row>
    <row r="186" spans="1:20">
      <c r="A186" t="s">
        <v>890</v>
      </c>
      <c r="B186" s="8">
        <v>46081</v>
      </c>
      <c r="C186" t="s">
        <v>133</v>
      </c>
      <c r="D186" t="s">
        <v>61</v>
      </c>
      <c r="E186" t="s">
        <v>701</v>
      </c>
      <c r="F186" t="s">
        <v>702</v>
      </c>
      <c r="G186">
        <v>3</v>
      </c>
      <c r="H186" s="9">
        <v>0.05</v>
      </c>
      <c r="I186" t="s">
        <v>699</v>
      </c>
      <c r="J186">
        <v>4</v>
      </c>
      <c r="K186">
        <v>2</v>
      </c>
      <c r="L186" t="str">
        <f>VLOOKUP(D186,Products!A:E,2,FALSE)</f>
        <v>Office Chair</v>
      </c>
      <c r="M186" t="str">
        <f>VLOOKUP(D186,Products!A:E,3,FALSE)</f>
        <v>Furniture</v>
      </c>
      <c r="N186">
        <f>VLOOKUP(D186,Products!A:E,4,FALSE)</f>
        <v>255</v>
      </c>
      <c r="O186" s="13">
        <f>VLOOKUP(D186,Products!A:E,5,FALSE)</f>
        <v>145</v>
      </c>
      <c r="P186" s="13" t="str">
        <f>VLOOKUP(C186,Customers!A:C,3,FALSE)</f>
        <v>Consumer</v>
      </c>
      <c r="Q186" s="13">
        <f t="shared" si="8"/>
        <v>726.75</v>
      </c>
      <c r="R186" s="13">
        <f t="shared" si="9"/>
        <v>435</v>
      </c>
      <c r="S186" s="13">
        <f t="shared" si="10"/>
        <v>291.75</v>
      </c>
      <c r="T186" s="14">
        <f t="shared" si="11"/>
        <v>0.40144478844169246</v>
      </c>
    </row>
    <row r="187" spans="1:20">
      <c r="A187" t="s">
        <v>891</v>
      </c>
      <c r="B187" s="8">
        <v>45995</v>
      </c>
      <c r="C187" t="s">
        <v>321</v>
      </c>
      <c r="D187" t="s">
        <v>72</v>
      </c>
      <c r="E187" t="s">
        <v>715</v>
      </c>
      <c r="F187" t="s">
        <v>702</v>
      </c>
      <c r="G187">
        <v>3</v>
      </c>
      <c r="H187" s="9">
        <v>0.2</v>
      </c>
      <c r="I187" t="s">
        <v>699</v>
      </c>
      <c r="J187">
        <v>5</v>
      </c>
      <c r="K187">
        <v>4</v>
      </c>
      <c r="L187" t="str">
        <f>VLOOKUP(D187,Products!A:E,2,FALSE)</f>
        <v>Phone Charger</v>
      </c>
      <c r="M187" t="str">
        <f>VLOOKUP(D187,Products!A:E,3,FALSE)</f>
        <v>Accessories</v>
      </c>
      <c r="N187">
        <f>VLOOKUP(D187,Products!A:E,4,FALSE)</f>
        <v>32</v>
      </c>
      <c r="O187" s="13">
        <f>VLOOKUP(D187,Products!A:E,5,FALSE)</f>
        <v>13</v>
      </c>
      <c r="P187" s="13" t="str">
        <f>VLOOKUP(C187,Customers!A:C,3,FALSE)</f>
        <v>Corporate</v>
      </c>
      <c r="Q187" s="13">
        <f t="shared" si="8"/>
        <v>76.800000000000011</v>
      </c>
      <c r="R187" s="13">
        <f t="shared" si="9"/>
        <v>39</v>
      </c>
      <c r="S187" s="13">
        <f t="shared" si="10"/>
        <v>37.800000000000011</v>
      </c>
      <c r="T187" s="14">
        <f t="shared" si="11"/>
        <v>0.49218750000000006</v>
      </c>
    </row>
    <row r="188" spans="1:20">
      <c r="A188" t="s">
        <v>892</v>
      </c>
      <c r="B188" s="8">
        <v>46160</v>
      </c>
      <c r="C188" t="s">
        <v>557</v>
      </c>
      <c r="D188" t="s">
        <v>56</v>
      </c>
      <c r="E188" t="s">
        <v>701</v>
      </c>
      <c r="F188" t="s">
        <v>702</v>
      </c>
      <c r="G188">
        <v>1</v>
      </c>
      <c r="H188" s="9">
        <v>0.05</v>
      </c>
      <c r="I188" t="s">
        <v>699</v>
      </c>
      <c r="J188">
        <v>5</v>
      </c>
      <c r="K188">
        <v>1</v>
      </c>
      <c r="L188" t="str">
        <f>VLOOKUP(D188,Products!A:E,2,FALSE)</f>
        <v>Headset</v>
      </c>
      <c r="M188" t="str">
        <f>VLOOKUP(D188,Products!A:E,3,FALSE)</f>
        <v>Technology</v>
      </c>
      <c r="N188">
        <f>VLOOKUP(D188,Products!A:E,4,FALSE)</f>
        <v>98</v>
      </c>
      <c r="O188" s="13">
        <f>VLOOKUP(D188,Products!A:E,5,FALSE)</f>
        <v>46</v>
      </c>
      <c r="P188" s="13" t="str">
        <f>VLOOKUP(C188,Customers!A:C,3,FALSE)</f>
        <v>Consumer</v>
      </c>
      <c r="Q188" s="13">
        <f t="shared" si="8"/>
        <v>93.1</v>
      </c>
      <c r="R188" s="13">
        <f t="shared" si="9"/>
        <v>46</v>
      </c>
      <c r="S188" s="13">
        <f t="shared" si="10"/>
        <v>47.099999999999994</v>
      </c>
      <c r="T188" s="14">
        <f t="shared" si="11"/>
        <v>0.50590762620837804</v>
      </c>
    </row>
    <row r="189" spans="1:20">
      <c r="A189" t="s">
        <v>893</v>
      </c>
      <c r="B189" s="8">
        <v>46194</v>
      </c>
      <c r="C189" t="s">
        <v>121</v>
      </c>
      <c r="D189" t="s">
        <v>50</v>
      </c>
      <c r="E189" t="s">
        <v>697</v>
      </c>
      <c r="F189" t="s">
        <v>698</v>
      </c>
      <c r="G189">
        <v>4</v>
      </c>
      <c r="H189" s="9">
        <v>0</v>
      </c>
      <c r="I189" t="s">
        <v>699</v>
      </c>
      <c r="J189">
        <v>3</v>
      </c>
      <c r="K189">
        <v>2</v>
      </c>
      <c r="L189" t="str">
        <f>VLOOKUP(D189,Products!A:E,2,FALSE)</f>
        <v>Keyboard</v>
      </c>
      <c r="M189" t="str">
        <f>VLOOKUP(D189,Products!A:E,3,FALSE)</f>
        <v>Technology</v>
      </c>
      <c r="N189">
        <f>VLOOKUP(D189,Products!A:E,4,FALSE)</f>
        <v>75</v>
      </c>
      <c r="O189" s="13">
        <f>VLOOKUP(D189,Products!A:E,5,FALSE)</f>
        <v>38</v>
      </c>
      <c r="P189" s="13" t="str">
        <f>VLOOKUP(C189,Customers!A:C,3,FALSE)</f>
        <v>Corporate</v>
      </c>
      <c r="Q189" s="13">
        <f t="shared" si="8"/>
        <v>300</v>
      </c>
      <c r="R189" s="13">
        <f t="shared" si="9"/>
        <v>152</v>
      </c>
      <c r="S189" s="13">
        <f t="shared" si="10"/>
        <v>148</v>
      </c>
      <c r="T189" s="14">
        <f t="shared" si="11"/>
        <v>0.49333333333333335</v>
      </c>
    </row>
    <row r="190" spans="1:20">
      <c r="A190" t="s">
        <v>894</v>
      </c>
      <c r="B190" s="8">
        <v>45667</v>
      </c>
      <c r="C190" t="s">
        <v>309</v>
      </c>
      <c r="D190" t="s">
        <v>77</v>
      </c>
      <c r="E190" t="s">
        <v>708</v>
      </c>
      <c r="F190" t="s">
        <v>698</v>
      </c>
      <c r="G190">
        <v>3</v>
      </c>
      <c r="H190" s="9">
        <v>0.05</v>
      </c>
      <c r="I190" t="s">
        <v>699</v>
      </c>
      <c r="J190">
        <v>4</v>
      </c>
      <c r="K190">
        <v>1</v>
      </c>
      <c r="L190" t="str">
        <f>VLOOKUP(D190,Products!A:E,2,FALSE)</f>
        <v>File Folder Pack</v>
      </c>
      <c r="M190" t="str">
        <f>VLOOKUP(D190,Products!A:E,3,FALSE)</f>
        <v>Office Supplies</v>
      </c>
      <c r="N190">
        <f>VLOOKUP(D190,Products!A:E,4,FALSE)</f>
        <v>23</v>
      </c>
      <c r="O190" s="13">
        <f>VLOOKUP(D190,Products!A:E,5,FALSE)</f>
        <v>10</v>
      </c>
      <c r="P190" s="13" t="str">
        <f>VLOOKUP(C190,Customers!A:C,3,FALSE)</f>
        <v>Consumer</v>
      </c>
      <c r="Q190" s="13">
        <f t="shared" si="8"/>
        <v>65.55</v>
      </c>
      <c r="R190" s="13">
        <f t="shared" si="9"/>
        <v>30</v>
      </c>
      <c r="S190" s="13">
        <f t="shared" si="10"/>
        <v>35.549999999999997</v>
      </c>
      <c r="T190" s="14">
        <f t="shared" si="11"/>
        <v>0.54233409610983985</v>
      </c>
    </row>
    <row r="191" spans="1:20">
      <c r="A191" t="s">
        <v>895</v>
      </c>
      <c r="B191" s="8">
        <v>46202</v>
      </c>
      <c r="C191" t="s">
        <v>651</v>
      </c>
      <c r="D191" t="s">
        <v>74</v>
      </c>
      <c r="E191" t="s">
        <v>705</v>
      </c>
      <c r="F191" t="s">
        <v>698</v>
      </c>
      <c r="G191">
        <v>1</v>
      </c>
      <c r="H191" s="9">
        <v>0.2</v>
      </c>
      <c r="I191" t="s">
        <v>699</v>
      </c>
      <c r="J191">
        <v>5</v>
      </c>
      <c r="K191">
        <v>4</v>
      </c>
      <c r="L191" t="str">
        <f>VLOOKUP(D191,Products!A:E,2,FALSE)</f>
        <v>Printer Paper</v>
      </c>
      <c r="M191" t="str">
        <f>VLOOKUP(D191,Products!A:E,3,FALSE)</f>
        <v>Office Supplies</v>
      </c>
      <c r="N191">
        <f>VLOOKUP(D191,Products!A:E,4,FALSE)</f>
        <v>17</v>
      </c>
      <c r="O191" s="13">
        <f>VLOOKUP(D191,Products!A:E,5,FALSE)</f>
        <v>8</v>
      </c>
      <c r="P191" s="13" t="str">
        <f>VLOOKUP(C191,Customers!A:C,3,FALSE)</f>
        <v>Corporate</v>
      </c>
      <c r="Q191" s="13">
        <f t="shared" si="8"/>
        <v>13.600000000000001</v>
      </c>
      <c r="R191" s="13">
        <f t="shared" si="9"/>
        <v>8</v>
      </c>
      <c r="S191" s="13">
        <f t="shared" si="10"/>
        <v>5.6000000000000014</v>
      </c>
      <c r="T191" s="14">
        <f t="shared" si="11"/>
        <v>0.41176470588235298</v>
      </c>
    </row>
    <row r="192" spans="1:20">
      <c r="A192" t="s">
        <v>896</v>
      </c>
      <c r="B192" s="8">
        <v>45841</v>
      </c>
      <c r="C192" t="s">
        <v>195</v>
      </c>
      <c r="D192" t="s">
        <v>52</v>
      </c>
      <c r="E192" t="s">
        <v>715</v>
      </c>
      <c r="F192" t="s">
        <v>702</v>
      </c>
      <c r="G192">
        <v>3</v>
      </c>
      <c r="H192" s="9">
        <v>0</v>
      </c>
      <c r="I192" t="s">
        <v>699</v>
      </c>
      <c r="J192">
        <v>5</v>
      </c>
      <c r="K192">
        <v>1</v>
      </c>
      <c r="L192" t="str">
        <f>VLOOKUP(D192,Products!A:E,2,FALSE)</f>
        <v>Mouse</v>
      </c>
      <c r="M192" t="str">
        <f>VLOOKUP(D192,Products!A:E,3,FALSE)</f>
        <v>Technology</v>
      </c>
      <c r="N192">
        <f>VLOOKUP(D192,Products!A:E,4,FALSE)</f>
        <v>42</v>
      </c>
      <c r="O192" s="13">
        <f>VLOOKUP(D192,Products!A:E,5,FALSE)</f>
        <v>19</v>
      </c>
      <c r="P192" s="13" t="str">
        <f>VLOOKUP(C192,Customers!A:C,3,FALSE)</f>
        <v>Corporate</v>
      </c>
      <c r="Q192" s="13">
        <f t="shared" si="8"/>
        <v>126</v>
      </c>
      <c r="R192" s="13">
        <f t="shared" si="9"/>
        <v>57</v>
      </c>
      <c r="S192" s="13">
        <f t="shared" si="10"/>
        <v>69</v>
      </c>
      <c r="T192" s="14">
        <f t="shared" si="11"/>
        <v>0.54761904761904767</v>
      </c>
    </row>
    <row r="193" spans="1:20">
      <c r="A193" t="s">
        <v>897</v>
      </c>
      <c r="B193" s="8">
        <v>46040</v>
      </c>
      <c r="C193" t="s">
        <v>501</v>
      </c>
      <c r="D193" t="s">
        <v>77</v>
      </c>
      <c r="E193" t="s">
        <v>715</v>
      </c>
      <c r="F193" t="s">
        <v>706</v>
      </c>
      <c r="G193">
        <v>1</v>
      </c>
      <c r="H193" s="9">
        <v>0.1</v>
      </c>
      <c r="I193" t="s">
        <v>699</v>
      </c>
      <c r="J193">
        <v>5</v>
      </c>
      <c r="K193">
        <v>1</v>
      </c>
      <c r="L193" t="str">
        <f>VLOOKUP(D193,Products!A:E,2,FALSE)</f>
        <v>File Folder Pack</v>
      </c>
      <c r="M193" t="str">
        <f>VLOOKUP(D193,Products!A:E,3,FALSE)</f>
        <v>Office Supplies</v>
      </c>
      <c r="N193">
        <f>VLOOKUP(D193,Products!A:E,4,FALSE)</f>
        <v>23</v>
      </c>
      <c r="O193" s="13">
        <f>VLOOKUP(D193,Products!A:E,5,FALSE)</f>
        <v>10</v>
      </c>
      <c r="P193" s="13" t="str">
        <f>VLOOKUP(C193,Customers!A:C,3,FALSE)</f>
        <v>Consumer</v>
      </c>
      <c r="Q193" s="13">
        <f t="shared" si="8"/>
        <v>20.7</v>
      </c>
      <c r="R193" s="13">
        <f t="shared" si="9"/>
        <v>10</v>
      </c>
      <c r="S193" s="13">
        <f t="shared" si="10"/>
        <v>10.7</v>
      </c>
      <c r="T193" s="14">
        <f t="shared" si="11"/>
        <v>0.51690821256038644</v>
      </c>
    </row>
    <row r="194" spans="1:20">
      <c r="A194" t="s">
        <v>898</v>
      </c>
      <c r="B194" s="8">
        <v>45753</v>
      </c>
      <c r="C194" t="s">
        <v>501</v>
      </c>
      <c r="D194" t="s">
        <v>72</v>
      </c>
      <c r="E194" t="s">
        <v>708</v>
      </c>
      <c r="F194" t="s">
        <v>702</v>
      </c>
      <c r="G194">
        <v>3</v>
      </c>
      <c r="H194" s="9">
        <v>0.1</v>
      </c>
      <c r="I194" t="s">
        <v>699</v>
      </c>
      <c r="J194">
        <v>5</v>
      </c>
      <c r="K194">
        <v>3</v>
      </c>
      <c r="L194" t="str">
        <f>VLOOKUP(D194,Products!A:E,2,FALSE)</f>
        <v>Phone Charger</v>
      </c>
      <c r="M194" t="str">
        <f>VLOOKUP(D194,Products!A:E,3,FALSE)</f>
        <v>Accessories</v>
      </c>
      <c r="N194">
        <f>VLOOKUP(D194,Products!A:E,4,FALSE)</f>
        <v>32</v>
      </c>
      <c r="O194" s="13">
        <f>VLOOKUP(D194,Products!A:E,5,FALSE)</f>
        <v>13</v>
      </c>
      <c r="P194" s="13" t="str">
        <f>VLOOKUP(C194,Customers!A:C,3,FALSE)</f>
        <v>Consumer</v>
      </c>
      <c r="Q194" s="13">
        <f t="shared" ref="Q194:Q257" si="12">G194*N194*(1-H194)</f>
        <v>86.4</v>
      </c>
      <c r="R194" s="13">
        <f t="shared" ref="R194:R257" si="13">G194*O194</f>
        <v>39</v>
      </c>
      <c r="S194" s="13">
        <f t="shared" ref="S194:S257" si="14">Q194-R194</f>
        <v>47.400000000000006</v>
      </c>
      <c r="T194" s="14">
        <f t="shared" ref="T194:T257" si="15">IFERROR(S194/Q194,0)</f>
        <v>0.54861111111111116</v>
      </c>
    </row>
    <row r="195" spans="1:20">
      <c r="A195" t="s">
        <v>899</v>
      </c>
      <c r="B195" s="8">
        <v>46237</v>
      </c>
      <c r="C195" t="s">
        <v>183</v>
      </c>
      <c r="D195" t="s">
        <v>48</v>
      </c>
      <c r="E195" t="s">
        <v>708</v>
      </c>
      <c r="F195" t="s">
        <v>706</v>
      </c>
      <c r="G195">
        <v>3</v>
      </c>
      <c r="H195" s="9">
        <v>0.05</v>
      </c>
      <c r="I195" t="s">
        <v>699</v>
      </c>
      <c r="J195">
        <v>5</v>
      </c>
      <c r="K195">
        <v>3</v>
      </c>
      <c r="L195" t="str">
        <f>VLOOKUP(D195,Products!A:E,2,FALSE)</f>
        <v>Monitor</v>
      </c>
      <c r="M195" t="str">
        <f>VLOOKUP(D195,Products!A:E,3,FALSE)</f>
        <v>Technology</v>
      </c>
      <c r="N195">
        <f>VLOOKUP(D195,Products!A:E,4,FALSE)</f>
        <v>310</v>
      </c>
      <c r="O195" s="13">
        <f>VLOOKUP(D195,Products!A:E,5,FALSE)</f>
        <v>190</v>
      </c>
      <c r="P195" s="13" t="str">
        <f>VLOOKUP(C195,Customers!A:C,3,FALSE)</f>
        <v>Corporate</v>
      </c>
      <c r="Q195" s="13">
        <f t="shared" si="12"/>
        <v>883.5</v>
      </c>
      <c r="R195" s="13">
        <f t="shared" si="13"/>
        <v>570</v>
      </c>
      <c r="S195" s="13">
        <f t="shared" si="14"/>
        <v>313.5</v>
      </c>
      <c r="T195" s="14">
        <f t="shared" si="15"/>
        <v>0.35483870967741937</v>
      </c>
    </row>
    <row r="196" spans="1:20">
      <c r="A196" t="s">
        <v>900</v>
      </c>
      <c r="B196" s="8">
        <v>46214</v>
      </c>
      <c r="C196" t="s">
        <v>663</v>
      </c>
      <c r="D196" t="s">
        <v>48</v>
      </c>
      <c r="E196" t="s">
        <v>705</v>
      </c>
      <c r="F196" t="s">
        <v>706</v>
      </c>
      <c r="G196">
        <v>1</v>
      </c>
      <c r="H196" s="9">
        <v>0</v>
      </c>
      <c r="I196" t="s">
        <v>699</v>
      </c>
      <c r="J196">
        <v>5</v>
      </c>
      <c r="K196">
        <v>4</v>
      </c>
      <c r="L196" t="str">
        <f>VLOOKUP(D196,Products!A:E,2,FALSE)</f>
        <v>Monitor</v>
      </c>
      <c r="M196" t="str">
        <f>VLOOKUP(D196,Products!A:E,3,FALSE)</f>
        <v>Technology</v>
      </c>
      <c r="N196">
        <f>VLOOKUP(D196,Products!A:E,4,FALSE)</f>
        <v>310</v>
      </c>
      <c r="O196" s="13">
        <f>VLOOKUP(D196,Products!A:E,5,FALSE)</f>
        <v>190</v>
      </c>
      <c r="P196" s="13" t="str">
        <f>VLOOKUP(C196,Customers!A:C,3,FALSE)</f>
        <v>Consumer</v>
      </c>
      <c r="Q196" s="13">
        <f t="shared" si="12"/>
        <v>310</v>
      </c>
      <c r="R196" s="13">
        <f t="shared" si="13"/>
        <v>190</v>
      </c>
      <c r="S196" s="13">
        <f t="shared" si="14"/>
        <v>120</v>
      </c>
      <c r="T196" s="14">
        <f t="shared" si="15"/>
        <v>0.38709677419354838</v>
      </c>
    </row>
    <row r="197" spans="1:20">
      <c r="A197" t="s">
        <v>901</v>
      </c>
      <c r="B197" s="8">
        <v>45736</v>
      </c>
      <c r="C197" t="s">
        <v>393</v>
      </c>
      <c r="D197" t="s">
        <v>56</v>
      </c>
      <c r="E197" t="s">
        <v>715</v>
      </c>
      <c r="F197" t="s">
        <v>698</v>
      </c>
      <c r="G197">
        <v>5</v>
      </c>
      <c r="H197" s="9">
        <v>0.1</v>
      </c>
      <c r="I197" t="s">
        <v>699</v>
      </c>
      <c r="J197">
        <v>4</v>
      </c>
      <c r="K197">
        <v>2</v>
      </c>
      <c r="L197" t="str">
        <f>VLOOKUP(D197,Products!A:E,2,FALSE)</f>
        <v>Headset</v>
      </c>
      <c r="M197" t="str">
        <f>VLOOKUP(D197,Products!A:E,3,FALSE)</f>
        <v>Technology</v>
      </c>
      <c r="N197">
        <f>VLOOKUP(D197,Products!A:E,4,FALSE)</f>
        <v>98</v>
      </c>
      <c r="O197" s="13">
        <f>VLOOKUP(D197,Products!A:E,5,FALSE)</f>
        <v>46</v>
      </c>
      <c r="P197" s="13" t="str">
        <f>VLOOKUP(C197,Customers!A:C,3,FALSE)</f>
        <v>Corporate</v>
      </c>
      <c r="Q197" s="13">
        <f t="shared" si="12"/>
        <v>441</v>
      </c>
      <c r="R197" s="13">
        <f t="shared" si="13"/>
        <v>230</v>
      </c>
      <c r="S197" s="13">
        <f t="shared" si="14"/>
        <v>211</v>
      </c>
      <c r="T197" s="14">
        <f t="shared" si="15"/>
        <v>0.47845804988662133</v>
      </c>
    </row>
    <row r="198" spans="1:20">
      <c r="A198" t="s">
        <v>902</v>
      </c>
      <c r="B198" s="8">
        <v>45738</v>
      </c>
      <c r="C198" t="s">
        <v>599</v>
      </c>
      <c r="D198" t="s">
        <v>70</v>
      </c>
      <c r="E198" t="s">
        <v>705</v>
      </c>
      <c r="F198" t="s">
        <v>702</v>
      </c>
      <c r="G198">
        <v>5</v>
      </c>
      <c r="H198" s="9">
        <v>0</v>
      </c>
      <c r="I198" t="s">
        <v>699</v>
      </c>
      <c r="J198">
        <v>5</v>
      </c>
      <c r="K198">
        <v>4</v>
      </c>
      <c r="L198" t="str">
        <f>VLOOKUP(D198,Products!A:E,2,FALSE)</f>
        <v>USB-C Hub</v>
      </c>
      <c r="M198" t="str">
        <f>VLOOKUP(D198,Products!A:E,3,FALSE)</f>
        <v>Accessories</v>
      </c>
      <c r="N198">
        <f>VLOOKUP(D198,Products!A:E,4,FALSE)</f>
        <v>68</v>
      </c>
      <c r="O198" s="13">
        <f>VLOOKUP(D198,Products!A:E,5,FALSE)</f>
        <v>31</v>
      </c>
      <c r="P198" s="13" t="str">
        <f>VLOOKUP(C198,Customers!A:C,3,FALSE)</f>
        <v>Consumer</v>
      </c>
      <c r="Q198" s="13">
        <f t="shared" si="12"/>
        <v>340</v>
      </c>
      <c r="R198" s="13">
        <f t="shared" si="13"/>
        <v>155</v>
      </c>
      <c r="S198" s="13">
        <f t="shared" si="14"/>
        <v>185</v>
      </c>
      <c r="T198" s="14">
        <f t="shared" si="15"/>
        <v>0.54411764705882348</v>
      </c>
    </row>
    <row r="199" spans="1:20">
      <c r="A199" t="s">
        <v>903</v>
      </c>
      <c r="B199" s="8">
        <v>45992</v>
      </c>
      <c r="C199" t="s">
        <v>117</v>
      </c>
      <c r="D199" t="s">
        <v>63</v>
      </c>
      <c r="E199" t="s">
        <v>697</v>
      </c>
      <c r="F199" t="s">
        <v>702</v>
      </c>
      <c r="G199">
        <v>1</v>
      </c>
      <c r="H199" s="9">
        <v>0.05</v>
      </c>
      <c r="I199" t="s">
        <v>699</v>
      </c>
      <c r="J199">
        <v>3</v>
      </c>
      <c r="K199">
        <v>5</v>
      </c>
      <c r="L199" t="str">
        <f>VLOOKUP(D199,Products!A:E,2,FALSE)</f>
        <v>Bookshelf</v>
      </c>
      <c r="M199" t="str">
        <f>VLOOKUP(D199,Products!A:E,3,FALSE)</f>
        <v>Furniture</v>
      </c>
      <c r="N199">
        <f>VLOOKUP(D199,Products!A:E,4,FALSE)</f>
        <v>185</v>
      </c>
      <c r="O199" s="13">
        <f>VLOOKUP(D199,Products!A:E,5,FALSE)</f>
        <v>105</v>
      </c>
      <c r="P199" s="13" t="str">
        <f>VLOOKUP(C199,Customers!A:C,3,FALSE)</f>
        <v>Corporate</v>
      </c>
      <c r="Q199" s="13">
        <f t="shared" si="12"/>
        <v>175.75</v>
      </c>
      <c r="R199" s="13">
        <f t="shared" si="13"/>
        <v>105</v>
      </c>
      <c r="S199" s="13">
        <f t="shared" si="14"/>
        <v>70.75</v>
      </c>
      <c r="T199" s="14">
        <f t="shared" si="15"/>
        <v>0.40256045519203415</v>
      </c>
    </row>
    <row r="200" spans="1:20">
      <c r="A200" t="s">
        <v>904</v>
      </c>
      <c r="B200" s="8">
        <v>46047</v>
      </c>
      <c r="C200" t="s">
        <v>173</v>
      </c>
      <c r="D200" t="s">
        <v>65</v>
      </c>
      <c r="E200" t="s">
        <v>697</v>
      </c>
      <c r="F200" t="s">
        <v>698</v>
      </c>
      <c r="G200">
        <v>1</v>
      </c>
      <c r="H200" s="9">
        <v>0</v>
      </c>
      <c r="I200" t="s">
        <v>699</v>
      </c>
      <c r="J200">
        <v>5</v>
      </c>
      <c r="K200">
        <v>4</v>
      </c>
      <c r="L200" t="str">
        <f>VLOOKUP(D200,Products!A:E,2,FALSE)</f>
        <v>Laptop Stand</v>
      </c>
      <c r="M200" t="str">
        <f>VLOOKUP(D200,Products!A:E,3,FALSE)</f>
        <v>Accessories</v>
      </c>
      <c r="N200">
        <f>VLOOKUP(D200,Products!A:E,4,FALSE)</f>
        <v>48</v>
      </c>
      <c r="O200" s="13">
        <f>VLOOKUP(D200,Products!A:E,5,FALSE)</f>
        <v>22</v>
      </c>
      <c r="P200" s="13" t="str">
        <f>VLOOKUP(C200,Customers!A:C,3,FALSE)</f>
        <v>Consumer</v>
      </c>
      <c r="Q200" s="13">
        <f t="shared" si="12"/>
        <v>48</v>
      </c>
      <c r="R200" s="13">
        <f t="shared" si="13"/>
        <v>22</v>
      </c>
      <c r="S200" s="13">
        <f t="shared" si="14"/>
        <v>26</v>
      </c>
      <c r="T200" s="14">
        <f t="shared" si="15"/>
        <v>0.54166666666666663</v>
      </c>
    </row>
    <row r="201" spans="1:20">
      <c r="A201" t="s">
        <v>905</v>
      </c>
      <c r="B201" s="8">
        <v>45982</v>
      </c>
      <c r="C201" t="s">
        <v>455</v>
      </c>
      <c r="D201" t="s">
        <v>52</v>
      </c>
      <c r="E201" t="s">
        <v>705</v>
      </c>
      <c r="F201" t="s">
        <v>706</v>
      </c>
      <c r="G201">
        <v>2</v>
      </c>
      <c r="H201" s="9">
        <v>0.1</v>
      </c>
      <c r="I201" t="s">
        <v>699</v>
      </c>
      <c r="J201">
        <v>2</v>
      </c>
      <c r="K201">
        <v>8</v>
      </c>
      <c r="L201" t="str">
        <f>VLOOKUP(D201,Products!A:E,2,FALSE)</f>
        <v>Mouse</v>
      </c>
      <c r="M201" t="str">
        <f>VLOOKUP(D201,Products!A:E,3,FALSE)</f>
        <v>Technology</v>
      </c>
      <c r="N201">
        <f>VLOOKUP(D201,Products!A:E,4,FALSE)</f>
        <v>42</v>
      </c>
      <c r="O201" s="13">
        <f>VLOOKUP(D201,Products!A:E,5,FALSE)</f>
        <v>19</v>
      </c>
      <c r="P201" s="13" t="str">
        <f>VLOOKUP(C201,Customers!A:C,3,FALSE)</f>
        <v>Consumer</v>
      </c>
      <c r="Q201" s="13">
        <f t="shared" si="12"/>
        <v>75.600000000000009</v>
      </c>
      <c r="R201" s="13">
        <f t="shared" si="13"/>
        <v>38</v>
      </c>
      <c r="S201" s="13">
        <f t="shared" si="14"/>
        <v>37.600000000000009</v>
      </c>
      <c r="T201" s="14">
        <f t="shared" si="15"/>
        <v>0.49735449735449744</v>
      </c>
    </row>
    <row r="202" spans="1:20">
      <c r="A202" t="s">
        <v>906</v>
      </c>
      <c r="B202" s="8">
        <v>46228</v>
      </c>
      <c r="C202" t="s">
        <v>655</v>
      </c>
      <c r="D202" t="s">
        <v>74</v>
      </c>
      <c r="E202" t="s">
        <v>705</v>
      </c>
      <c r="F202" t="s">
        <v>702</v>
      </c>
      <c r="G202">
        <v>3</v>
      </c>
      <c r="H202" s="9">
        <v>0.05</v>
      </c>
      <c r="I202" t="s">
        <v>699</v>
      </c>
      <c r="J202">
        <v>5</v>
      </c>
      <c r="K202">
        <v>1</v>
      </c>
      <c r="L202" t="str">
        <f>VLOOKUP(D202,Products!A:E,2,FALSE)</f>
        <v>Printer Paper</v>
      </c>
      <c r="M202" t="str">
        <f>VLOOKUP(D202,Products!A:E,3,FALSE)</f>
        <v>Office Supplies</v>
      </c>
      <c r="N202">
        <f>VLOOKUP(D202,Products!A:E,4,FALSE)</f>
        <v>17</v>
      </c>
      <c r="O202" s="13">
        <f>VLOOKUP(D202,Products!A:E,5,FALSE)</f>
        <v>8</v>
      </c>
      <c r="P202" s="13" t="str">
        <f>VLOOKUP(C202,Customers!A:C,3,FALSE)</f>
        <v>Consumer</v>
      </c>
      <c r="Q202" s="13">
        <f t="shared" si="12"/>
        <v>48.449999999999996</v>
      </c>
      <c r="R202" s="13">
        <f t="shared" si="13"/>
        <v>24</v>
      </c>
      <c r="S202" s="13">
        <f t="shared" si="14"/>
        <v>24.449999999999996</v>
      </c>
      <c r="T202" s="14">
        <f t="shared" si="15"/>
        <v>0.50464396284829716</v>
      </c>
    </row>
    <row r="203" spans="1:20">
      <c r="A203" t="s">
        <v>907</v>
      </c>
      <c r="B203" s="8">
        <v>45956</v>
      </c>
      <c r="C203" t="s">
        <v>509</v>
      </c>
      <c r="D203" t="s">
        <v>72</v>
      </c>
      <c r="E203" t="s">
        <v>697</v>
      </c>
      <c r="F203" t="s">
        <v>698</v>
      </c>
      <c r="G203">
        <v>3</v>
      </c>
      <c r="H203" s="9">
        <v>0.2</v>
      </c>
      <c r="I203" t="s">
        <v>699</v>
      </c>
      <c r="J203">
        <v>4</v>
      </c>
      <c r="K203">
        <v>4</v>
      </c>
      <c r="L203" t="str">
        <f>VLOOKUP(D203,Products!A:E,2,FALSE)</f>
        <v>Phone Charger</v>
      </c>
      <c r="M203" t="str">
        <f>VLOOKUP(D203,Products!A:E,3,FALSE)</f>
        <v>Accessories</v>
      </c>
      <c r="N203">
        <f>VLOOKUP(D203,Products!A:E,4,FALSE)</f>
        <v>32</v>
      </c>
      <c r="O203" s="13">
        <f>VLOOKUP(D203,Products!A:E,5,FALSE)</f>
        <v>13</v>
      </c>
      <c r="P203" s="13" t="str">
        <f>VLOOKUP(C203,Customers!A:C,3,FALSE)</f>
        <v>Corporate</v>
      </c>
      <c r="Q203" s="13">
        <f t="shared" si="12"/>
        <v>76.800000000000011</v>
      </c>
      <c r="R203" s="13">
        <f t="shared" si="13"/>
        <v>39</v>
      </c>
      <c r="S203" s="13">
        <f t="shared" si="14"/>
        <v>37.800000000000011</v>
      </c>
      <c r="T203" s="14">
        <f t="shared" si="15"/>
        <v>0.49218750000000006</v>
      </c>
    </row>
    <row r="204" spans="1:20">
      <c r="A204" t="s">
        <v>908</v>
      </c>
      <c r="B204" s="8">
        <v>45831</v>
      </c>
      <c r="C204" t="s">
        <v>229</v>
      </c>
      <c r="D204" t="s">
        <v>63</v>
      </c>
      <c r="E204" t="s">
        <v>708</v>
      </c>
      <c r="F204" t="s">
        <v>698</v>
      </c>
      <c r="G204">
        <v>1</v>
      </c>
      <c r="H204" s="9">
        <v>0</v>
      </c>
      <c r="I204" t="s">
        <v>699</v>
      </c>
      <c r="J204">
        <v>4</v>
      </c>
      <c r="K204">
        <v>1</v>
      </c>
      <c r="L204" t="str">
        <f>VLOOKUP(D204,Products!A:E,2,FALSE)</f>
        <v>Bookshelf</v>
      </c>
      <c r="M204" t="str">
        <f>VLOOKUP(D204,Products!A:E,3,FALSE)</f>
        <v>Furniture</v>
      </c>
      <c r="N204">
        <f>VLOOKUP(D204,Products!A:E,4,FALSE)</f>
        <v>185</v>
      </c>
      <c r="O204" s="13">
        <f>VLOOKUP(D204,Products!A:E,5,FALSE)</f>
        <v>105</v>
      </c>
      <c r="P204" s="13" t="str">
        <f>VLOOKUP(C204,Customers!A:C,3,FALSE)</f>
        <v>Small Business</v>
      </c>
      <c r="Q204" s="13">
        <f t="shared" si="12"/>
        <v>185</v>
      </c>
      <c r="R204" s="13">
        <f t="shared" si="13"/>
        <v>105</v>
      </c>
      <c r="S204" s="13">
        <f t="shared" si="14"/>
        <v>80</v>
      </c>
      <c r="T204" s="14">
        <f t="shared" si="15"/>
        <v>0.43243243243243246</v>
      </c>
    </row>
    <row r="205" spans="1:20">
      <c r="A205" t="s">
        <v>909</v>
      </c>
      <c r="B205" s="8">
        <v>46027</v>
      </c>
      <c r="C205" t="s">
        <v>343</v>
      </c>
      <c r="D205" t="s">
        <v>61</v>
      </c>
      <c r="E205" t="s">
        <v>701</v>
      </c>
      <c r="F205" t="s">
        <v>698</v>
      </c>
      <c r="G205">
        <v>3</v>
      </c>
      <c r="H205" s="9">
        <v>0</v>
      </c>
      <c r="I205" t="s">
        <v>699</v>
      </c>
      <c r="J205">
        <v>1</v>
      </c>
      <c r="K205">
        <v>7</v>
      </c>
      <c r="L205" t="str">
        <f>VLOOKUP(D205,Products!A:E,2,FALSE)</f>
        <v>Office Chair</v>
      </c>
      <c r="M205" t="str">
        <f>VLOOKUP(D205,Products!A:E,3,FALSE)</f>
        <v>Furniture</v>
      </c>
      <c r="N205">
        <f>VLOOKUP(D205,Products!A:E,4,FALSE)</f>
        <v>255</v>
      </c>
      <c r="O205" s="13">
        <f>VLOOKUP(D205,Products!A:E,5,FALSE)</f>
        <v>145</v>
      </c>
      <c r="P205" s="13" t="str">
        <f>VLOOKUP(C205,Customers!A:C,3,FALSE)</f>
        <v>Small Business</v>
      </c>
      <c r="Q205" s="13">
        <f t="shared" si="12"/>
        <v>765</v>
      </c>
      <c r="R205" s="13">
        <f t="shared" si="13"/>
        <v>435</v>
      </c>
      <c r="S205" s="13">
        <f t="shared" si="14"/>
        <v>330</v>
      </c>
      <c r="T205" s="14">
        <f t="shared" si="15"/>
        <v>0.43137254901960786</v>
      </c>
    </row>
    <row r="206" spans="1:20">
      <c r="A206" t="s">
        <v>910</v>
      </c>
      <c r="B206" s="8">
        <v>46047</v>
      </c>
      <c r="C206" t="s">
        <v>423</v>
      </c>
      <c r="D206" t="s">
        <v>77</v>
      </c>
      <c r="E206" t="s">
        <v>708</v>
      </c>
      <c r="F206" t="s">
        <v>698</v>
      </c>
      <c r="G206">
        <v>5</v>
      </c>
      <c r="H206" s="9">
        <v>0.2</v>
      </c>
      <c r="I206" t="s">
        <v>699</v>
      </c>
      <c r="J206">
        <v>4</v>
      </c>
      <c r="K206">
        <v>2</v>
      </c>
      <c r="L206" t="str">
        <f>VLOOKUP(D206,Products!A:E,2,FALSE)</f>
        <v>File Folder Pack</v>
      </c>
      <c r="M206" t="str">
        <f>VLOOKUP(D206,Products!A:E,3,FALSE)</f>
        <v>Office Supplies</v>
      </c>
      <c r="N206">
        <f>VLOOKUP(D206,Products!A:E,4,FALSE)</f>
        <v>23</v>
      </c>
      <c r="O206" s="13">
        <f>VLOOKUP(D206,Products!A:E,5,FALSE)</f>
        <v>10</v>
      </c>
      <c r="P206" s="13" t="str">
        <f>VLOOKUP(C206,Customers!A:C,3,FALSE)</f>
        <v>Consumer</v>
      </c>
      <c r="Q206" s="13">
        <f t="shared" si="12"/>
        <v>92</v>
      </c>
      <c r="R206" s="13">
        <f t="shared" si="13"/>
        <v>50</v>
      </c>
      <c r="S206" s="13">
        <f t="shared" si="14"/>
        <v>42</v>
      </c>
      <c r="T206" s="14">
        <f t="shared" si="15"/>
        <v>0.45652173913043476</v>
      </c>
    </row>
    <row r="207" spans="1:20">
      <c r="A207" t="s">
        <v>911</v>
      </c>
      <c r="B207" s="8">
        <v>46148</v>
      </c>
      <c r="C207" t="s">
        <v>407</v>
      </c>
      <c r="D207" t="s">
        <v>56</v>
      </c>
      <c r="E207" t="s">
        <v>697</v>
      </c>
      <c r="F207" t="s">
        <v>706</v>
      </c>
      <c r="G207">
        <v>1</v>
      </c>
      <c r="H207" s="9">
        <v>0.1</v>
      </c>
      <c r="I207" t="s">
        <v>699</v>
      </c>
      <c r="J207">
        <v>4</v>
      </c>
      <c r="K207">
        <v>2</v>
      </c>
      <c r="L207" t="str">
        <f>VLOOKUP(D207,Products!A:E,2,FALSE)</f>
        <v>Headset</v>
      </c>
      <c r="M207" t="str">
        <f>VLOOKUP(D207,Products!A:E,3,FALSE)</f>
        <v>Technology</v>
      </c>
      <c r="N207">
        <f>VLOOKUP(D207,Products!A:E,4,FALSE)</f>
        <v>98</v>
      </c>
      <c r="O207" s="13">
        <f>VLOOKUP(D207,Products!A:E,5,FALSE)</f>
        <v>46</v>
      </c>
      <c r="P207" s="13" t="str">
        <f>VLOOKUP(C207,Customers!A:C,3,FALSE)</f>
        <v>Consumer</v>
      </c>
      <c r="Q207" s="13">
        <f t="shared" si="12"/>
        <v>88.2</v>
      </c>
      <c r="R207" s="13">
        <f t="shared" si="13"/>
        <v>46</v>
      </c>
      <c r="S207" s="13">
        <f t="shared" si="14"/>
        <v>42.2</v>
      </c>
      <c r="T207" s="14">
        <f t="shared" si="15"/>
        <v>0.47845804988662133</v>
      </c>
    </row>
    <row r="208" spans="1:20">
      <c r="A208" t="s">
        <v>912</v>
      </c>
      <c r="B208" s="8">
        <v>45991</v>
      </c>
      <c r="C208" t="s">
        <v>471</v>
      </c>
      <c r="D208" t="s">
        <v>63</v>
      </c>
      <c r="E208" t="s">
        <v>697</v>
      </c>
      <c r="F208" t="s">
        <v>702</v>
      </c>
      <c r="G208">
        <v>1</v>
      </c>
      <c r="H208" s="9">
        <v>0.05</v>
      </c>
      <c r="I208" t="s">
        <v>699</v>
      </c>
      <c r="J208">
        <v>4</v>
      </c>
      <c r="K208">
        <v>5</v>
      </c>
      <c r="L208" t="str">
        <f>VLOOKUP(D208,Products!A:E,2,FALSE)</f>
        <v>Bookshelf</v>
      </c>
      <c r="M208" t="str">
        <f>VLOOKUP(D208,Products!A:E,3,FALSE)</f>
        <v>Furniture</v>
      </c>
      <c r="N208">
        <f>VLOOKUP(D208,Products!A:E,4,FALSE)</f>
        <v>185</v>
      </c>
      <c r="O208" s="13">
        <f>VLOOKUP(D208,Products!A:E,5,FALSE)</f>
        <v>105</v>
      </c>
      <c r="P208" s="13" t="str">
        <f>VLOOKUP(C208,Customers!A:C,3,FALSE)</f>
        <v>Consumer</v>
      </c>
      <c r="Q208" s="13">
        <f t="shared" si="12"/>
        <v>175.75</v>
      </c>
      <c r="R208" s="13">
        <f t="shared" si="13"/>
        <v>105</v>
      </c>
      <c r="S208" s="13">
        <f t="shared" si="14"/>
        <v>70.75</v>
      </c>
      <c r="T208" s="14">
        <f t="shared" si="15"/>
        <v>0.40256045519203415</v>
      </c>
    </row>
    <row r="209" spans="1:20">
      <c r="A209" t="s">
        <v>913</v>
      </c>
      <c r="B209" s="8">
        <v>45685</v>
      </c>
      <c r="C209" t="s">
        <v>559</v>
      </c>
      <c r="D209" t="s">
        <v>58</v>
      </c>
      <c r="E209" t="s">
        <v>715</v>
      </c>
      <c r="F209" t="s">
        <v>702</v>
      </c>
      <c r="G209">
        <v>3</v>
      </c>
      <c r="H209" s="9">
        <v>0.1</v>
      </c>
      <c r="I209" t="s">
        <v>699</v>
      </c>
      <c r="J209">
        <v>4</v>
      </c>
      <c r="K209">
        <v>4</v>
      </c>
      <c r="L209" t="str">
        <f>VLOOKUP(D209,Products!A:E,2,FALSE)</f>
        <v>Standing Desk</v>
      </c>
      <c r="M209" t="str">
        <f>VLOOKUP(D209,Products!A:E,3,FALSE)</f>
        <v>Furniture</v>
      </c>
      <c r="N209">
        <f>VLOOKUP(D209,Products!A:E,4,FALSE)</f>
        <v>540</v>
      </c>
      <c r="O209" s="13">
        <f>VLOOKUP(D209,Products!A:E,5,FALSE)</f>
        <v>320</v>
      </c>
      <c r="P209" s="13" t="str">
        <f>VLOOKUP(C209,Customers!A:C,3,FALSE)</f>
        <v>Small Business</v>
      </c>
      <c r="Q209" s="13">
        <f t="shared" si="12"/>
        <v>1458</v>
      </c>
      <c r="R209" s="13">
        <f t="shared" si="13"/>
        <v>960</v>
      </c>
      <c r="S209" s="13">
        <f t="shared" si="14"/>
        <v>498</v>
      </c>
      <c r="T209" s="14">
        <f t="shared" si="15"/>
        <v>0.34156378600823045</v>
      </c>
    </row>
    <row r="210" spans="1:20">
      <c r="A210" t="s">
        <v>914</v>
      </c>
      <c r="B210" s="8">
        <v>45800</v>
      </c>
      <c r="C210" t="s">
        <v>397</v>
      </c>
      <c r="D210" t="s">
        <v>61</v>
      </c>
      <c r="E210" t="s">
        <v>708</v>
      </c>
      <c r="F210" t="s">
        <v>702</v>
      </c>
      <c r="G210">
        <v>2</v>
      </c>
      <c r="H210" s="9">
        <v>0</v>
      </c>
      <c r="I210" t="s">
        <v>699</v>
      </c>
      <c r="J210">
        <v>4</v>
      </c>
      <c r="K210">
        <v>5</v>
      </c>
      <c r="L210" t="str">
        <f>VLOOKUP(D210,Products!A:E,2,FALSE)</f>
        <v>Office Chair</v>
      </c>
      <c r="M210" t="str">
        <f>VLOOKUP(D210,Products!A:E,3,FALSE)</f>
        <v>Furniture</v>
      </c>
      <c r="N210">
        <f>VLOOKUP(D210,Products!A:E,4,FALSE)</f>
        <v>255</v>
      </c>
      <c r="O210" s="13">
        <f>VLOOKUP(D210,Products!A:E,5,FALSE)</f>
        <v>145</v>
      </c>
      <c r="P210" s="13" t="str">
        <f>VLOOKUP(C210,Customers!A:C,3,FALSE)</f>
        <v>Consumer</v>
      </c>
      <c r="Q210" s="13">
        <f t="shared" si="12"/>
        <v>510</v>
      </c>
      <c r="R210" s="13">
        <f t="shared" si="13"/>
        <v>290</v>
      </c>
      <c r="S210" s="13">
        <f t="shared" si="14"/>
        <v>220</v>
      </c>
      <c r="T210" s="14">
        <f t="shared" si="15"/>
        <v>0.43137254901960786</v>
      </c>
    </row>
    <row r="211" spans="1:20">
      <c r="A211" t="s">
        <v>915</v>
      </c>
      <c r="B211" s="8">
        <v>46068</v>
      </c>
      <c r="C211" t="s">
        <v>633</v>
      </c>
      <c r="D211" t="s">
        <v>74</v>
      </c>
      <c r="E211" t="s">
        <v>715</v>
      </c>
      <c r="F211" t="s">
        <v>698</v>
      </c>
      <c r="G211">
        <v>2</v>
      </c>
      <c r="H211" s="9">
        <v>0.15</v>
      </c>
      <c r="I211" t="s">
        <v>699</v>
      </c>
      <c r="J211">
        <v>5</v>
      </c>
      <c r="K211">
        <v>1</v>
      </c>
      <c r="L211" t="str">
        <f>VLOOKUP(D211,Products!A:E,2,FALSE)</f>
        <v>Printer Paper</v>
      </c>
      <c r="M211" t="str">
        <f>VLOOKUP(D211,Products!A:E,3,FALSE)</f>
        <v>Office Supplies</v>
      </c>
      <c r="N211">
        <f>VLOOKUP(D211,Products!A:E,4,FALSE)</f>
        <v>17</v>
      </c>
      <c r="O211" s="13">
        <f>VLOOKUP(D211,Products!A:E,5,FALSE)</f>
        <v>8</v>
      </c>
      <c r="P211" s="13" t="str">
        <f>VLOOKUP(C211,Customers!A:C,3,FALSE)</f>
        <v>Small Business</v>
      </c>
      <c r="Q211" s="13">
        <f t="shared" si="12"/>
        <v>28.9</v>
      </c>
      <c r="R211" s="13">
        <f t="shared" si="13"/>
        <v>16</v>
      </c>
      <c r="S211" s="13">
        <f t="shared" si="14"/>
        <v>12.899999999999999</v>
      </c>
      <c r="T211" s="14">
        <f t="shared" si="15"/>
        <v>0.44636678200692037</v>
      </c>
    </row>
    <row r="212" spans="1:20">
      <c r="A212" t="s">
        <v>916</v>
      </c>
      <c r="B212" s="8">
        <v>45769</v>
      </c>
      <c r="C212" t="s">
        <v>341</v>
      </c>
      <c r="D212" t="s">
        <v>70</v>
      </c>
      <c r="E212" t="s">
        <v>705</v>
      </c>
      <c r="F212" t="s">
        <v>698</v>
      </c>
      <c r="G212">
        <v>3</v>
      </c>
      <c r="H212" s="9">
        <v>0.05</v>
      </c>
      <c r="I212" t="s">
        <v>699</v>
      </c>
      <c r="J212">
        <v>5</v>
      </c>
      <c r="K212">
        <v>3</v>
      </c>
      <c r="L212" t="str">
        <f>VLOOKUP(D212,Products!A:E,2,FALSE)</f>
        <v>USB-C Hub</v>
      </c>
      <c r="M212" t="str">
        <f>VLOOKUP(D212,Products!A:E,3,FALSE)</f>
        <v>Accessories</v>
      </c>
      <c r="N212">
        <f>VLOOKUP(D212,Products!A:E,4,FALSE)</f>
        <v>68</v>
      </c>
      <c r="O212" s="13">
        <f>VLOOKUP(D212,Products!A:E,5,FALSE)</f>
        <v>31</v>
      </c>
      <c r="P212" s="13" t="str">
        <f>VLOOKUP(C212,Customers!A:C,3,FALSE)</f>
        <v>Small Business</v>
      </c>
      <c r="Q212" s="13">
        <f t="shared" si="12"/>
        <v>193.79999999999998</v>
      </c>
      <c r="R212" s="13">
        <f t="shared" si="13"/>
        <v>93</v>
      </c>
      <c r="S212" s="13">
        <f t="shared" si="14"/>
        <v>100.79999999999998</v>
      </c>
      <c r="T212" s="14">
        <f t="shared" si="15"/>
        <v>0.52012383900928794</v>
      </c>
    </row>
    <row r="213" spans="1:20">
      <c r="A213" t="s">
        <v>917</v>
      </c>
      <c r="B213" s="8">
        <v>46098</v>
      </c>
      <c r="C213" t="s">
        <v>195</v>
      </c>
      <c r="D213" t="s">
        <v>45</v>
      </c>
      <c r="E213" t="s">
        <v>705</v>
      </c>
      <c r="F213" t="s">
        <v>702</v>
      </c>
      <c r="G213">
        <v>4</v>
      </c>
      <c r="H213" s="9">
        <v>0.05</v>
      </c>
      <c r="I213" t="s">
        <v>699</v>
      </c>
      <c r="J213">
        <v>3</v>
      </c>
      <c r="K213">
        <v>3</v>
      </c>
      <c r="L213" t="str">
        <f>VLOOKUP(D213,Products!A:E,2,FALSE)</f>
        <v>Laptop</v>
      </c>
      <c r="M213" t="str">
        <f>VLOOKUP(D213,Products!A:E,3,FALSE)</f>
        <v>Technology</v>
      </c>
      <c r="N213">
        <f>VLOOKUP(D213,Products!A:E,4,FALSE)</f>
        <v>1100</v>
      </c>
      <c r="O213" s="13">
        <f>VLOOKUP(D213,Products!A:E,5,FALSE)</f>
        <v>720</v>
      </c>
      <c r="P213" s="13" t="str">
        <f>VLOOKUP(C213,Customers!A:C,3,FALSE)</f>
        <v>Corporate</v>
      </c>
      <c r="Q213" s="13">
        <f t="shared" si="12"/>
        <v>4180</v>
      </c>
      <c r="R213" s="13">
        <f t="shared" si="13"/>
        <v>2880</v>
      </c>
      <c r="S213" s="13">
        <f t="shared" si="14"/>
        <v>1300</v>
      </c>
      <c r="T213" s="14">
        <f t="shared" si="15"/>
        <v>0.31100478468899523</v>
      </c>
    </row>
    <row r="214" spans="1:20">
      <c r="A214" t="s">
        <v>918</v>
      </c>
      <c r="B214" s="8">
        <v>46058</v>
      </c>
      <c r="C214" t="s">
        <v>561</v>
      </c>
      <c r="D214" t="s">
        <v>54</v>
      </c>
      <c r="E214" t="s">
        <v>708</v>
      </c>
      <c r="F214" t="s">
        <v>702</v>
      </c>
      <c r="G214">
        <v>1</v>
      </c>
      <c r="H214" s="9">
        <v>0</v>
      </c>
      <c r="I214" t="s">
        <v>703</v>
      </c>
      <c r="J214">
        <v>3</v>
      </c>
      <c r="K214">
        <v>5</v>
      </c>
      <c r="L214" t="str">
        <f>VLOOKUP(D214,Products!A:E,2,FALSE)</f>
        <v>Webcam</v>
      </c>
      <c r="M214" t="str">
        <f>VLOOKUP(D214,Products!A:E,3,FALSE)</f>
        <v>Technology</v>
      </c>
      <c r="N214">
        <f>VLOOKUP(D214,Products!A:E,4,FALSE)</f>
        <v>115</v>
      </c>
      <c r="O214" s="13">
        <f>VLOOKUP(D214,Products!A:E,5,FALSE)</f>
        <v>58</v>
      </c>
      <c r="P214" s="13" t="str">
        <f>VLOOKUP(C214,Customers!A:C,3,FALSE)</f>
        <v>Consumer</v>
      </c>
      <c r="Q214" s="13">
        <f t="shared" si="12"/>
        <v>115</v>
      </c>
      <c r="R214" s="13">
        <f t="shared" si="13"/>
        <v>58</v>
      </c>
      <c r="S214" s="13">
        <f t="shared" si="14"/>
        <v>57</v>
      </c>
      <c r="T214" s="14">
        <f t="shared" si="15"/>
        <v>0.4956521739130435</v>
      </c>
    </row>
    <row r="215" spans="1:20">
      <c r="A215" t="s">
        <v>919</v>
      </c>
      <c r="B215" s="8">
        <v>45977</v>
      </c>
      <c r="C215" t="s">
        <v>437</v>
      </c>
      <c r="D215" t="s">
        <v>77</v>
      </c>
      <c r="E215" t="s">
        <v>697</v>
      </c>
      <c r="F215" t="s">
        <v>698</v>
      </c>
      <c r="G215">
        <v>2</v>
      </c>
      <c r="H215" s="9">
        <v>0</v>
      </c>
      <c r="I215" t="s">
        <v>699</v>
      </c>
      <c r="J215">
        <v>4</v>
      </c>
      <c r="K215">
        <v>1</v>
      </c>
      <c r="L215" t="str">
        <f>VLOOKUP(D215,Products!A:E,2,FALSE)</f>
        <v>File Folder Pack</v>
      </c>
      <c r="M215" t="str">
        <f>VLOOKUP(D215,Products!A:E,3,FALSE)</f>
        <v>Office Supplies</v>
      </c>
      <c r="N215">
        <f>VLOOKUP(D215,Products!A:E,4,FALSE)</f>
        <v>23</v>
      </c>
      <c r="O215" s="13">
        <f>VLOOKUP(D215,Products!A:E,5,FALSE)</f>
        <v>10</v>
      </c>
      <c r="P215" s="13" t="str">
        <f>VLOOKUP(C215,Customers!A:C,3,FALSE)</f>
        <v>Consumer</v>
      </c>
      <c r="Q215" s="13">
        <f t="shared" si="12"/>
        <v>46</v>
      </c>
      <c r="R215" s="13">
        <f t="shared" si="13"/>
        <v>20</v>
      </c>
      <c r="S215" s="13">
        <f t="shared" si="14"/>
        <v>26</v>
      </c>
      <c r="T215" s="14">
        <f t="shared" si="15"/>
        <v>0.56521739130434778</v>
      </c>
    </row>
    <row r="216" spans="1:20">
      <c r="A216" t="s">
        <v>920</v>
      </c>
      <c r="B216" s="8">
        <v>45965</v>
      </c>
      <c r="C216" t="s">
        <v>131</v>
      </c>
      <c r="D216" t="s">
        <v>52</v>
      </c>
      <c r="E216" t="s">
        <v>705</v>
      </c>
      <c r="F216" t="s">
        <v>702</v>
      </c>
      <c r="G216">
        <v>1</v>
      </c>
      <c r="H216" s="9">
        <v>0.1</v>
      </c>
      <c r="I216" t="s">
        <v>703</v>
      </c>
      <c r="J216">
        <v>5</v>
      </c>
      <c r="K216">
        <v>7</v>
      </c>
      <c r="L216" t="str">
        <f>VLOOKUP(D216,Products!A:E,2,FALSE)</f>
        <v>Mouse</v>
      </c>
      <c r="M216" t="str">
        <f>VLOOKUP(D216,Products!A:E,3,FALSE)</f>
        <v>Technology</v>
      </c>
      <c r="N216">
        <f>VLOOKUP(D216,Products!A:E,4,FALSE)</f>
        <v>42</v>
      </c>
      <c r="O216" s="13">
        <f>VLOOKUP(D216,Products!A:E,5,FALSE)</f>
        <v>19</v>
      </c>
      <c r="P216" s="13" t="str">
        <f>VLOOKUP(C216,Customers!A:C,3,FALSE)</f>
        <v>Consumer</v>
      </c>
      <c r="Q216" s="13">
        <f t="shared" si="12"/>
        <v>37.800000000000004</v>
      </c>
      <c r="R216" s="13">
        <f t="shared" si="13"/>
        <v>19</v>
      </c>
      <c r="S216" s="13">
        <f t="shared" si="14"/>
        <v>18.800000000000004</v>
      </c>
      <c r="T216" s="14">
        <f t="shared" si="15"/>
        <v>0.49735449735449744</v>
      </c>
    </row>
    <row r="217" spans="1:20">
      <c r="A217" t="s">
        <v>921</v>
      </c>
      <c r="B217" s="8">
        <v>46223</v>
      </c>
      <c r="C217" t="s">
        <v>249</v>
      </c>
      <c r="D217" t="s">
        <v>68</v>
      </c>
      <c r="E217" t="s">
        <v>715</v>
      </c>
      <c r="F217" t="s">
        <v>706</v>
      </c>
      <c r="G217">
        <v>1</v>
      </c>
      <c r="H217" s="9">
        <v>0</v>
      </c>
      <c r="I217" t="s">
        <v>699</v>
      </c>
      <c r="J217">
        <v>5</v>
      </c>
      <c r="K217">
        <v>4</v>
      </c>
      <c r="L217" t="str">
        <f>VLOOKUP(D217,Products!A:E,2,FALSE)</f>
        <v>Backpack</v>
      </c>
      <c r="M217" t="str">
        <f>VLOOKUP(D217,Products!A:E,3,FALSE)</f>
        <v>Accessories</v>
      </c>
      <c r="N217">
        <f>VLOOKUP(D217,Products!A:E,4,FALSE)</f>
        <v>85</v>
      </c>
      <c r="O217" s="13">
        <f>VLOOKUP(D217,Products!A:E,5,FALSE)</f>
        <v>39</v>
      </c>
      <c r="P217" s="13" t="str">
        <f>VLOOKUP(C217,Customers!A:C,3,FALSE)</f>
        <v>Consumer</v>
      </c>
      <c r="Q217" s="13">
        <f t="shared" si="12"/>
        <v>85</v>
      </c>
      <c r="R217" s="13">
        <f t="shared" si="13"/>
        <v>39</v>
      </c>
      <c r="S217" s="13">
        <f t="shared" si="14"/>
        <v>46</v>
      </c>
      <c r="T217" s="14">
        <f t="shared" si="15"/>
        <v>0.54117647058823526</v>
      </c>
    </row>
    <row r="218" spans="1:20">
      <c r="A218" t="s">
        <v>922</v>
      </c>
      <c r="B218" s="8">
        <v>46063</v>
      </c>
      <c r="C218" t="s">
        <v>115</v>
      </c>
      <c r="D218" t="s">
        <v>58</v>
      </c>
      <c r="E218" t="s">
        <v>715</v>
      </c>
      <c r="F218" t="s">
        <v>702</v>
      </c>
      <c r="G218">
        <v>1</v>
      </c>
      <c r="H218" s="9">
        <v>0</v>
      </c>
      <c r="I218" t="s">
        <v>699</v>
      </c>
      <c r="J218">
        <v>5</v>
      </c>
      <c r="K218">
        <v>1</v>
      </c>
      <c r="L218" t="str">
        <f>VLOOKUP(D218,Products!A:E,2,FALSE)</f>
        <v>Standing Desk</v>
      </c>
      <c r="M218" t="str">
        <f>VLOOKUP(D218,Products!A:E,3,FALSE)</f>
        <v>Furniture</v>
      </c>
      <c r="N218">
        <f>VLOOKUP(D218,Products!A:E,4,FALSE)</f>
        <v>540</v>
      </c>
      <c r="O218" s="13">
        <f>VLOOKUP(D218,Products!A:E,5,FALSE)</f>
        <v>320</v>
      </c>
      <c r="P218" s="13" t="str">
        <f>VLOOKUP(C218,Customers!A:C,3,FALSE)</f>
        <v>Corporate</v>
      </c>
      <c r="Q218" s="13">
        <f t="shared" si="12"/>
        <v>540</v>
      </c>
      <c r="R218" s="13">
        <f t="shared" si="13"/>
        <v>320</v>
      </c>
      <c r="S218" s="13">
        <f t="shared" si="14"/>
        <v>220</v>
      </c>
      <c r="T218" s="14">
        <f t="shared" si="15"/>
        <v>0.40740740740740738</v>
      </c>
    </row>
    <row r="219" spans="1:20">
      <c r="A219" t="s">
        <v>923</v>
      </c>
      <c r="B219" s="8">
        <v>46249</v>
      </c>
      <c r="C219" t="s">
        <v>191</v>
      </c>
      <c r="D219" t="s">
        <v>56</v>
      </c>
      <c r="E219" t="s">
        <v>708</v>
      </c>
      <c r="F219" t="s">
        <v>702</v>
      </c>
      <c r="G219">
        <v>1</v>
      </c>
      <c r="H219" s="9">
        <v>0.1</v>
      </c>
      <c r="I219" t="s">
        <v>699</v>
      </c>
      <c r="J219">
        <v>5</v>
      </c>
      <c r="K219">
        <v>3</v>
      </c>
      <c r="L219" t="str">
        <f>VLOOKUP(D219,Products!A:E,2,FALSE)</f>
        <v>Headset</v>
      </c>
      <c r="M219" t="str">
        <f>VLOOKUP(D219,Products!A:E,3,FALSE)</f>
        <v>Technology</v>
      </c>
      <c r="N219">
        <f>VLOOKUP(D219,Products!A:E,4,FALSE)</f>
        <v>98</v>
      </c>
      <c r="O219" s="13">
        <f>VLOOKUP(D219,Products!A:E,5,FALSE)</f>
        <v>46</v>
      </c>
      <c r="P219" s="13" t="str">
        <f>VLOOKUP(C219,Customers!A:C,3,FALSE)</f>
        <v>Consumer</v>
      </c>
      <c r="Q219" s="13">
        <f t="shared" si="12"/>
        <v>88.2</v>
      </c>
      <c r="R219" s="13">
        <f t="shared" si="13"/>
        <v>46</v>
      </c>
      <c r="S219" s="13">
        <f t="shared" si="14"/>
        <v>42.2</v>
      </c>
      <c r="T219" s="14">
        <f t="shared" si="15"/>
        <v>0.47845804988662133</v>
      </c>
    </row>
    <row r="220" spans="1:20">
      <c r="A220" t="s">
        <v>924</v>
      </c>
      <c r="B220" s="8">
        <v>46055</v>
      </c>
      <c r="C220" t="s">
        <v>487</v>
      </c>
      <c r="D220" t="s">
        <v>52</v>
      </c>
      <c r="E220" t="s">
        <v>708</v>
      </c>
      <c r="F220" t="s">
        <v>706</v>
      </c>
      <c r="G220">
        <v>3</v>
      </c>
      <c r="H220" s="9">
        <v>0.1</v>
      </c>
      <c r="I220" t="s">
        <v>699</v>
      </c>
      <c r="J220">
        <v>4</v>
      </c>
      <c r="K220">
        <v>5</v>
      </c>
      <c r="L220" t="str">
        <f>VLOOKUP(D220,Products!A:E,2,FALSE)</f>
        <v>Mouse</v>
      </c>
      <c r="M220" t="str">
        <f>VLOOKUP(D220,Products!A:E,3,FALSE)</f>
        <v>Technology</v>
      </c>
      <c r="N220">
        <f>VLOOKUP(D220,Products!A:E,4,FALSE)</f>
        <v>42</v>
      </c>
      <c r="O220" s="13">
        <f>VLOOKUP(D220,Products!A:E,5,FALSE)</f>
        <v>19</v>
      </c>
      <c r="P220" s="13" t="str">
        <f>VLOOKUP(C220,Customers!A:C,3,FALSE)</f>
        <v>Small Business</v>
      </c>
      <c r="Q220" s="13">
        <f t="shared" si="12"/>
        <v>113.4</v>
      </c>
      <c r="R220" s="13">
        <f t="shared" si="13"/>
        <v>57</v>
      </c>
      <c r="S220" s="13">
        <f t="shared" si="14"/>
        <v>56.400000000000006</v>
      </c>
      <c r="T220" s="14">
        <f t="shared" si="15"/>
        <v>0.49735449735449738</v>
      </c>
    </row>
    <row r="221" spans="1:20">
      <c r="A221" t="s">
        <v>925</v>
      </c>
      <c r="B221" s="8">
        <v>46262</v>
      </c>
      <c r="C221" t="s">
        <v>173</v>
      </c>
      <c r="D221" t="s">
        <v>54</v>
      </c>
      <c r="E221" t="s">
        <v>708</v>
      </c>
      <c r="F221" t="s">
        <v>702</v>
      </c>
      <c r="G221">
        <v>1</v>
      </c>
      <c r="H221" s="9">
        <v>0</v>
      </c>
      <c r="I221" t="s">
        <v>699</v>
      </c>
      <c r="J221">
        <v>4</v>
      </c>
      <c r="K221">
        <v>5</v>
      </c>
      <c r="L221" t="str">
        <f>VLOOKUP(D221,Products!A:E,2,FALSE)</f>
        <v>Webcam</v>
      </c>
      <c r="M221" t="str">
        <f>VLOOKUP(D221,Products!A:E,3,FALSE)</f>
        <v>Technology</v>
      </c>
      <c r="N221">
        <f>VLOOKUP(D221,Products!A:E,4,FALSE)</f>
        <v>115</v>
      </c>
      <c r="O221" s="13">
        <f>VLOOKUP(D221,Products!A:E,5,FALSE)</f>
        <v>58</v>
      </c>
      <c r="P221" s="13" t="str">
        <f>VLOOKUP(C221,Customers!A:C,3,FALSE)</f>
        <v>Consumer</v>
      </c>
      <c r="Q221" s="13">
        <f t="shared" si="12"/>
        <v>115</v>
      </c>
      <c r="R221" s="13">
        <f t="shared" si="13"/>
        <v>58</v>
      </c>
      <c r="S221" s="13">
        <f t="shared" si="14"/>
        <v>57</v>
      </c>
      <c r="T221" s="14">
        <f t="shared" si="15"/>
        <v>0.4956521739130435</v>
      </c>
    </row>
    <row r="222" spans="1:20">
      <c r="A222" t="s">
        <v>926</v>
      </c>
      <c r="B222" s="8">
        <v>45799</v>
      </c>
      <c r="C222" t="s">
        <v>675</v>
      </c>
      <c r="D222" t="s">
        <v>72</v>
      </c>
      <c r="E222" t="s">
        <v>715</v>
      </c>
      <c r="F222" t="s">
        <v>698</v>
      </c>
      <c r="G222">
        <v>2</v>
      </c>
      <c r="H222" s="9">
        <v>0.15</v>
      </c>
      <c r="I222" t="s">
        <v>703</v>
      </c>
      <c r="J222">
        <v>3</v>
      </c>
      <c r="K222">
        <v>6</v>
      </c>
      <c r="L222" t="str">
        <f>VLOOKUP(D222,Products!A:E,2,FALSE)</f>
        <v>Phone Charger</v>
      </c>
      <c r="M222" t="str">
        <f>VLOOKUP(D222,Products!A:E,3,FALSE)</f>
        <v>Accessories</v>
      </c>
      <c r="N222">
        <f>VLOOKUP(D222,Products!A:E,4,FALSE)</f>
        <v>32</v>
      </c>
      <c r="O222" s="13">
        <f>VLOOKUP(D222,Products!A:E,5,FALSE)</f>
        <v>13</v>
      </c>
      <c r="P222" s="13" t="str">
        <f>VLOOKUP(C222,Customers!A:C,3,FALSE)</f>
        <v>Corporate</v>
      </c>
      <c r="Q222" s="13">
        <f t="shared" si="12"/>
        <v>54.4</v>
      </c>
      <c r="R222" s="13">
        <f t="shared" si="13"/>
        <v>26</v>
      </c>
      <c r="S222" s="13">
        <f t="shared" si="14"/>
        <v>28.4</v>
      </c>
      <c r="T222" s="14">
        <f t="shared" si="15"/>
        <v>0.5220588235294118</v>
      </c>
    </row>
    <row r="223" spans="1:20">
      <c r="A223" t="s">
        <v>927</v>
      </c>
      <c r="B223" s="8">
        <v>45953</v>
      </c>
      <c r="C223" t="s">
        <v>229</v>
      </c>
      <c r="D223" t="s">
        <v>56</v>
      </c>
      <c r="E223" t="s">
        <v>708</v>
      </c>
      <c r="F223" t="s">
        <v>702</v>
      </c>
      <c r="G223">
        <v>1</v>
      </c>
      <c r="H223" s="9">
        <v>0</v>
      </c>
      <c r="I223" t="s">
        <v>699</v>
      </c>
      <c r="J223">
        <v>3</v>
      </c>
      <c r="K223">
        <v>4</v>
      </c>
      <c r="L223" t="str">
        <f>VLOOKUP(D223,Products!A:E,2,FALSE)</f>
        <v>Headset</v>
      </c>
      <c r="M223" t="str">
        <f>VLOOKUP(D223,Products!A:E,3,FALSE)</f>
        <v>Technology</v>
      </c>
      <c r="N223">
        <f>VLOOKUP(D223,Products!A:E,4,FALSE)</f>
        <v>98</v>
      </c>
      <c r="O223" s="13">
        <f>VLOOKUP(D223,Products!A:E,5,FALSE)</f>
        <v>46</v>
      </c>
      <c r="P223" s="13" t="str">
        <f>VLOOKUP(C223,Customers!A:C,3,FALSE)</f>
        <v>Small Business</v>
      </c>
      <c r="Q223" s="13">
        <f t="shared" si="12"/>
        <v>98</v>
      </c>
      <c r="R223" s="13">
        <f t="shared" si="13"/>
        <v>46</v>
      </c>
      <c r="S223" s="13">
        <f t="shared" si="14"/>
        <v>52</v>
      </c>
      <c r="T223" s="14">
        <f t="shared" si="15"/>
        <v>0.53061224489795922</v>
      </c>
    </row>
    <row r="224" spans="1:20">
      <c r="A224" t="s">
        <v>928</v>
      </c>
      <c r="B224" s="8">
        <v>46233</v>
      </c>
      <c r="C224" t="s">
        <v>603</v>
      </c>
      <c r="D224" t="s">
        <v>79</v>
      </c>
      <c r="E224" t="s">
        <v>708</v>
      </c>
      <c r="F224" t="s">
        <v>698</v>
      </c>
      <c r="G224">
        <v>4</v>
      </c>
      <c r="H224" s="9">
        <v>0</v>
      </c>
      <c r="I224" t="s">
        <v>699</v>
      </c>
      <c r="J224">
        <v>4</v>
      </c>
      <c r="K224">
        <v>2</v>
      </c>
      <c r="L224" t="str">
        <f>VLOOKUP(D224,Products!A:E,2,FALSE)</f>
        <v>Desk Organiser</v>
      </c>
      <c r="M224" t="str">
        <f>VLOOKUP(D224,Products!A:E,3,FALSE)</f>
        <v>Office Supplies</v>
      </c>
      <c r="N224">
        <f>VLOOKUP(D224,Products!A:E,4,FALSE)</f>
        <v>28</v>
      </c>
      <c r="O224" s="13">
        <f>VLOOKUP(D224,Products!A:E,5,FALSE)</f>
        <v>12</v>
      </c>
      <c r="P224" s="13" t="str">
        <f>VLOOKUP(C224,Customers!A:C,3,FALSE)</f>
        <v>Consumer</v>
      </c>
      <c r="Q224" s="13">
        <f t="shared" si="12"/>
        <v>112</v>
      </c>
      <c r="R224" s="13">
        <f t="shared" si="13"/>
        <v>48</v>
      </c>
      <c r="S224" s="13">
        <f t="shared" si="14"/>
        <v>64</v>
      </c>
      <c r="T224" s="14">
        <f t="shared" si="15"/>
        <v>0.5714285714285714</v>
      </c>
    </row>
    <row r="225" spans="1:20">
      <c r="A225" t="s">
        <v>929</v>
      </c>
      <c r="B225" s="8">
        <v>45957</v>
      </c>
      <c r="C225" t="s">
        <v>119</v>
      </c>
      <c r="D225" t="s">
        <v>63</v>
      </c>
      <c r="E225" t="s">
        <v>708</v>
      </c>
      <c r="F225" t="s">
        <v>702</v>
      </c>
      <c r="G225">
        <v>4</v>
      </c>
      <c r="H225" s="9">
        <v>0.05</v>
      </c>
      <c r="I225" t="s">
        <v>699</v>
      </c>
      <c r="J225">
        <v>4</v>
      </c>
      <c r="K225">
        <v>5</v>
      </c>
      <c r="L225" t="str">
        <f>VLOOKUP(D225,Products!A:E,2,FALSE)</f>
        <v>Bookshelf</v>
      </c>
      <c r="M225" t="str">
        <f>VLOOKUP(D225,Products!A:E,3,FALSE)</f>
        <v>Furniture</v>
      </c>
      <c r="N225">
        <f>VLOOKUP(D225,Products!A:E,4,FALSE)</f>
        <v>185</v>
      </c>
      <c r="O225" s="13">
        <f>VLOOKUP(D225,Products!A:E,5,FALSE)</f>
        <v>105</v>
      </c>
      <c r="P225" s="13" t="str">
        <f>VLOOKUP(C225,Customers!A:C,3,FALSE)</f>
        <v>Consumer</v>
      </c>
      <c r="Q225" s="13">
        <f t="shared" si="12"/>
        <v>703</v>
      </c>
      <c r="R225" s="13">
        <f t="shared" si="13"/>
        <v>420</v>
      </c>
      <c r="S225" s="13">
        <f t="shared" si="14"/>
        <v>283</v>
      </c>
      <c r="T225" s="14">
        <f t="shared" si="15"/>
        <v>0.40256045519203415</v>
      </c>
    </row>
    <row r="226" spans="1:20">
      <c r="A226" t="s">
        <v>930</v>
      </c>
      <c r="B226" s="8">
        <v>45773</v>
      </c>
      <c r="C226" t="s">
        <v>673</v>
      </c>
      <c r="D226" t="s">
        <v>52</v>
      </c>
      <c r="E226" t="s">
        <v>708</v>
      </c>
      <c r="F226" t="s">
        <v>698</v>
      </c>
      <c r="G226">
        <v>8</v>
      </c>
      <c r="H226" s="9">
        <v>0.05</v>
      </c>
      <c r="I226" t="s">
        <v>699</v>
      </c>
      <c r="J226">
        <v>5</v>
      </c>
      <c r="K226">
        <v>4</v>
      </c>
      <c r="L226" t="str">
        <f>VLOOKUP(D226,Products!A:E,2,FALSE)</f>
        <v>Mouse</v>
      </c>
      <c r="M226" t="str">
        <f>VLOOKUP(D226,Products!A:E,3,FALSE)</f>
        <v>Technology</v>
      </c>
      <c r="N226">
        <f>VLOOKUP(D226,Products!A:E,4,FALSE)</f>
        <v>42</v>
      </c>
      <c r="O226" s="13">
        <f>VLOOKUP(D226,Products!A:E,5,FALSE)</f>
        <v>19</v>
      </c>
      <c r="P226" s="13" t="str">
        <f>VLOOKUP(C226,Customers!A:C,3,FALSE)</f>
        <v>Consumer</v>
      </c>
      <c r="Q226" s="13">
        <f t="shared" si="12"/>
        <v>319.2</v>
      </c>
      <c r="R226" s="13">
        <f t="shared" si="13"/>
        <v>152</v>
      </c>
      <c r="S226" s="13">
        <f t="shared" si="14"/>
        <v>167.2</v>
      </c>
      <c r="T226" s="14">
        <f t="shared" si="15"/>
        <v>0.52380952380952384</v>
      </c>
    </row>
    <row r="227" spans="1:20">
      <c r="A227" t="s">
        <v>931</v>
      </c>
      <c r="B227" s="8">
        <v>46217</v>
      </c>
      <c r="C227" t="s">
        <v>309</v>
      </c>
      <c r="D227" t="s">
        <v>74</v>
      </c>
      <c r="E227" t="s">
        <v>705</v>
      </c>
      <c r="F227" t="s">
        <v>706</v>
      </c>
      <c r="G227">
        <v>4</v>
      </c>
      <c r="H227" s="9">
        <v>0</v>
      </c>
      <c r="I227" t="s">
        <v>703</v>
      </c>
      <c r="J227">
        <v>4</v>
      </c>
      <c r="K227">
        <v>4</v>
      </c>
      <c r="L227" t="str">
        <f>VLOOKUP(D227,Products!A:E,2,FALSE)</f>
        <v>Printer Paper</v>
      </c>
      <c r="M227" t="str">
        <f>VLOOKUP(D227,Products!A:E,3,FALSE)</f>
        <v>Office Supplies</v>
      </c>
      <c r="N227">
        <f>VLOOKUP(D227,Products!A:E,4,FALSE)</f>
        <v>17</v>
      </c>
      <c r="O227" s="13">
        <f>VLOOKUP(D227,Products!A:E,5,FALSE)</f>
        <v>8</v>
      </c>
      <c r="P227" s="13" t="str">
        <f>VLOOKUP(C227,Customers!A:C,3,FALSE)</f>
        <v>Consumer</v>
      </c>
      <c r="Q227" s="13">
        <f t="shared" si="12"/>
        <v>68</v>
      </c>
      <c r="R227" s="13">
        <f t="shared" si="13"/>
        <v>32</v>
      </c>
      <c r="S227" s="13">
        <f t="shared" si="14"/>
        <v>36</v>
      </c>
      <c r="T227" s="14">
        <f t="shared" si="15"/>
        <v>0.52941176470588236</v>
      </c>
    </row>
    <row r="228" spans="1:20">
      <c r="A228" t="s">
        <v>932</v>
      </c>
      <c r="B228" s="8">
        <v>46107</v>
      </c>
      <c r="C228" t="s">
        <v>207</v>
      </c>
      <c r="D228" t="s">
        <v>61</v>
      </c>
      <c r="E228" t="s">
        <v>705</v>
      </c>
      <c r="F228" t="s">
        <v>698</v>
      </c>
      <c r="G228">
        <v>3</v>
      </c>
      <c r="H228" s="9">
        <v>0.15</v>
      </c>
      <c r="I228" t="s">
        <v>699</v>
      </c>
      <c r="J228">
        <v>4</v>
      </c>
      <c r="K228">
        <v>5</v>
      </c>
      <c r="L228" t="str">
        <f>VLOOKUP(D228,Products!A:E,2,FALSE)</f>
        <v>Office Chair</v>
      </c>
      <c r="M228" t="str">
        <f>VLOOKUP(D228,Products!A:E,3,FALSE)</f>
        <v>Furniture</v>
      </c>
      <c r="N228">
        <f>VLOOKUP(D228,Products!A:E,4,FALSE)</f>
        <v>255</v>
      </c>
      <c r="O228" s="13">
        <f>VLOOKUP(D228,Products!A:E,5,FALSE)</f>
        <v>145</v>
      </c>
      <c r="P228" s="13" t="str">
        <f>VLOOKUP(C228,Customers!A:C,3,FALSE)</f>
        <v>Small Business</v>
      </c>
      <c r="Q228" s="13">
        <f t="shared" si="12"/>
        <v>650.25</v>
      </c>
      <c r="R228" s="13">
        <f t="shared" si="13"/>
        <v>435</v>
      </c>
      <c r="S228" s="13">
        <f t="shared" si="14"/>
        <v>215.25</v>
      </c>
      <c r="T228" s="14">
        <f t="shared" si="15"/>
        <v>0.33102652825836215</v>
      </c>
    </row>
    <row r="229" spans="1:20">
      <c r="A229" t="s">
        <v>933</v>
      </c>
      <c r="B229" s="8">
        <v>45800</v>
      </c>
      <c r="C229" t="s">
        <v>297</v>
      </c>
      <c r="D229" t="s">
        <v>58</v>
      </c>
      <c r="E229" t="s">
        <v>697</v>
      </c>
      <c r="F229" t="s">
        <v>698</v>
      </c>
      <c r="G229">
        <v>2</v>
      </c>
      <c r="H229" s="9">
        <v>0.05</v>
      </c>
      <c r="I229" t="s">
        <v>699</v>
      </c>
      <c r="J229">
        <v>5</v>
      </c>
      <c r="K229">
        <v>3</v>
      </c>
      <c r="L229" t="str">
        <f>VLOOKUP(D229,Products!A:E,2,FALSE)</f>
        <v>Standing Desk</v>
      </c>
      <c r="M229" t="str">
        <f>VLOOKUP(D229,Products!A:E,3,FALSE)</f>
        <v>Furniture</v>
      </c>
      <c r="N229">
        <f>VLOOKUP(D229,Products!A:E,4,FALSE)</f>
        <v>540</v>
      </c>
      <c r="O229" s="13">
        <f>VLOOKUP(D229,Products!A:E,5,FALSE)</f>
        <v>320</v>
      </c>
      <c r="P229" s="13" t="str">
        <f>VLOOKUP(C229,Customers!A:C,3,FALSE)</f>
        <v>Corporate</v>
      </c>
      <c r="Q229" s="13">
        <f t="shared" si="12"/>
        <v>1026</v>
      </c>
      <c r="R229" s="13">
        <f t="shared" si="13"/>
        <v>640</v>
      </c>
      <c r="S229" s="13">
        <f t="shared" si="14"/>
        <v>386</v>
      </c>
      <c r="T229" s="14">
        <f t="shared" si="15"/>
        <v>0.37621832358674462</v>
      </c>
    </row>
    <row r="230" spans="1:20">
      <c r="A230" t="s">
        <v>934</v>
      </c>
      <c r="B230" s="8">
        <v>45954</v>
      </c>
      <c r="C230" t="s">
        <v>673</v>
      </c>
      <c r="D230" t="s">
        <v>63</v>
      </c>
      <c r="E230" t="s">
        <v>697</v>
      </c>
      <c r="F230" t="s">
        <v>698</v>
      </c>
      <c r="G230">
        <v>6</v>
      </c>
      <c r="H230" s="9">
        <v>0.1</v>
      </c>
      <c r="I230" t="s">
        <v>699</v>
      </c>
      <c r="J230">
        <v>5</v>
      </c>
      <c r="K230">
        <v>4</v>
      </c>
      <c r="L230" t="str">
        <f>VLOOKUP(D230,Products!A:E,2,FALSE)</f>
        <v>Bookshelf</v>
      </c>
      <c r="M230" t="str">
        <f>VLOOKUP(D230,Products!A:E,3,FALSE)</f>
        <v>Furniture</v>
      </c>
      <c r="N230">
        <f>VLOOKUP(D230,Products!A:E,4,FALSE)</f>
        <v>185</v>
      </c>
      <c r="O230" s="13">
        <f>VLOOKUP(D230,Products!A:E,5,FALSE)</f>
        <v>105</v>
      </c>
      <c r="P230" s="13" t="str">
        <f>VLOOKUP(C230,Customers!A:C,3,FALSE)</f>
        <v>Consumer</v>
      </c>
      <c r="Q230" s="13">
        <f t="shared" si="12"/>
        <v>999</v>
      </c>
      <c r="R230" s="13">
        <f t="shared" si="13"/>
        <v>630</v>
      </c>
      <c r="S230" s="13">
        <f t="shared" si="14"/>
        <v>369</v>
      </c>
      <c r="T230" s="14">
        <f t="shared" si="15"/>
        <v>0.36936936936936937</v>
      </c>
    </row>
    <row r="231" spans="1:20">
      <c r="A231" t="s">
        <v>935</v>
      </c>
      <c r="B231" s="8">
        <v>45718</v>
      </c>
      <c r="C231" t="s">
        <v>369</v>
      </c>
      <c r="D231" t="s">
        <v>54</v>
      </c>
      <c r="E231" t="s">
        <v>701</v>
      </c>
      <c r="F231" t="s">
        <v>702</v>
      </c>
      <c r="G231">
        <v>1</v>
      </c>
      <c r="H231" s="9">
        <v>0</v>
      </c>
      <c r="I231" t="s">
        <v>699</v>
      </c>
      <c r="J231">
        <v>5</v>
      </c>
      <c r="K231">
        <v>4</v>
      </c>
      <c r="L231" t="str">
        <f>VLOOKUP(D231,Products!A:E,2,FALSE)</f>
        <v>Webcam</v>
      </c>
      <c r="M231" t="str">
        <f>VLOOKUP(D231,Products!A:E,3,FALSE)</f>
        <v>Technology</v>
      </c>
      <c r="N231">
        <f>VLOOKUP(D231,Products!A:E,4,FALSE)</f>
        <v>115</v>
      </c>
      <c r="O231" s="13">
        <f>VLOOKUP(D231,Products!A:E,5,FALSE)</f>
        <v>58</v>
      </c>
      <c r="P231" s="13" t="str">
        <f>VLOOKUP(C231,Customers!A:C,3,FALSE)</f>
        <v>Corporate</v>
      </c>
      <c r="Q231" s="13">
        <f t="shared" si="12"/>
        <v>115</v>
      </c>
      <c r="R231" s="13">
        <f t="shared" si="13"/>
        <v>58</v>
      </c>
      <c r="S231" s="13">
        <f t="shared" si="14"/>
        <v>57</v>
      </c>
      <c r="T231" s="14">
        <f t="shared" si="15"/>
        <v>0.4956521739130435</v>
      </c>
    </row>
    <row r="232" spans="1:20">
      <c r="A232" t="s">
        <v>936</v>
      </c>
      <c r="B232" s="8">
        <v>46159</v>
      </c>
      <c r="C232" t="s">
        <v>231</v>
      </c>
      <c r="D232" t="s">
        <v>63</v>
      </c>
      <c r="E232" t="s">
        <v>701</v>
      </c>
      <c r="F232" t="s">
        <v>702</v>
      </c>
      <c r="G232">
        <v>1</v>
      </c>
      <c r="H232" s="9">
        <v>0.1</v>
      </c>
      <c r="I232" t="s">
        <v>699</v>
      </c>
      <c r="J232">
        <v>4</v>
      </c>
      <c r="K232">
        <v>3</v>
      </c>
      <c r="L232" t="str">
        <f>VLOOKUP(D232,Products!A:E,2,FALSE)</f>
        <v>Bookshelf</v>
      </c>
      <c r="M232" t="str">
        <f>VLOOKUP(D232,Products!A:E,3,FALSE)</f>
        <v>Furniture</v>
      </c>
      <c r="N232">
        <f>VLOOKUP(D232,Products!A:E,4,FALSE)</f>
        <v>185</v>
      </c>
      <c r="O232" s="13">
        <f>VLOOKUP(D232,Products!A:E,5,FALSE)</f>
        <v>105</v>
      </c>
      <c r="P232" s="13" t="str">
        <f>VLOOKUP(C232,Customers!A:C,3,FALSE)</f>
        <v>Small Business</v>
      </c>
      <c r="Q232" s="13">
        <f t="shared" si="12"/>
        <v>166.5</v>
      </c>
      <c r="R232" s="13">
        <f t="shared" si="13"/>
        <v>105</v>
      </c>
      <c r="S232" s="13">
        <f t="shared" si="14"/>
        <v>61.5</v>
      </c>
      <c r="T232" s="14">
        <f t="shared" si="15"/>
        <v>0.36936936936936937</v>
      </c>
    </row>
    <row r="233" spans="1:20">
      <c r="A233" t="s">
        <v>937</v>
      </c>
      <c r="B233" s="8">
        <v>46035</v>
      </c>
      <c r="C233" t="s">
        <v>551</v>
      </c>
      <c r="D233" t="s">
        <v>79</v>
      </c>
      <c r="E233" t="s">
        <v>708</v>
      </c>
      <c r="F233" t="s">
        <v>702</v>
      </c>
      <c r="G233">
        <v>4</v>
      </c>
      <c r="H233" s="9">
        <v>0.1</v>
      </c>
      <c r="I233" t="s">
        <v>699</v>
      </c>
      <c r="J233">
        <v>4</v>
      </c>
      <c r="K233">
        <v>3</v>
      </c>
      <c r="L233" t="str">
        <f>VLOOKUP(D233,Products!A:E,2,FALSE)</f>
        <v>Desk Organiser</v>
      </c>
      <c r="M233" t="str">
        <f>VLOOKUP(D233,Products!A:E,3,FALSE)</f>
        <v>Office Supplies</v>
      </c>
      <c r="N233">
        <f>VLOOKUP(D233,Products!A:E,4,FALSE)</f>
        <v>28</v>
      </c>
      <c r="O233" s="13">
        <f>VLOOKUP(D233,Products!A:E,5,FALSE)</f>
        <v>12</v>
      </c>
      <c r="P233" s="13" t="str">
        <f>VLOOKUP(C233,Customers!A:C,3,FALSE)</f>
        <v>Corporate</v>
      </c>
      <c r="Q233" s="13">
        <f t="shared" si="12"/>
        <v>100.8</v>
      </c>
      <c r="R233" s="13">
        <f t="shared" si="13"/>
        <v>48</v>
      </c>
      <c r="S233" s="13">
        <f t="shared" si="14"/>
        <v>52.8</v>
      </c>
      <c r="T233" s="14">
        <f t="shared" si="15"/>
        <v>0.52380952380952384</v>
      </c>
    </row>
    <row r="234" spans="1:20">
      <c r="A234" t="s">
        <v>938</v>
      </c>
      <c r="B234" s="8">
        <v>45722</v>
      </c>
      <c r="C234" t="s">
        <v>633</v>
      </c>
      <c r="D234" t="s">
        <v>72</v>
      </c>
      <c r="E234" t="s">
        <v>705</v>
      </c>
      <c r="F234" t="s">
        <v>702</v>
      </c>
      <c r="G234">
        <v>1</v>
      </c>
      <c r="H234" s="9">
        <v>0</v>
      </c>
      <c r="I234" t="s">
        <v>699</v>
      </c>
      <c r="J234">
        <v>4</v>
      </c>
      <c r="K234">
        <v>5</v>
      </c>
      <c r="L234" t="str">
        <f>VLOOKUP(D234,Products!A:E,2,FALSE)</f>
        <v>Phone Charger</v>
      </c>
      <c r="M234" t="str">
        <f>VLOOKUP(D234,Products!A:E,3,FALSE)</f>
        <v>Accessories</v>
      </c>
      <c r="N234">
        <f>VLOOKUP(D234,Products!A:E,4,FALSE)</f>
        <v>32</v>
      </c>
      <c r="O234" s="13">
        <f>VLOOKUP(D234,Products!A:E,5,FALSE)</f>
        <v>13</v>
      </c>
      <c r="P234" s="13" t="str">
        <f>VLOOKUP(C234,Customers!A:C,3,FALSE)</f>
        <v>Small Business</v>
      </c>
      <c r="Q234" s="13">
        <f t="shared" si="12"/>
        <v>32</v>
      </c>
      <c r="R234" s="13">
        <f t="shared" si="13"/>
        <v>13</v>
      </c>
      <c r="S234" s="13">
        <f t="shared" si="14"/>
        <v>19</v>
      </c>
      <c r="T234" s="14">
        <f t="shared" si="15"/>
        <v>0.59375</v>
      </c>
    </row>
    <row r="235" spans="1:20">
      <c r="A235" t="s">
        <v>939</v>
      </c>
      <c r="B235" s="8">
        <v>45791</v>
      </c>
      <c r="C235" t="s">
        <v>665</v>
      </c>
      <c r="D235" t="s">
        <v>79</v>
      </c>
      <c r="E235" t="s">
        <v>697</v>
      </c>
      <c r="F235" t="s">
        <v>706</v>
      </c>
      <c r="G235">
        <v>4</v>
      </c>
      <c r="H235" s="9">
        <v>0</v>
      </c>
      <c r="I235" t="s">
        <v>699</v>
      </c>
      <c r="J235">
        <v>5</v>
      </c>
      <c r="K235">
        <v>1</v>
      </c>
      <c r="L235" t="str">
        <f>VLOOKUP(D235,Products!A:E,2,FALSE)</f>
        <v>Desk Organiser</v>
      </c>
      <c r="M235" t="str">
        <f>VLOOKUP(D235,Products!A:E,3,FALSE)</f>
        <v>Office Supplies</v>
      </c>
      <c r="N235">
        <f>VLOOKUP(D235,Products!A:E,4,FALSE)</f>
        <v>28</v>
      </c>
      <c r="O235" s="13">
        <f>VLOOKUP(D235,Products!A:E,5,FALSE)</f>
        <v>12</v>
      </c>
      <c r="P235" s="13" t="str">
        <f>VLOOKUP(C235,Customers!A:C,3,FALSE)</f>
        <v>Consumer</v>
      </c>
      <c r="Q235" s="13">
        <f t="shared" si="12"/>
        <v>112</v>
      </c>
      <c r="R235" s="13">
        <f t="shared" si="13"/>
        <v>48</v>
      </c>
      <c r="S235" s="13">
        <f t="shared" si="14"/>
        <v>64</v>
      </c>
      <c r="T235" s="14">
        <f t="shared" si="15"/>
        <v>0.5714285714285714</v>
      </c>
    </row>
    <row r="236" spans="1:20">
      <c r="A236" t="s">
        <v>940</v>
      </c>
      <c r="B236" s="8">
        <v>45785</v>
      </c>
      <c r="C236" t="s">
        <v>247</v>
      </c>
      <c r="D236" t="s">
        <v>77</v>
      </c>
      <c r="E236" t="s">
        <v>715</v>
      </c>
      <c r="F236" t="s">
        <v>706</v>
      </c>
      <c r="G236">
        <v>2</v>
      </c>
      <c r="H236" s="9">
        <v>0.2</v>
      </c>
      <c r="I236" t="s">
        <v>699</v>
      </c>
      <c r="J236">
        <v>5</v>
      </c>
      <c r="K236">
        <v>3</v>
      </c>
      <c r="L236" t="str">
        <f>VLOOKUP(D236,Products!A:E,2,FALSE)</f>
        <v>File Folder Pack</v>
      </c>
      <c r="M236" t="str">
        <f>VLOOKUP(D236,Products!A:E,3,FALSE)</f>
        <v>Office Supplies</v>
      </c>
      <c r="N236">
        <f>VLOOKUP(D236,Products!A:E,4,FALSE)</f>
        <v>23</v>
      </c>
      <c r="O236" s="13">
        <f>VLOOKUP(D236,Products!A:E,5,FALSE)</f>
        <v>10</v>
      </c>
      <c r="P236" s="13" t="str">
        <f>VLOOKUP(C236,Customers!A:C,3,FALSE)</f>
        <v>Corporate</v>
      </c>
      <c r="Q236" s="13">
        <f t="shared" si="12"/>
        <v>36.800000000000004</v>
      </c>
      <c r="R236" s="13">
        <f t="shared" si="13"/>
        <v>20</v>
      </c>
      <c r="S236" s="13">
        <f t="shared" si="14"/>
        <v>16.800000000000004</v>
      </c>
      <c r="T236" s="14">
        <f t="shared" si="15"/>
        <v>0.45652173913043487</v>
      </c>
    </row>
    <row r="237" spans="1:20">
      <c r="A237" t="s">
        <v>941</v>
      </c>
      <c r="B237" s="8">
        <v>45820</v>
      </c>
      <c r="C237" t="s">
        <v>367</v>
      </c>
      <c r="D237" t="s">
        <v>50</v>
      </c>
      <c r="E237" t="s">
        <v>701</v>
      </c>
      <c r="F237" t="s">
        <v>702</v>
      </c>
      <c r="G237">
        <v>2</v>
      </c>
      <c r="H237" s="9">
        <v>0.15</v>
      </c>
      <c r="I237" t="s">
        <v>699</v>
      </c>
      <c r="J237">
        <v>4</v>
      </c>
      <c r="K237">
        <v>3</v>
      </c>
      <c r="L237" t="str">
        <f>VLOOKUP(D237,Products!A:E,2,FALSE)</f>
        <v>Keyboard</v>
      </c>
      <c r="M237" t="str">
        <f>VLOOKUP(D237,Products!A:E,3,FALSE)</f>
        <v>Technology</v>
      </c>
      <c r="N237">
        <f>VLOOKUP(D237,Products!A:E,4,FALSE)</f>
        <v>75</v>
      </c>
      <c r="O237" s="13">
        <f>VLOOKUP(D237,Products!A:E,5,FALSE)</f>
        <v>38</v>
      </c>
      <c r="P237" s="13" t="str">
        <f>VLOOKUP(C237,Customers!A:C,3,FALSE)</f>
        <v>Consumer</v>
      </c>
      <c r="Q237" s="13">
        <f t="shared" si="12"/>
        <v>127.5</v>
      </c>
      <c r="R237" s="13">
        <f t="shared" si="13"/>
        <v>76</v>
      </c>
      <c r="S237" s="13">
        <f t="shared" si="14"/>
        <v>51.5</v>
      </c>
      <c r="T237" s="14">
        <f t="shared" si="15"/>
        <v>0.40392156862745099</v>
      </c>
    </row>
    <row r="238" spans="1:20">
      <c r="A238" t="s">
        <v>942</v>
      </c>
      <c r="B238" s="8">
        <v>45897</v>
      </c>
      <c r="C238" t="s">
        <v>525</v>
      </c>
      <c r="D238" t="s">
        <v>50</v>
      </c>
      <c r="E238" t="s">
        <v>701</v>
      </c>
      <c r="F238" t="s">
        <v>702</v>
      </c>
      <c r="G238">
        <v>2</v>
      </c>
      <c r="H238" s="9">
        <v>0</v>
      </c>
      <c r="I238" t="s">
        <v>699</v>
      </c>
      <c r="J238">
        <v>5</v>
      </c>
      <c r="K238">
        <v>1</v>
      </c>
      <c r="L238" t="str">
        <f>VLOOKUP(D238,Products!A:E,2,FALSE)</f>
        <v>Keyboard</v>
      </c>
      <c r="M238" t="str">
        <f>VLOOKUP(D238,Products!A:E,3,FALSE)</f>
        <v>Technology</v>
      </c>
      <c r="N238">
        <f>VLOOKUP(D238,Products!A:E,4,FALSE)</f>
        <v>75</v>
      </c>
      <c r="O238" s="13">
        <f>VLOOKUP(D238,Products!A:E,5,FALSE)</f>
        <v>38</v>
      </c>
      <c r="P238" s="13" t="str">
        <f>VLOOKUP(C238,Customers!A:C,3,FALSE)</f>
        <v>Consumer</v>
      </c>
      <c r="Q238" s="13">
        <f t="shared" si="12"/>
        <v>150</v>
      </c>
      <c r="R238" s="13">
        <f t="shared" si="13"/>
        <v>76</v>
      </c>
      <c r="S238" s="13">
        <f t="shared" si="14"/>
        <v>74</v>
      </c>
      <c r="T238" s="14">
        <f t="shared" si="15"/>
        <v>0.49333333333333335</v>
      </c>
    </row>
    <row r="239" spans="1:20">
      <c r="A239" t="s">
        <v>943</v>
      </c>
      <c r="B239" s="8">
        <v>45666</v>
      </c>
      <c r="C239" t="s">
        <v>437</v>
      </c>
      <c r="D239" t="s">
        <v>52</v>
      </c>
      <c r="E239" t="s">
        <v>697</v>
      </c>
      <c r="F239" t="s">
        <v>702</v>
      </c>
      <c r="G239">
        <v>1</v>
      </c>
      <c r="H239" s="9">
        <v>0</v>
      </c>
      <c r="I239" t="s">
        <v>699</v>
      </c>
      <c r="J239">
        <v>5</v>
      </c>
      <c r="K239">
        <v>1</v>
      </c>
      <c r="L239" t="str">
        <f>VLOOKUP(D239,Products!A:E,2,FALSE)</f>
        <v>Mouse</v>
      </c>
      <c r="M239" t="str">
        <f>VLOOKUP(D239,Products!A:E,3,FALSE)</f>
        <v>Technology</v>
      </c>
      <c r="N239">
        <f>VLOOKUP(D239,Products!A:E,4,FALSE)</f>
        <v>42</v>
      </c>
      <c r="O239" s="13">
        <f>VLOOKUP(D239,Products!A:E,5,FALSE)</f>
        <v>19</v>
      </c>
      <c r="P239" s="13" t="str">
        <f>VLOOKUP(C239,Customers!A:C,3,FALSE)</f>
        <v>Consumer</v>
      </c>
      <c r="Q239" s="13">
        <f t="shared" si="12"/>
        <v>42</v>
      </c>
      <c r="R239" s="13">
        <f t="shared" si="13"/>
        <v>19</v>
      </c>
      <c r="S239" s="13">
        <f t="shared" si="14"/>
        <v>23</v>
      </c>
      <c r="T239" s="14">
        <f t="shared" si="15"/>
        <v>0.54761904761904767</v>
      </c>
    </row>
    <row r="240" spans="1:20">
      <c r="A240" t="s">
        <v>944</v>
      </c>
      <c r="B240" s="8">
        <v>45763</v>
      </c>
      <c r="C240" t="s">
        <v>407</v>
      </c>
      <c r="D240" t="s">
        <v>70</v>
      </c>
      <c r="E240" t="s">
        <v>697</v>
      </c>
      <c r="F240" t="s">
        <v>702</v>
      </c>
      <c r="G240">
        <v>4</v>
      </c>
      <c r="H240" s="9">
        <v>0.1</v>
      </c>
      <c r="I240" t="s">
        <v>699</v>
      </c>
      <c r="J240">
        <v>5</v>
      </c>
      <c r="K240">
        <v>2</v>
      </c>
      <c r="L240" t="str">
        <f>VLOOKUP(D240,Products!A:E,2,FALSE)</f>
        <v>USB-C Hub</v>
      </c>
      <c r="M240" t="str">
        <f>VLOOKUP(D240,Products!A:E,3,FALSE)</f>
        <v>Accessories</v>
      </c>
      <c r="N240">
        <f>VLOOKUP(D240,Products!A:E,4,FALSE)</f>
        <v>68</v>
      </c>
      <c r="O240" s="13">
        <f>VLOOKUP(D240,Products!A:E,5,FALSE)</f>
        <v>31</v>
      </c>
      <c r="P240" s="13" t="str">
        <f>VLOOKUP(C240,Customers!A:C,3,FALSE)</f>
        <v>Consumer</v>
      </c>
      <c r="Q240" s="13">
        <f t="shared" si="12"/>
        <v>244.8</v>
      </c>
      <c r="R240" s="13">
        <f t="shared" si="13"/>
        <v>124</v>
      </c>
      <c r="S240" s="13">
        <f t="shared" si="14"/>
        <v>120.80000000000001</v>
      </c>
      <c r="T240" s="14">
        <f t="shared" si="15"/>
        <v>0.49346405228758172</v>
      </c>
    </row>
    <row r="241" spans="1:20">
      <c r="A241" t="s">
        <v>945</v>
      </c>
      <c r="B241" s="8">
        <v>45728</v>
      </c>
      <c r="C241" t="s">
        <v>629</v>
      </c>
      <c r="D241" t="s">
        <v>45</v>
      </c>
      <c r="E241" t="s">
        <v>701</v>
      </c>
      <c r="F241" t="s">
        <v>702</v>
      </c>
      <c r="G241">
        <v>2</v>
      </c>
      <c r="H241" s="9">
        <v>0</v>
      </c>
      <c r="I241" t="s">
        <v>699</v>
      </c>
      <c r="J241">
        <v>5</v>
      </c>
      <c r="K241">
        <v>5</v>
      </c>
      <c r="L241" t="str">
        <f>VLOOKUP(D241,Products!A:E,2,FALSE)</f>
        <v>Laptop</v>
      </c>
      <c r="M241" t="str">
        <f>VLOOKUP(D241,Products!A:E,3,FALSE)</f>
        <v>Technology</v>
      </c>
      <c r="N241">
        <f>VLOOKUP(D241,Products!A:E,4,FALSE)</f>
        <v>1100</v>
      </c>
      <c r="O241" s="13">
        <f>VLOOKUP(D241,Products!A:E,5,FALSE)</f>
        <v>720</v>
      </c>
      <c r="P241" s="13" t="str">
        <f>VLOOKUP(C241,Customers!A:C,3,FALSE)</f>
        <v>Consumer</v>
      </c>
      <c r="Q241" s="13">
        <f t="shared" si="12"/>
        <v>2200</v>
      </c>
      <c r="R241" s="13">
        <f t="shared" si="13"/>
        <v>1440</v>
      </c>
      <c r="S241" s="13">
        <f t="shared" si="14"/>
        <v>760</v>
      </c>
      <c r="T241" s="14">
        <f t="shared" si="15"/>
        <v>0.34545454545454546</v>
      </c>
    </row>
    <row r="242" spans="1:20">
      <c r="A242" t="s">
        <v>946</v>
      </c>
      <c r="B242" s="8">
        <v>46111</v>
      </c>
      <c r="C242" t="s">
        <v>309</v>
      </c>
      <c r="D242" t="s">
        <v>50</v>
      </c>
      <c r="E242" t="s">
        <v>697</v>
      </c>
      <c r="F242" t="s">
        <v>702</v>
      </c>
      <c r="G242">
        <v>1</v>
      </c>
      <c r="H242" s="9">
        <v>0.1</v>
      </c>
      <c r="I242" t="s">
        <v>699</v>
      </c>
      <c r="J242">
        <v>4</v>
      </c>
      <c r="K242">
        <v>2</v>
      </c>
      <c r="L242" t="str">
        <f>VLOOKUP(D242,Products!A:E,2,FALSE)</f>
        <v>Keyboard</v>
      </c>
      <c r="M242" t="str">
        <f>VLOOKUP(D242,Products!A:E,3,FALSE)</f>
        <v>Technology</v>
      </c>
      <c r="N242">
        <f>VLOOKUP(D242,Products!A:E,4,FALSE)</f>
        <v>75</v>
      </c>
      <c r="O242" s="13">
        <f>VLOOKUP(D242,Products!A:E,5,FALSE)</f>
        <v>38</v>
      </c>
      <c r="P242" s="13" t="str">
        <f>VLOOKUP(C242,Customers!A:C,3,FALSE)</f>
        <v>Consumer</v>
      </c>
      <c r="Q242" s="13">
        <f t="shared" si="12"/>
        <v>67.5</v>
      </c>
      <c r="R242" s="13">
        <f t="shared" si="13"/>
        <v>38</v>
      </c>
      <c r="S242" s="13">
        <f t="shared" si="14"/>
        <v>29.5</v>
      </c>
      <c r="T242" s="14">
        <f t="shared" si="15"/>
        <v>0.43703703703703706</v>
      </c>
    </row>
    <row r="243" spans="1:20">
      <c r="A243" t="s">
        <v>947</v>
      </c>
      <c r="B243" s="8">
        <v>45911</v>
      </c>
      <c r="C243" t="s">
        <v>369</v>
      </c>
      <c r="D243" t="s">
        <v>50</v>
      </c>
      <c r="E243" t="s">
        <v>708</v>
      </c>
      <c r="F243" t="s">
        <v>698</v>
      </c>
      <c r="G243">
        <v>4</v>
      </c>
      <c r="H243" s="9">
        <v>0</v>
      </c>
      <c r="I243" t="s">
        <v>703</v>
      </c>
      <c r="J243">
        <v>1</v>
      </c>
      <c r="K243">
        <v>5</v>
      </c>
      <c r="L243" t="str">
        <f>VLOOKUP(D243,Products!A:E,2,FALSE)</f>
        <v>Keyboard</v>
      </c>
      <c r="M243" t="str">
        <f>VLOOKUP(D243,Products!A:E,3,FALSE)</f>
        <v>Technology</v>
      </c>
      <c r="N243">
        <f>VLOOKUP(D243,Products!A:E,4,FALSE)</f>
        <v>75</v>
      </c>
      <c r="O243" s="13">
        <f>VLOOKUP(D243,Products!A:E,5,FALSE)</f>
        <v>38</v>
      </c>
      <c r="P243" s="13" t="str">
        <f>VLOOKUP(C243,Customers!A:C,3,FALSE)</f>
        <v>Corporate</v>
      </c>
      <c r="Q243" s="13">
        <f t="shared" si="12"/>
        <v>300</v>
      </c>
      <c r="R243" s="13">
        <f t="shared" si="13"/>
        <v>152</v>
      </c>
      <c r="S243" s="13">
        <f t="shared" si="14"/>
        <v>148</v>
      </c>
      <c r="T243" s="14">
        <f t="shared" si="15"/>
        <v>0.49333333333333335</v>
      </c>
    </row>
    <row r="244" spans="1:20">
      <c r="A244" t="s">
        <v>948</v>
      </c>
      <c r="B244" s="8">
        <v>46188</v>
      </c>
      <c r="C244" t="s">
        <v>607</v>
      </c>
      <c r="D244" t="s">
        <v>58</v>
      </c>
      <c r="E244" t="s">
        <v>701</v>
      </c>
      <c r="F244" t="s">
        <v>702</v>
      </c>
      <c r="G244">
        <v>1</v>
      </c>
      <c r="H244" s="9">
        <v>0.15</v>
      </c>
      <c r="I244" t="s">
        <v>703</v>
      </c>
      <c r="J244">
        <v>4</v>
      </c>
      <c r="K244">
        <v>3</v>
      </c>
      <c r="L244" t="str">
        <f>VLOOKUP(D244,Products!A:E,2,FALSE)</f>
        <v>Standing Desk</v>
      </c>
      <c r="M244" t="str">
        <f>VLOOKUP(D244,Products!A:E,3,FALSE)</f>
        <v>Furniture</v>
      </c>
      <c r="N244">
        <f>VLOOKUP(D244,Products!A:E,4,FALSE)</f>
        <v>540</v>
      </c>
      <c r="O244" s="13">
        <f>VLOOKUP(D244,Products!A:E,5,FALSE)</f>
        <v>320</v>
      </c>
      <c r="P244" s="13" t="str">
        <f>VLOOKUP(C244,Customers!A:C,3,FALSE)</f>
        <v>Small Business</v>
      </c>
      <c r="Q244" s="13">
        <f t="shared" si="12"/>
        <v>459</v>
      </c>
      <c r="R244" s="13">
        <f t="shared" si="13"/>
        <v>320</v>
      </c>
      <c r="S244" s="13">
        <f t="shared" si="14"/>
        <v>139</v>
      </c>
      <c r="T244" s="14">
        <f t="shared" si="15"/>
        <v>0.30283224400871461</v>
      </c>
    </row>
    <row r="245" spans="1:20">
      <c r="A245" t="s">
        <v>949</v>
      </c>
      <c r="B245" s="8">
        <v>46169</v>
      </c>
      <c r="C245" t="s">
        <v>159</v>
      </c>
      <c r="D245" t="s">
        <v>45</v>
      </c>
      <c r="E245" t="s">
        <v>697</v>
      </c>
      <c r="F245" t="s">
        <v>706</v>
      </c>
      <c r="G245">
        <v>1</v>
      </c>
      <c r="H245" s="9">
        <v>0.15</v>
      </c>
      <c r="I245" t="s">
        <v>699</v>
      </c>
      <c r="J245">
        <v>4</v>
      </c>
      <c r="K245">
        <v>2</v>
      </c>
      <c r="L245" t="str">
        <f>VLOOKUP(D245,Products!A:E,2,FALSE)</f>
        <v>Laptop</v>
      </c>
      <c r="M245" t="str">
        <f>VLOOKUP(D245,Products!A:E,3,FALSE)</f>
        <v>Technology</v>
      </c>
      <c r="N245">
        <f>VLOOKUP(D245,Products!A:E,4,FALSE)</f>
        <v>1100</v>
      </c>
      <c r="O245" s="13">
        <f>VLOOKUP(D245,Products!A:E,5,FALSE)</f>
        <v>720</v>
      </c>
      <c r="P245" s="13" t="str">
        <f>VLOOKUP(C245,Customers!A:C,3,FALSE)</f>
        <v>Small Business</v>
      </c>
      <c r="Q245" s="13">
        <f t="shared" si="12"/>
        <v>935</v>
      </c>
      <c r="R245" s="13">
        <f t="shared" si="13"/>
        <v>720</v>
      </c>
      <c r="S245" s="13">
        <f t="shared" si="14"/>
        <v>215</v>
      </c>
      <c r="T245" s="14">
        <f t="shared" si="15"/>
        <v>0.22994652406417113</v>
      </c>
    </row>
    <row r="246" spans="1:20">
      <c r="A246" t="s">
        <v>950</v>
      </c>
      <c r="B246" s="8">
        <v>46140</v>
      </c>
      <c r="C246" t="s">
        <v>161</v>
      </c>
      <c r="D246" t="s">
        <v>45</v>
      </c>
      <c r="E246" t="s">
        <v>715</v>
      </c>
      <c r="F246" t="s">
        <v>702</v>
      </c>
      <c r="G246">
        <v>1</v>
      </c>
      <c r="H246" s="9">
        <v>0.15</v>
      </c>
      <c r="I246" t="s">
        <v>703</v>
      </c>
      <c r="J246">
        <v>4</v>
      </c>
      <c r="K246">
        <v>7</v>
      </c>
      <c r="L246" t="str">
        <f>VLOOKUP(D246,Products!A:E,2,FALSE)</f>
        <v>Laptop</v>
      </c>
      <c r="M246" t="str">
        <f>VLOOKUP(D246,Products!A:E,3,FALSE)</f>
        <v>Technology</v>
      </c>
      <c r="N246">
        <f>VLOOKUP(D246,Products!A:E,4,FALSE)</f>
        <v>1100</v>
      </c>
      <c r="O246" s="13">
        <f>VLOOKUP(D246,Products!A:E,5,FALSE)</f>
        <v>720</v>
      </c>
      <c r="P246" s="13" t="str">
        <f>VLOOKUP(C246,Customers!A:C,3,FALSE)</f>
        <v>Corporate</v>
      </c>
      <c r="Q246" s="13">
        <f t="shared" si="12"/>
        <v>935</v>
      </c>
      <c r="R246" s="13">
        <f t="shared" si="13"/>
        <v>720</v>
      </c>
      <c r="S246" s="13">
        <f t="shared" si="14"/>
        <v>215</v>
      </c>
      <c r="T246" s="14">
        <f t="shared" si="15"/>
        <v>0.22994652406417113</v>
      </c>
    </row>
    <row r="247" spans="1:20">
      <c r="A247" t="s">
        <v>951</v>
      </c>
      <c r="B247" s="8">
        <v>46091</v>
      </c>
      <c r="C247" t="s">
        <v>497</v>
      </c>
      <c r="D247" t="s">
        <v>50</v>
      </c>
      <c r="E247" t="s">
        <v>701</v>
      </c>
      <c r="F247" t="s">
        <v>698</v>
      </c>
      <c r="G247">
        <v>1</v>
      </c>
      <c r="H247" s="9">
        <v>0</v>
      </c>
      <c r="I247" t="s">
        <v>699</v>
      </c>
      <c r="J247">
        <v>5</v>
      </c>
      <c r="K247">
        <v>2</v>
      </c>
      <c r="L247" t="str">
        <f>VLOOKUP(D247,Products!A:E,2,FALSE)</f>
        <v>Keyboard</v>
      </c>
      <c r="M247" t="str">
        <f>VLOOKUP(D247,Products!A:E,3,FALSE)</f>
        <v>Technology</v>
      </c>
      <c r="N247">
        <f>VLOOKUP(D247,Products!A:E,4,FALSE)</f>
        <v>75</v>
      </c>
      <c r="O247" s="13">
        <f>VLOOKUP(D247,Products!A:E,5,FALSE)</f>
        <v>38</v>
      </c>
      <c r="P247" s="13" t="str">
        <f>VLOOKUP(C247,Customers!A:C,3,FALSE)</f>
        <v>Consumer</v>
      </c>
      <c r="Q247" s="13">
        <f t="shared" si="12"/>
        <v>75</v>
      </c>
      <c r="R247" s="13">
        <f t="shared" si="13"/>
        <v>38</v>
      </c>
      <c r="S247" s="13">
        <f t="shared" si="14"/>
        <v>37</v>
      </c>
      <c r="T247" s="14">
        <f t="shared" si="15"/>
        <v>0.49333333333333335</v>
      </c>
    </row>
    <row r="248" spans="1:20">
      <c r="A248" t="s">
        <v>952</v>
      </c>
      <c r="B248" s="8">
        <v>46207</v>
      </c>
      <c r="C248" t="s">
        <v>421</v>
      </c>
      <c r="D248" t="s">
        <v>72</v>
      </c>
      <c r="E248" t="s">
        <v>715</v>
      </c>
      <c r="F248" t="s">
        <v>698</v>
      </c>
      <c r="G248">
        <v>3</v>
      </c>
      <c r="H248" s="9">
        <v>0.05</v>
      </c>
      <c r="I248" t="s">
        <v>699</v>
      </c>
      <c r="J248">
        <v>4</v>
      </c>
      <c r="K248">
        <v>2</v>
      </c>
      <c r="L248" t="str">
        <f>VLOOKUP(D248,Products!A:E,2,FALSE)</f>
        <v>Phone Charger</v>
      </c>
      <c r="M248" t="str">
        <f>VLOOKUP(D248,Products!A:E,3,FALSE)</f>
        <v>Accessories</v>
      </c>
      <c r="N248">
        <f>VLOOKUP(D248,Products!A:E,4,FALSE)</f>
        <v>32</v>
      </c>
      <c r="O248" s="13">
        <f>VLOOKUP(D248,Products!A:E,5,FALSE)</f>
        <v>13</v>
      </c>
      <c r="P248" s="13" t="str">
        <f>VLOOKUP(C248,Customers!A:C,3,FALSE)</f>
        <v>Corporate</v>
      </c>
      <c r="Q248" s="13">
        <f t="shared" si="12"/>
        <v>91.199999999999989</v>
      </c>
      <c r="R248" s="13">
        <f t="shared" si="13"/>
        <v>39</v>
      </c>
      <c r="S248" s="13">
        <f t="shared" si="14"/>
        <v>52.199999999999989</v>
      </c>
      <c r="T248" s="14">
        <f t="shared" si="15"/>
        <v>0.57236842105263153</v>
      </c>
    </row>
    <row r="249" spans="1:20">
      <c r="A249" t="s">
        <v>953</v>
      </c>
      <c r="B249" s="8">
        <v>45717</v>
      </c>
      <c r="C249" t="s">
        <v>337</v>
      </c>
      <c r="D249" t="s">
        <v>50</v>
      </c>
      <c r="E249" t="s">
        <v>697</v>
      </c>
      <c r="F249" t="s">
        <v>702</v>
      </c>
      <c r="G249">
        <v>3</v>
      </c>
      <c r="H249" s="9">
        <v>0</v>
      </c>
      <c r="I249" t="s">
        <v>699</v>
      </c>
      <c r="J249">
        <v>5</v>
      </c>
      <c r="K249">
        <v>2</v>
      </c>
      <c r="L249" t="str">
        <f>VLOOKUP(D249,Products!A:E,2,FALSE)</f>
        <v>Keyboard</v>
      </c>
      <c r="M249" t="str">
        <f>VLOOKUP(D249,Products!A:E,3,FALSE)</f>
        <v>Technology</v>
      </c>
      <c r="N249">
        <f>VLOOKUP(D249,Products!A:E,4,FALSE)</f>
        <v>75</v>
      </c>
      <c r="O249" s="13">
        <f>VLOOKUP(D249,Products!A:E,5,FALSE)</f>
        <v>38</v>
      </c>
      <c r="P249" s="13" t="str">
        <f>VLOOKUP(C249,Customers!A:C,3,FALSE)</f>
        <v>Consumer</v>
      </c>
      <c r="Q249" s="13">
        <f t="shared" si="12"/>
        <v>225</v>
      </c>
      <c r="R249" s="13">
        <f t="shared" si="13"/>
        <v>114</v>
      </c>
      <c r="S249" s="13">
        <f t="shared" si="14"/>
        <v>111</v>
      </c>
      <c r="T249" s="14">
        <f t="shared" si="15"/>
        <v>0.49333333333333335</v>
      </c>
    </row>
    <row r="250" spans="1:20">
      <c r="A250" t="s">
        <v>954</v>
      </c>
      <c r="B250" s="8">
        <v>45780</v>
      </c>
      <c r="C250" t="s">
        <v>98</v>
      </c>
      <c r="D250" t="s">
        <v>54</v>
      </c>
      <c r="E250" t="s">
        <v>701</v>
      </c>
      <c r="F250" t="s">
        <v>702</v>
      </c>
      <c r="G250">
        <v>7</v>
      </c>
      <c r="H250" s="9">
        <v>0.05</v>
      </c>
      <c r="I250" t="s">
        <v>699</v>
      </c>
      <c r="J250">
        <v>5</v>
      </c>
      <c r="K250">
        <v>2</v>
      </c>
      <c r="L250" t="str">
        <f>VLOOKUP(D250,Products!A:E,2,FALSE)</f>
        <v>Webcam</v>
      </c>
      <c r="M250" t="str">
        <f>VLOOKUP(D250,Products!A:E,3,FALSE)</f>
        <v>Technology</v>
      </c>
      <c r="N250">
        <f>VLOOKUP(D250,Products!A:E,4,FALSE)</f>
        <v>115</v>
      </c>
      <c r="O250" s="13">
        <f>VLOOKUP(D250,Products!A:E,5,FALSE)</f>
        <v>58</v>
      </c>
      <c r="P250" s="13" t="str">
        <f>VLOOKUP(C250,Customers!A:C,3,FALSE)</f>
        <v>Small Business</v>
      </c>
      <c r="Q250" s="13">
        <f t="shared" si="12"/>
        <v>764.75</v>
      </c>
      <c r="R250" s="13">
        <f t="shared" si="13"/>
        <v>406</v>
      </c>
      <c r="S250" s="13">
        <f t="shared" si="14"/>
        <v>358.75</v>
      </c>
      <c r="T250" s="14">
        <f t="shared" si="15"/>
        <v>0.46910755148741418</v>
      </c>
    </row>
    <row r="251" spans="1:20">
      <c r="A251" t="s">
        <v>955</v>
      </c>
      <c r="B251" s="8">
        <v>46038</v>
      </c>
      <c r="C251" t="s">
        <v>215</v>
      </c>
      <c r="D251" t="s">
        <v>63</v>
      </c>
      <c r="E251" t="s">
        <v>701</v>
      </c>
      <c r="F251" t="s">
        <v>702</v>
      </c>
      <c r="G251">
        <v>6</v>
      </c>
      <c r="H251" s="9">
        <v>0</v>
      </c>
      <c r="I251" t="s">
        <v>699</v>
      </c>
      <c r="J251">
        <v>4</v>
      </c>
      <c r="K251">
        <v>3</v>
      </c>
      <c r="L251" t="str">
        <f>VLOOKUP(D251,Products!A:E,2,FALSE)</f>
        <v>Bookshelf</v>
      </c>
      <c r="M251" t="str">
        <f>VLOOKUP(D251,Products!A:E,3,FALSE)</f>
        <v>Furniture</v>
      </c>
      <c r="N251">
        <f>VLOOKUP(D251,Products!A:E,4,FALSE)</f>
        <v>185</v>
      </c>
      <c r="O251" s="13">
        <f>VLOOKUP(D251,Products!A:E,5,FALSE)</f>
        <v>105</v>
      </c>
      <c r="P251" s="13" t="str">
        <f>VLOOKUP(C251,Customers!A:C,3,FALSE)</f>
        <v>Small Business</v>
      </c>
      <c r="Q251" s="13">
        <f t="shared" si="12"/>
        <v>1110</v>
      </c>
      <c r="R251" s="13">
        <f t="shared" si="13"/>
        <v>630</v>
      </c>
      <c r="S251" s="13">
        <f t="shared" si="14"/>
        <v>480</v>
      </c>
      <c r="T251" s="14">
        <f t="shared" si="15"/>
        <v>0.43243243243243246</v>
      </c>
    </row>
    <row r="252" spans="1:20">
      <c r="A252" t="s">
        <v>956</v>
      </c>
      <c r="B252" s="8">
        <v>46248</v>
      </c>
      <c r="C252" t="s">
        <v>165</v>
      </c>
      <c r="D252" t="s">
        <v>79</v>
      </c>
      <c r="E252" t="s">
        <v>715</v>
      </c>
      <c r="F252" t="s">
        <v>702</v>
      </c>
      <c r="G252">
        <v>2</v>
      </c>
      <c r="H252" s="9">
        <v>0.05</v>
      </c>
      <c r="I252" t="s">
        <v>699</v>
      </c>
      <c r="J252">
        <v>4</v>
      </c>
      <c r="K252">
        <v>1</v>
      </c>
      <c r="L252" t="str">
        <f>VLOOKUP(D252,Products!A:E,2,FALSE)</f>
        <v>Desk Organiser</v>
      </c>
      <c r="M252" t="str">
        <f>VLOOKUP(D252,Products!A:E,3,FALSE)</f>
        <v>Office Supplies</v>
      </c>
      <c r="N252">
        <f>VLOOKUP(D252,Products!A:E,4,FALSE)</f>
        <v>28</v>
      </c>
      <c r="O252" s="13">
        <f>VLOOKUP(D252,Products!A:E,5,FALSE)</f>
        <v>12</v>
      </c>
      <c r="P252" s="13" t="str">
        <f>VLOOKUP(C252,Customers!A:C,3,FALSE)</f>
        <v>Corporate</v>
      </c>
      <c r="Q252" s="13">
        <f t="shared" si="12"/>
        <v>53.199999999999996</v>
      </c>
      <c r="R252" s="13">
        <f t="shared" si="13"/>
        <v>24</v>
      </c>
      <c r="S252" s="13">
        <f t="shared" si="14"/>
        <v>29.199999999999996</v>
      </c>
      <c r="T252" s="14">
        <f t="shared" si="15"/>
        <v>0.54887218045112773</v>
      </c>
    </row>
    <row r="253" spans="1:20">
      <c r="A253" t="s">
        <v>957</v>
      </c>
      <c r="B253" s="8">
        <v>46245</v>
      </c>
      <c r="C253" t="s">
        <v>205</v>
      </c>
      <c r="D253" t="s">
        <v>61</v>
      </c>
      <c r="E253" t="s">
        <v>701</v>
      </c>
      <c r="F253" t="s">
        <v>702</v>
      </c>
      <c r="G253">
        <v>5</v>
      </c>
      <c r="H253" s="9">
        <v>0</v>
      </c>
      <c r="I253" t="s">
        <v>699</v>
      </c>
      <c r="J253">
        <v>4</v>
      </c>
      <c r="K253">
        <v>2</v>
      </c>
      <c r="L253" t="str">
        <f>VLOOKUP(D253,Products!A:E,2,FALSE)</f>
        <v>Office Chair</v>
      </c>
      <c r="M253" t="str">
        <f>VLOOKUP(D253,Products!A:E,3,FALSE)</f>
        <v>Furniture</v>
      </c>
      <c r="N253">
        <f>VLOOKUP(D253,Products!A:E,4,FALSE)</f>
        <v>255</v>
      </c>
      <c r="O253" s="13">
        <f>VLOOKUP(D253,Products!A:E,5,FALSE)</f>
        <v>145</v>
      </c>
      <c r="P253" s="13" t="str">
        <f>VLOOKUP(C253,Customers!A:C,3,FALSE)</f>
        <v>Consumer</v>
      </c>
      <c r="Q253" s="13">
        <f t="shared" si="12"/>
        <v>1275</v>
      </c>
      <c r="R253" s="13">
        <f t="shared" si="13"/>
        <v>725</v>
      </c>
      <c r="S253" s="13">
        <f t="shared" si="14"/>
        <v>550</v>
      </c>
      <c r="T253" s="14">
        <f t="shared" si="15"/>
        <v>0.43137254901960786</v>
      </c>
    </row>
    <row r="254" spans="1:20">
      <c r="A254" t="s">
        <v>958</v>
      </c>
      <c r="B254" s="8">
        <v>45841</v>
      </c>
      <c r="C254" t="s">
        <v>123</v>
      </c>
      <c r="D254" t="s">
        <v>74</v>
      </c>
      <c r="E254" t="s">
        <v>708</v>
      </c>
      <c r="F254" t="s">
        <v>702</v>
      </c>
      <c r="G254">
        <v>6</v>
      </c>
      <c r="H254" s="9">
        <v>0</v>
      </c>
      <c r="I254" t="s">
        <v>699</v>
      </c>
      <c r="J254">
        <v>4</v>
      </c>
      <c r="K254">
        <v>1</v>
      </c>
      <c r="L254" t="str">
        <f>VLOOKUP(D254,Products!A:E,2,FALSE)</f>
        <v>Printer Paper</v>
      </c>
      <c r="M254" t="str">
        <f>VLOOKUP(D254,Products!A:E,3,FALSE)</f>
        <v>Office Supplies</v>
      </c>
      <c r="N254">
        <f>VLOOKUP(D254,Products!A:E,4,FALSE)</f>
        <v>17</v>
      </c>
      <c r="O254" s="13">
        <f>VLOOKUP(D254,Products!A:E,5,FALSE)</f>
        <v>8</v>
      </c>
      <c r="P254" s="13" t="str">
        <f>VLOOKUP(C254,Customers!A:C,3,FALSE)</f>
        <v>Small Business</v>
      </c>
      <c r="Q254" s="13">
        <f t="shared" si="12"/>
        <v>102</v>
      </c>
      <c r="R254" s="13">
        <f t="shared" si="13"/>
        <v>48</v>
      </c>
      <c r="S254" s="13">
        <f t="shared" si="14"/>
        <v>54</v>
      </c>
      <c r="T254" s="14">
        <f t="shared" si="15"/>
        <v>0.52941176470588236</v>
      </c>
    </row>
    <row r="255" spans="1:20">
      <c r="A255" t="s">
        <v>959</v>
      </c>
      <c r="B255" s="8">
        <v>46172</v>
      </c>
      <c r="C255" t="s">
        <v>139</v>
      </c>
      <c r="D255" t="s">
        <v>56</v>
      </c>
      <c r="E255" t="s">
        <v>708</v>
      </c>
      <c r="F255" t="s">
        <v>698</v>
      </c>
      <c r="G255">
        <v>1</v>
      </c>
      <c r="H255" s="9">
        <v>0</v>
      </c>
      <c r="I255" t="s">
        <v>699</v>
      </c>
      <c r="J255">
        <v>5</v>
      </c>
      <c r="K255">
        <v>3</v>
      </c>
      <c r="L255" t="str">
        <f>VLOOKUP(D255,Products!A:E,2,FALSE)</f>
        <v>Headset</v>
      </c>
      <c r="M255" t="str">
        <f>VLOOKUP(D255,Products!A:E,3,FALSE)</f>
        <v>Technology</v>
      </c>
      <c r="N255">
        <f>VLOOKUP(D255,Products!A:E,4,FALSE)</f>
        <v>98</v>
      </c>
      <c r="O255" s="13">
        <f>VLOOKUP(D255,Products!A:E,5,FALSE)</f>
        <v>46</v>
      </c>
      <c r="P255" s="13" t="str">
        <f>VLOOKUP(C255,Customers!A:C,3,FALSE)</f>
        <v>Consumer</v>
      </c>
      <c r="Q255" s="13">
        <f t="shared" si="12"/>
        <v>98</v>
      </c>
      <c r="R255" s="13">
        <f t="shared" si="13"/>
        <v>46</v>
      </c>
      <c r="S255" s="13">
        <f t="shared" si="14"/>
        <v>52</v>
      </c>
      <c r="T255" s="14">
        <f t="shared" si="15"/>
        <v>0.53061224489795922</v>
      </c>
    </row>
    <row r="256" spans="1:20">
      <c r="A256" t="s">
        <v>960</v>
      </c>
      <c r="B256" s="8">
        <v>45993</v>
      </c>
      <c r="C256" t="s">
        <v>175</v>
      </c>
      <c r="D256" t="s">
        <v>77</v>
      </c>
      <c r="E256" t="s">
        <v>705</v>
      </c>
      <c r="F256" t="s">
        <v>702</v>
      </c>
      <c r="G256">
        <v>3</v>
      </c>
      <c r="H256" s="9">
        <v>0</v>
      </c>
      <c r="I256" t="s">
        <v>699</v>
      </c>
      <c r="J256">
        <v>4</v>
      </c>
      <c r="K256">
        <v>5</v>
      </c>
      <c r="L256" t="str">
        <f>VLOOKUP(D256,Products!A:E,2,FALSE)</f>
        <v>File Folder Pack</v>
      </c>
      <c r="M256" t="str">
        <f>VLOOKUP(D256,Products!A:E,3,FALSE)</f>
        <v>Office Supplies</v>
      </c>
      <c r="N256">
        <f>VLOOKUP(D256,Products!A:E,4,FALSE)</f>
        <v>23</v>
      </c>
      <c r="O256" s="13">
        <f>VLOOKUP(D256,Products!A:E,5,FALSE)</f>
        <v>10</v>
      </c>
      <c r="P256" s="13" t="str">
        <f>VLOOKUP(C256,Customers!A:C,3,FALSE)</f>
        <v>Consumer</v>
      </c>
      <c r="Q256" s="13">
        <f t="shared" si="12"/>
        <v>69</v>
      </c>
      <c r="R256" s="13">
        <f t="shared" si="13"/>
        <v>30</v>
      </c>
      <c r="S256" s="13">
        <f t="shared" si="14"/>
        <v>39</v>
      </c>
      <c r="T256" s="14">
        <f t="shared" si="15"/>
        <v>0.56521739130434778</v>
      </c>
    </row>
    <row r="257" spans="1:20">
      <c r="A257" t="s">
        <v>961</v>
      </c>
      <c r="B257" s="8">
        <v>46163</v>
      </c>
      <c r="C257" t="s">
        <v>287</v>
      </c>
      <c r="D257" t="s">
        <v>61</v>
      </c>
      <c r="E257" t="s">
        <v>705</v>
      </c>
      <c r="F257" t="s">
        <v>706</v>
      </c>
      <c r="G257">
        <v>1</v>
      </c>
      <c r="H257" s="9">
        <v>0.05</v>
      </c>
      <c r="I257" t="s">
        <v>699</v>
      </c>
      <c r="J257">
        <v>5</v>
      </c>
      <c r="K257">
        <v>1</v>
      </c>
      <c r="L257" t="str">
        <f>VLOOKUP(D257,Products!A:E,2,FALSE)</f>
        <v>Office Chair</v>
      </c>
      <c r="M257" t="str">
        <f>VLOOKUP(D257,Products!A:E,3,FALSE)</f>
        <v>Furniture</v>
      </c>
      <c r="N257">
        <f>VLOOKUP(D257,Products!A:E,4,FALSE)</f>
        <v>255</v>
      </c>
      <c r="O257" s="13">
        <f>VLOOKUP(D257,Products!A:E,5,FALSE)</f>
        <v>145</v>
      </c>
      <c r="P257" s="13" t="str">
        <f>VLOOKUP(C257,Customers!A:C,3,FALSE)</f>
        <v>Consumer</v>
      </c>
      <c r="Q257" s="13">
        <f t="shared" si="12"/>
        <v>242.25</v>
      </c>
      <c r="R257" s="13">
        <f t="shared" si="13"/>
        <v>145</v>
      </c>
      <c r="S257" s="13">
        <f t="shared" si="14"/>
        <v>97.25</v>
      </c>
      <c r="T257" s="14">
        <f t="shared" si="15"/>
        <v>0.40144478844169246</v>
      </c>
    </row>
    <row r="258" spans="1:20">
      <c r="A258" t="s">
        <v>962</v>
      </c>
      <c r="B258" s="8">
        <v>46001</v>
      </c>
      <c r="C258" t="s">
        <v>84</v>
      </c>
      <c r="D258" t="s">
        <v>72</v>
      </c>
      <c r="E258" t="s">
        <v>697</v>
      </c>
      <c r="F258" t="s">
        <v>698</v>
      </c>
      <c r="G258">
        <v>1</v>
      </c>
      <c r="H258" s="9">
        <v>0.05</v>
      </c>
      <c r="I258" t="s">
        <v>699</v>
      </c>
      <c r="J258">
        <v>4</v>
      </c>
      <c r="K258">
        <v>1</v>
      </c>
      <c r="L258" t="str">
        <f>VLOOKUP(D258,Products!A:E,2,FALSE)</f>
        <v>Phone Charger</v>
      </c>
      <c r="M258" t="str">
        <f>VLOOKUP(D258,Products!A:E,3,FALSE)</f>
        <v>Accessories</v>
      </c>
      <c r="N258">
        <f>VLOOKUP(D258,Products!A:E,4,FALSE)</f>
        <v>32</v>
      </c>
      <c r="O258" s="13">
        <f>VLOOKUP(D258,Products!A:E,5,FALSE)</f>
        <v>13</v>
      </c>
      <c r="P258" s="13" t="str">
        <f>VLOOKUP(C258,Customers!A:C,3,FALSE)</f>
        <v>Corporate</v>
      </c>
      <c r="Q258" s="13">
        <f t="shared" ref="Q258:Q321" si="16">G258*N258*(1-H258)</f>
        <v>30.4</v>
      </c>
      <c r="R258" s="13">
        <f t="shared" ref="R258:R321" si="17">G258*O258</f>
        <v>13</v>
      </c>
      <c r="S258" s="13">
        <f t="shared" ref="S258:S321" si="18">Q258-R258</f>
        <v>17.399999999999999</v>
      </c>
      <c r="T258" s="14">
        <f t="shared" ref="T258:T321" si="19">IFERROR(S258/Q258,0)</f>
        <v>0.57236842105263153</v>
      </c>
    </row>
    <row r="259" spans="1:20">
      <c r="A259" t="s">
        <v>963</v>
      </c>
      <c r="B259" s="8">
        <v>45803</v>
      </c>
      <c r="C259" t="s">
        <v>373</v>
      </c>
      <c r="D259" t="s">
        <v>50</v>
      </c>
      <c r="E259" t="s">
        <v>705</v>
      </c>
      <c r="F259" t="s">
        <v>702</v>
      </c>
      <c r="G259">
        <v>5</v>
      </c>
      <c r="H259" s="9">
        <v>0</v>
      </c>
      <c r="I259" t="s">
        <v>699</v>
      </c>
      <c r="J259">
        <v>4</v>
      </c>
      <c r="K259">
        <v>1</v>
      </c>
      <c r="L259" t="str">
        <f>VLOOKUP(D259,Products!A:E,2,FALSE)</f>
        <v>Keyboard</v>
      </c>
      <c r="M259" t="str">
        <f>VLOOKUP(D259,Products!A:E,3,FALSE)</f>
        <v>Technology</v>
      </c>
      <c r="N259">
        <f>VLOOKUP(D259,Products!A:E,4,FALSE)</f>
        <v>75</v>
      </c>
      <c r="O259" s="13">
        <f>VLOOKUP(D259,Products!A:E,5,FALSE)</f>
        <v>38</v>
      </c>
      <c r="P259" s="13" t="str">
        <f>VLOOKUP(C259,Customers!A:C,3,FALSE)</f>
        <v>Small Business</v>
      </c>
      <c r="Q259" s="13">
        <f t="shared" si="16"/>
        <v>375</v>
      </c>
      <c r="R259" s="13">
        <f t="shared" si="17"/>
        <v>190</v>
      </c>
      <c r="S259" s="13">
        <f t="shared" si="18"/>
        <v>185</v>
      </c>
      <c r="T259" s="14">
        <f t="shared" si="19"/>
        <v>0.49333333333333335</v>
      </c>
    </row>
    <row r="260" spans="1:20">
      <c r="A260" t="s">
        <v>964</v>
      </c>
      <c r="B260" s="8">
        <v>46252</v>
      </c>
      <c r="C260" t="s">
        <v>183</v>
      </c>
      <c r="D260" t="s">
        <v>54</v>
      </c>
      <c r="E260" t="s">
        <v>701</v>
      </c>
      <c r="F260" t="s">
        <v>702</v>
      </c>
      <c r="G260">
        <v>3</v>
      </c>
      <c r="H260" s="9">
        <v>0</v>
      </c>
      <c r="I260" t="s">
        <v>699</v>
      </c>
      <c r="J260">
        <v>3</v>
      </c>
      <c r="K260">
        <v>3</v>
      </c>
      <c r="L260" t="str">
        <f>VLOOKUP(D260,Products!A:E,2,FALSE)</f>
        <v>Webcam</v>
      </c>
      <c r="M260" t="str">
        <f>VLOOKUP(D260,Products!A:E,3,FALSE)</f>
        <v>Technology</v>
      </c>
      <c r="N260">
        <f>VLOOKUP(D260,Products!A:E,4,FALSE)</f>
        <v>115</v>
      </c>
      <c r="O260" s="13">
        <f>VLOOKUP(D260,Products!A:E,5,FALSE)</f>
        <v>58</v>
      </c>
      <c r="P260" s="13" t="str">
        <f>VLOOKUP(C260,Customers!A:C,3,FALSE)</f>
        <v>Corporate</v>
      </c>
      <c r="Q260" s="13">
        <f t="shared" si="16"/>
        <v>345</v>
      </c>
      <c r="R260" s="13">
        <f t="shared" si="17"/>
        <v>174</v>
      </c>
      <c r="S260" s="13">
        <f t="shared" si="18"/>
        <v>171</v>
      </c>
      <c r="T260" s="14">
        <f t="shared" si="19"/>
        <v>0.4956521739130435</v>
      </c>
    </row>
    <row r="261" spans="1:20">
      <c r="A261" t="s">
        <v>965</v>
      </c>
      <c r="B261" s="8">
        <v>45925</v>
      </c>
      <c r="C261" t="s">
        <v>409</v>
      </c>
      <c r="D261" t="s">
        <v>72</v>
      </c>
      <c r="E261" t="s">
        <v>701</v>
      </c>
      <c r="F261" t="s">
        <v>698</v>
      </c>
      <c r="G261">
        <v>1</v>
      </c>
      <c r="H261" s="9">
        <v>0</v>
      </c>
      <c r="I261" t="s">
        <v>699</v>
      </c>
      <c r="J261">
        <v>3</v>
      </c>
      <c r="K261">
        <v>5</v>
      </c>
      <c r="L261" t="str">
        <f>VLOOKUP(D261,Products!A:E,2,FALSE)</f>
        <v>Phone Charger</v>
      </c>
      <c r="M261" t="str">
        <f>VLOOKUP(D261,Products!A:E,3,FALSE)</f>
        <v>Accessories</v>
      </c>
      <c r="N261">
        <f>VLOOKUP(D261,Products!A:E,4,FALSE)</f>
        <v>32</v>
      </c>
      <c r="O261" s="13">
        <f>VLOOKUP(D261,Products!A:E,5,FALSE)</f>
        <v>13</v>
      </c>
      <c r="P261" s="13" t="str">
        <f>VLOOKUP(C261,Customers!A:C,3,FALSE)</f>
        <v>Corporate</v>
      </c>
      <c r="Q261" s="13">
        <f t="shared" si="16"/>
        <v>32</v>
      </c>
      <c r="R261" s="13">
        <f t="shared" si="17"/>
        <v>13</v>
      </c>
      <c r="S261" s="13">
        <f t="shared" si="18"/>
        <v>19</v>
      </c>
      <c r="T261" s="14">
        <f t="shared" si="19"/>
        <v>0.59375</v>
      </c>
    </row>
    <row r="262" spans="1:20">
      <c r="A262" t="s">
        <v>966</v>
      </c>
      <c r="B262" s="8">
        <v>45769</v>
      </c>
      <c r="C262" t="s">
        <v>245</v>
      </c>
      <c r="D262" t="s">
        <v>52</v>
      </c>
      <c r="E262" t="s">
        <v>705</v>
      </c>
      <c r="F262" t="s">
        <v>702</v>
      </c>
      <c r="G262">
        <v>2</v>
      </c>
      <c r="H262" s="9">
        <v>0.05</v>
      </c>
      <c r="I262" t="s">
        <v>703</v>
      </c>
      <c r="J262">
        <v>3</v>
      </c>
      <c r="K262">
        <v>7</v>
      </c>
      <c r="L262" t="str">
        <f>VLOOKUP(D262,Products!A:E,2,FALSE)</f>
        <v>Mouse</v>
      </c>
      <c r="M262" t="str">
        <f>VLOOKUP(D262,Products!A:E,3,FALSE)</f>
        <v>Technology</v>
      </c>
      <c r="N262">
        <f>VLOOKUP(D262,Products!A:E,4,FALSE)</f>
        <v>42</v>
      </c>
      <c r="O262" s="13">
        <f>VLOOKUP(D262,Products!A:E,5,FALSE)</f>
        <v>19</v>
      </c>
      <c r="P262" s="13" t="str">
        <f>VLOOKUP(C262,Customers!A:C,3,FALSE)</f>
        <v>Consumer</v>
      </c>
      <c r="Q262" s="13">
        <f t="shared" si="16"/>
        <v>79.8</v>
      </c>
      <c r="R262" s="13">
        <f t="shared" si="17"/>
        <v>38</v>
      </c>
      <c r="S262" s="13">
        <f t="shared" si="18"/>
        <v>41.8</v>
      </c>
      <c r="T262" s="14">
        <f t="shared" si="19"/>
        <v>0.52380952380952384</v>
      </c>
    </row>
    <row r="263" spans="1:20">
      <c r="A263" t="s">
        <v>967</v>
      </c>
      <c r="B263" s="8">
        <v>45929</v>
      </c>
      <c r="C263" t="s">
        <v>209</v>
      </c>
      <c r="D263" t="s">
        <v>50</v>
      </c>
      <c r="E263" t="s">
        <v>705</v>
      </c>
      <c r="F263" t="s">
        <v>698</v>
      </c>
      <c r="G263">
        <v>5</v>
      </c>
      <c r="H263" s="9">
        <v>0.1</v>
      </c>
      <c r="I263" t="s">
        <v>699</v>
      </c>
      <c r="J263">
        <v>5</v>
      </c>
      <c r="K263">
        <v>3</v>
      </c>
      <c r="L263" t="str">
        <f>VLOOKUP(D263,Products!A:E,2,FALSE)</f>
        <v>Keyboard</v>
      </c>
      <c r="M263" t="str">
        <f>VLOOKUP(D263,Products!A:E,3,FALSE)</f>
        <v>Technology</v>
      </c>
      <c r="N263">
        <f>VLOOKUP(D263,Products!A:E,4,FALSE)</f>
        <v>75</v>
      </c>
      <c r="O263" s="13">
        <f>VLOOKUP(D263,Products!A:E,5,FALSE)</f>
        <v>38</v>
      </c>
      <c r="P263" s="13" t="str">
        <f>VLOOKUP(C263,Customers!A:C,3,FALSE)</f>
        <v>Corporate</v>
      </c>
      <c r="Q263" s="13">
        <f t="shared" si="16"/>
        <v>337.5</v>
      </c>
      <c r="R263" s="13">
        <f t="shared" si="17"/>
        <v>190</v>
      </c>
      <c r="S263" s="13">
        <f t="shared" si="18"/>
        <v>147.5</v>
      </c>
      <c r="T263" s="14">
        <f t="shared" si="19"/>
        <v>0.43703703703703706</v>
      </c>
    </row>
    <row r="264" spans="1:20">
      <c r="A264" t="s">
        <v>968</v>
      </c>
      <c r="B264" s="8">
        <v>45809</v>
      </c>
      <c r="C264" t="s">
        <v>179</v>
      </c>
      <c r="D264" t="s">
        <v>61</v>
      </c>
      <c r="E264" t="s">
        <v>697</v>
      </c>
      <c r="F264" t="s">
        <v>702</v>
      </c>
      <c r="G264">
        <v>1</v>
      </c>
      <c r="H264" s="9">
        <v>0</v>
      </c>
      <c r="I264" t="s">
        <v>699</v>
      </c>
      <c r="J264">
        <v>3</v>
      </c>
      <c r="K264">
        <v>4</v>
      </c>
      <c r="L264" t="str">
        <f>VLOOKUP(D264,Products!A:E,2,FALSE)</f>
        <v>Office Chair</v>
      </c>
      <c r="M264" t="str">
        <f>VLOOKUP(D264,Products!A:E,3,FALSE)</f>
        <v>Furniture</v>
      </c>
      <c r="N264">
        <f>VLOOKUP(D264,Products!A:E,4,FALSE)</f>
        <v>255</v>
      </c>
      <c r="O264" s="13">
        <f>VLOOKUP(D264,Products!A:E,5,FALSE)</f>
        <v>145</v>
      </c>
      <c r="P264" s="13" t="str">
        <f>VLOOKUP(C264,Customers!A:C,3,FALSE)</f>
        <v>Consumer</v>
      </c>
      <c r="Q264" s="13">
        <f t="shared" si="16"/>
        <v>255</v>
      </c>
      <c r="R264" s="13">
        <f t="shared" si="17"/>
        <v>145</v>
      </c>
      <c r="S264" s="13">
        <f t="shared" si="18"/>
        <v>110</v>
      </c>
      <c r="T264" s="14">
        <f t="shared" si="19"/>
        <v>0.43137254901960786</v>
      </c>
    </row>
    <row r="265" spans="1:20">
      <c r="A265" t="s">
        <v>969</v>
      </c>
      <c r="B265" s="8">
        <v>46121</v>
      </c>
      <c r="C265" t="s">
        <v>655</v>
      </c>
      <c r="D265" t="s">
        <v>61</v>
      </c>
      <c r="E265" t="s">
        <v>705</v>
      </c>
      <c r="F265" t="s">
        <v>702</v>
      </c>
      <c r="G265">
        <v>4</v>
      </c>
      <c r="H265" s="9">
        <v>0</v>
      </c>
      <c r="I265" t="s">
        <v>699</v>
      </c>
      <c r="J265">
        <v>5</v>
      </c>
      <c r="K265">
        <v>2</v>
      </c>
      <c r="L265" t="str">
        <f>VLOOKUP(D265,Products!A:E,2,FALSE)</f>
        <v>Office Chair</v>
      </c>
      <c r="M265" t="str">
        <f>VLOOKUP(D265,Products!A:E,3,FALSE)</f>
        <v>Furniture</v>
      </c>
      <c r="N265">
        <f>VLOOKUP(D265,Products!A:E,4,FALSE)</f>
        <v>255</v>
      </c>
      <c r="O265" s="13">
        <f>VLOOKUP(D265,Products!A:E,5,FALSE)</f>
        <v>145</v>
      </c>
      <c r="P265" s="13" t="str">
        <f>VLOOKUP(C265,Customers!A:C,3,FALSE)</f>
        <v>Consumer</v>
      </c>
      <c r="Q265" s="13">
        <f t="shared" si="16"/>
        <v>1020</v>
      </c>
      <c r="R265" s="13">
        <f t="shared" si="17"/>
        <v>580</v>
      </c>
      <c r="S265" s="13">
        <f t="shared" si="18"/>
        <v>440</v>
      </c>
      <c r="T265" s="14">
        <f t="shared" si="19"/>
        <v>0.43137254901960786</v>
      </c>
    </row>
    <row r="266" spans="1:20">
      <c r="A266" t="s">
        <v>970</v>
      </c>
      <c r="B266" s="8">
        <v>45791</v>
      </c>
      <c r="C266" t="s">
        <v>289</v>
      </c>
      <c r="D266" t="s">
        <v>72</v>
      </c>
      <c r="E266" t="s">
        <v>708</v>
      </c>
      <c r="F266" t="s">
        <v>698</v>
      </c>
      <c r="G266">
        <v>3</v>
      </c>
      <c r="H266" s="9">
        <v>0.05</v>
      </c>
      <c r="I266" t="s">
        <v>699</v>
      </c>
      <c r="J266">
        <v>5</v>
      </c>
      <c r="K266">
        <v>1</v>
      </c>
      <c r="L266" t="str">
        <f>VLOOKUP(D266,Products!A:E,2,FALSE)</f>
        <v>Phone Charger</v>
      </c>
      <c r="M266" t="str">
        <f>VLOOKUP(D266,Products!A:E,3,FALSE)</f>
        <v>Accessories</v>
      </c>
      <c r="N266">
        <f>VLOOKUP(D266,Products!A:E,4,FALSE)</f>
        <v>32</v>
      </c>
      <c r="O266" s="13">
        <f>VLOOKUP(D266,Products!A:E,5,FALSE)</f>
        <v>13</v>
      </c>
      <c r="P266" s="13" t="str">
        <f>VLOOKUP(C266,Customers!A:C,3,FALSE)</f>
        <v>Corporate</v>
      </c>
      <c r="Q266" s="13">
        <f t="shared" si="16"/>
        <v>91.199999999999989</v>
      </c>
      <c r="R266" s="13">
        <f t="shared" si="17"/>
        <v>39</v>
      </c>
      <c r="S266" s="13">
        <f t="shared" si="18"/>
        <v>52.199999999999989</v>
      </c>
      <c r="T266" s="14">
        <f t="shared" si="19"/>
        <v>0.57236842105263153</v>
      </c>
    </row>
    <row r="267" spans="1:20">
      <c r="A267" t="s">
        <v>971</v>
      </c>
      <c r="B267" s="8">
        <v>45724</v>
      </c>
      <c r="C267" t="s">
        <v>289</v>
      </c>
      <c r="D267" t="s">
        <v>77</v>
      </c>
      <c r="E267" t="s">
        <v>697</v>
      </c>
      <c r="F267" t="s">
        <v>702</v>
      </c>
      <c r="G267">
        <v>5</v>
      </c>
      <c r="H267" s="9">
        <v>0.1</v>
      </c>
      <c r="I267" t="s">
        <v>699</v>
      </c>
      <c r="J267">
        <v>5</v>
      </c>
      <c r="K267">
        <v>1</v>
      </c>
      <c r="L267" t="str">
        <f>VLOOKUP(D267,Products!A:E,2,FALSE)</f>
        <v>File Folder Pack</v>
      </c>
      <c r="M267" t="str">
        <f>VLOOKUP(D267,Products!A:E,3,FALSE)</f>
        <v>Office Supplies</v>
      </c>
      <c r="N267">
        <f>VLOOKUP(D267,Products!A:E,4,FALSE)</f>
        <v>23</v>
      </c>
      <c r="O267" s="13">
        <f>VLOOKUP(D267,Products!A:E,5,FALSE)</f>
        <v>10</v>
      </c>
      <c r="P267" s="13" t="str">
        <f>VLOOKUP(C267,Customers!A:C,3,FALSE)</f>
        <v>Corporate</v>
      </c>
      <c r="Q267" s="13">
        <f t="shared" si="16"/>
        <v>103.5</v>
      </c>
      <c r="R267" s="13">
        <f t="shared" si="17"/>
        <v>50</v>
      </c>
      <c r="S267" s="13">
        <f t="shared" si="18"/>
        <v>53.5</v>
      </c>
      <c r="T267" s="14">
        <f t="shared" si="19"/>
        <v>0.51690821256038644</v>
      </c>
    </row>
    <row r="268" spans="1:20">
      <c r="A268" t="s">
        <v>972</v>
      </c>
      <c r="B268" s="8">
        <v>45830</v>
      </c>
      <c r="C268" t="s">
        <v>673</v>
      </c>
      <c r="D268" t="s">
        <v>74</v>
      </c>
      <c r="E268" t="s">
        <v>697</v>
      </c>
      <c r="F268" t="s">
        <v>702</v>
      </c>
      <c r="G268">
        <v>1</v>
      </c>
      <c r="H268" s="9">
        <v>0.1</v>
      </c>
      <c r="I268" t="s">
        <v>699</v>
      </c>
      <c r="J268">
        <v>3</v>
      </c>
      <c r="K268">
        <v>2</v>
      </c>
      <c r="L268" t="str">
        <f>VLOOKUP(D268,Products!A:E,2,FALSE)</f>
        <v>Printer Paper</v>
      </c>
      <c r="M268" t="str">
        <f>VLOOKUP(D268,Products!A:E,3,FALSE)</f>
        <v>Office Supplies</v>
      </c>
      <c r="N268">
        <f>VLOOKUP(D268,Products!A:E,4,FALSE)</f>
        <v>17</v>
      </c>
      <c r="O268" s="13">
        <f>VLOOKUP(D268,Products!A:E,5,FALSE)</f>
        <v>8</v>
      </c>
      <c r="P268" s="13" t="str">
        <f>VLOOKUP(C268,Customers!A:C,3,FALSE)</f>
        <v>Consumer</v>
      </c>
      <c r="Q268" s="13">
        <f t="shared" si="16"/>
        <v>15.3</v>
      </c>
      <c r="R268" s="13">
        <f t="shared" si="17"/>
        <v>8</v>
      </c>
      <c r="S268" s="13">
        <f t="shared" si="18"/>
        <v>7.3000000000000007</v>
      </c>
      <c r="T268" s="14">
        <f t="shared" si="19"/>
        <v>0.47712418300653597</v>
      </c>
    </row>
    <row r="269" spans="1:20">
      <c r="A269" t="s">
        <v>973</v>
      </c>
      <c r="B269" s="8">
        <v>45939</v>
      </c>
      <c r="C269" t="s">
        <v>373</v>
      </c>
      <c r="D269" t="s">
        <v>77</v>
      </c>
      <c r="E269" t="s">
        <v>697</v>
      </c>
      <c r="F269" t="s">
        <v>702</v>
      </c>
      <c r="G269">
        <v>3</v>
      </c>
      <c r="H269" s="9">
        <v>0</v>
      </c>
      <c r="I269" t="s">
        <v>699</v>
      </c>
      <c r="J269">
        <v>4</v>
      </c>
      <c r="K269">
        <v>5</v>
      </c>
      <c r="L269" t="str">
        <f>VLOOKUP(D269,Products!A:E,2,FALSE)</f>
        <v>File Folder Pack</v>
      </c>
      <c r="M269" t="str">
        <f>VLOOKUP(D269,Products!A:E,3,FALSE)</f>
        <v>Office Supplies</v>
      </c>
      <c r="N269">
        <f>VLOOKUP(D269,Products!A:E,4,FALSE)</f>
        <v>23</v>
      </c>
      <c r="O269" s="13">
        <f>VLOOKUP(D269,Products!A:E,5,FALSE)</f>
        <v>10</v>
      </c>
      <c r="P269" s="13" t="str">
        <f>VLOOKUP(C269,Customers!A:C,3,FALSE)</f>
        <v>Small Business</v>
      </c>
      <c r="Q269" s="13">
        <f t="shared" si="16"/>
        <v>69</v>
      </c>
      <c r="R269" s="13">
        <f t="shared" si="17"/>
        <v>30</v>
      </c>
      <c r="S269" s="13">
        <f t="shared" si="18"/>
        <v>39</v>
      </c>
      <c r="T269" s="14">
        <f t="shared" si="19"/>
        <v>0.56521739130434778</v>
      </c>
    </row>
    <row r="270" spans="1:20">
      <c r="A270" t="s">
        <v>974</v>
      </c>
      <c r="B270" s="8">
        <v>46148</v>
      </c>
      <c r="C270" t="s">
        <v>149</v>
      </c>
      <c r="D270" t="s">
        <v>50</v>
      </c>
      <c r="E270" t="s">
        <v>708</v>
      </c>
      <c r="F270" t="s">
        <v>702</v>
      </c>
      <c r="G270">
        <v>1</v>
      </c>
      <c r="H270" s="9">
        <v>0.15</v>
      </c>
      <c r="I270" t="s">
        <v>699</v>
      </c>
      <c r="J270">
        <v>5</v>
      </c>
      <c r="K270">
        <v>5</v>
      </c>
      <c r="L270" t="str">
        <f>VLOOKUP(D270,Products!A:E,2,FALSE)</f>
        <v>Keyboard</v>
      </c>
      <c r="M270" t="str">
        <f>VLOOKUP(D270,Products!A:E,3,FALSE)</f>
        <v>Technology</v>
      </c>
      <c r="N270">
        <f>VLOOKUP(D270,Products!A:E,4,FALSE)</f>
        <v>75</v>
      </c>
      <c r="O270" s="13">
        <f>VLOOKUP(D270,Products!A:E,5,FALSE)</f>
        <v>38</v>
      </c>
      <c r="P270" s="13" t="str">
        <f>VLOOKUP(C270,Customers!A:C,3,FALSE)</f>
        <v>Corporate</v>
      </c>
      <c r="Q270" s="13">
        <f t="shared" si="16"/>
        <v>63.75</v>
      </c>
      <c r="R270" s="13">
        <f t="shared" si="17"/>
        <v>38</v>
      </c>
      <c r="S270" s="13">
        <f t="shared" si="18"/>
        <v>25.75</v>
      </c>
      <c r="T270" s="14">
        <f t="shared" si="19"/>
        <v>0.40392156862745099</v>
      </c>
    </row>
    <row r="271" spans="1:20">
      <c r="A271" t="s">
        <v>975</v>
      </c>
      <c r="B271" s="8">
        <v>45677</v>
      </c>
      <c r="C271" t="s">
        <v>477</v>
      </c>
      <c r="D271" t="s">
        <v>70</v>
      </c>
      <c r="E271" t="s">
        <v>715</v>
      </c>
      <c r="F271" t="s">
        <v>698</v>
      </c>
      <c r="G271">
        <v>2</v>
      </c>
      <c r="H271" s="9">
        <v>0.05</v>
      </c>
      <c r="I271" t="s">
        <v>699</v>
      </c>
      <c r="J271">
        <v>4</v>
      </c>
      <c r="K271">
        <v>1</v>
      </c>
      <c r="L271" t="str">
        <f>VLOOKUP(D271,Products!A:E,2,FALSE)</f>
        <v>USB-C Hub</v>
      </c>
      <c r="M271" t="str">
        <f>VLOOKUP(D271,Products!A:E,3,FALSE)</f>
        <v>Accessories</v>
      </c>
      <c r="N271">
        <f>VLOOKUP(D271,Products!A:E,4,FALSE)</f>
        <v>68</v>
      </c>
      <c r="O271" s="13">
        <f>VLOOKUP(D271,Products!A:E,5,FALSE)</f>
        <v>31</v>
      </c>
      <c r="P271" s="13" t="str">
        <f>VLOOKUP(C271,Customers!A:C,3,FALSE)</f>
        <v>Small Business</v>
      </c>
      <c r="Q271" s="13">
        <f t="shared" si="16"/>
        <v>129.19999999999999</v>
      </c>
      <c r="R271" s="13">
        <f t="shared" si="17"/>
        <v>62</v>
      </c>
      <c r="S271" s="13">
        <f t="shared" si="18"/>
        <v>67.199999999999989</v>
      </c>
      <c r="T271" s="14">
        <f t="shared" si="19"/>
        <v>0.52012383900928794</v>
      </c>
    </row>
    <row r="272" spans="1:20">
      <c r="A272" t="s">
        <v>976</v>
      </c>
      <c r="B272" s="8">
        <v>45984</v>
      </c>
      <c r="C272" t="s">
        <v>311</v>
      </c>
      <c r="D272" t="s">
        <v>45</v>
      </c>
      <c r="E272" t="s">
        <v>697</v>
      </c>
      <c r="F272" t="s">
        <v>698</v>
      </c>
      <c r="G272">
        <v>1</v>
      </c>
      <c r="H272" s="9">
        <v>0.2</v>
      </c>
      <c r="I272" t="s">
        <v>699</v>
      </c>
      <c r="J272">
        <v>5</v>
      </c>
      <c r="K272">
        <v>2</v>
      </c>
      <c r="L272" t="str">
        <f>VLOOKUP(D272,Products!A:E,2,FALSE)</f>
        <v>Laptop</v>
      </c>
      <c r="M272" t="str">
        <f>VLOOKUP(D272,Products!A:E,3,FALSE)</f>
        <v>Technology</v>
      </c>
      <c r="N272">
        <f>VLOOKUP(D272,Products!A:E,4,FALSE)</f>
        <v>1100</v>
      </c>
      <c r="O272" s="13">
        <f>VLOOKUP(D272,Products!A:E,5,FALSE)</f>
        <v>720</v>
      </c>
      <c r="P272" s="13" t="str">
        <f>VLOOKUP(C272,Customers!A:C,3,FALSE)</f>
        <v>Corporate</v>
      </c>
      <c r="Q272" s="13">
        <f t="shared" si="16"/>
        <v>880</v>
      </c>
      <c r="R272" s="13">
        <f t="shared" si="17"/>
        <v>720</v>
      </c>
      <c r="S272" s="13">
        <f t="shared" si="18"/>
        <v>160</v>
      </c>
      <c r="T272" s="14">
        <f t="shared" si="19"/>
        <v>0.18181818181818182</v>
      </c>
    </row>
    <row r="273" spans="1:20">
      <c r="A273" t="s">
        <v>977</v>
      </c>
      <c r="B273" s="8">
        <v>45821</v>
      </c>
      <c r="C273" t="s">
        <v>189</v>
      </c>
      <c r="D273" t="s">
        <v>61</v>
      </c>
      <c r="E273" t="s">
        <v>701</v>
      </c>
      <c r="F273" t="s">
        <v>702</v>
      </c>
      <c r="G273">
        <v>4</v>
      </c>
      <c r="H273" s="9">
        <v>0.15</v>
      </c>
      <c r="I273" t="s">
        <v>699</v>
      </c>
      <c r="J273">
        <v>5</v>
      </c>
      <c r="K273">
        <v>2</v>
      </c>
      <c r="L273" t="str">
        <f>VLOOKUP(D273,Products!A:E,2,FALSE)</f>
        <v>Office Chair</v>
      </c>
      <c r="M273" t="str">
        <f>VLOOKUP(D273,Products!A:E,3,FALSE)</f>
        <v>Furniture</v>
      </c>
      <c r="N273">
        <f>VLOOKUP(D273,Products!A:E,4,FALSE)</f>
        <v>255</v>
      </c>
      <c r="O273" s="13">
        <f>VLOOKUP(D273,Products!A:E,5,FALSE)</f>
        <v>145</v>
      </c>
      <c r="P273" s="13" t="str">
        <f>VLOOKUP(C273,Customers!A:C,3,FALSE)</f>
        <v>Consumer</v>
      </c>
      <c r="Q273" s="13">
        <f t="shared" si="16"/>
        <v>867</v>
      </c>
      <c r="R273" s="13">
        <f t="shared" si="17"/>
        <v>580</v>
      </c>
      <c r="S273" s="13">
        <f t="shared" si="18"/>
        <v>287</v>
      </c>
      <c r="T273" s="14">
        <f t="shared" si="19"/>
        <v>0.33102652825836215</v>
      </c>
    </row>
    <row r="274" spans="1:20">
      <c r="A274" t="s">
        <v>978</v>
      </c>
      <c r="B274" s="8">
        <v>46247</v>
      </c>
      <c r="C274" t="s">
        <v>483</v>
      </c>
      <c r="D274" t="s">
        <v>70</v>
      </c>
      <c r="E274" t="s">
        <v>697</v>
      </c>
      <c r="F274" t="s">
        <v>706</v>
      </c>
      <c r="G274">
        <v>1</v>
      </c>
      <c r="H274" s="9">
        <v>0</v>
      </c>
      <c r="I274" t="s">
        <v>699</v>
      </c>
      <c r="J274">
        <v>5</v>
      </c>
      <c r="K274">
        <v>3</v>
      </c>
      <c r="L274" t="str">
        <f>VLOOKUP(D274,Products!A:E,2,FALSE)</f>
        <v>USB-C Hub</v>
      </c>
      <c r="M274" t="str">
        <f>VLOOKUP(D274,Products!A:E,3,FALSE)</f>
        <v>Accessories</v>
      </c>
      <c r="N274">
        <f>VLOOKUP(D274,Products!A:E,4,FALSE)</f>
        <v>68</v>
      </c>
      <c r="O274" s="13">
        <f>VLOOKUP(D274,Products!A:E,5,FALSE)</f>
        <v>31</v>
      </c>
      <c r="P274" s="13" t="str">
        <f>VLOOKUP(C274,Customers!A:C,3,FALSE)</f>
        <v>Small Business</v>
      </c>
      <c r="Q274" s="13">
        <f t="shared" si="16"/>
        <v>68</v>
      </c>
      <c r="R274" s="13">
        <f t="shared" si="17"/>
        <v>31</v>
      </c>
      <c r="S274" s="13">
        <f t="shared" si="18"/>
        <v>37</v>
      </c>
      <c r="T274" s="14">
        <f t="shared" si="19"/>
        <v>0.54411764705882348</v>
      </c>
    </row>
    <row r="275" spans="1:20">
      <c r="A275" t="s">
        <v>979</v>
      </c>
      <c r="B275" s="8">
        <v>46263</v>
      </c>
      <c r="C275" t="s">
        <v>115</v>
      </c>
      <c r="D275" t="s">
        <v>70</v>
      </c>
      <c r="E275" t="s">
        <v>697</v>
      </c>
      <c r="F275" t="s">
        <v>698</v>
      </c>
      <c r="G275">
        <v>3</v>
      </c>
      <c r="H275" s="9">
        <v>0</v>
      </c>
      <c r="I275" t="s">
        <v>703</v>
      </c>
      <c r="J275">
        <v>5</v>
      </c>
      <c r="K275">
        <v>7</v>
      </c>
      <c r="L275" t="str">
        <f>VLOOKUP(D275,Products!A:E,2,FALSE)</f>
        <v>USB-C Hub</v>
      </c>
      <c r="M275" t="str">
        <f>VLOOKUP(D275,Products!A:E,3,FALSE)</f>
        <v>Accessories</v>
      </c>
      <c r="N275">
        <f>VLOOKUP(D275,Products!A:E,4,FALSE)</f>
        <v>68</v>
      </c>
      <c r="O275" s="13">
        <f>VLOOKUP(D275,Products!A:E,5,FALSE)</f>
        <v>31</v>
      </c>
      <c r="P275" s="13" t="str">
        <f>VLOOKUP(C275,Customers!A:C,3,FALSE)</f>
        <v>Corporate</v>
      </c>
      <c r="Q275" s="13">
        <f t="shared" si="16"/>
        <v>204</v>
      </c>
      <c r="R275" s="13">
        <f t="shared" si="17"/>
        <v>93</v>
      </c>
      <c r="S275" s="13">
        <f t="shared" si="18"/>
        <v>111</v>
      </c>
      <c r="T275" s="14">
        <f t="shared" si="19"/>
        <v>0.54411764705882348</v>
      </c>
    </row>
    <row r="276" spans="1:20">
      <c r="A276" t="s">
        <v>980</v>
      </c>
      <c r="B276" s="8">
        <v>45837</v>
      </c>
      <c r="C276" t="s">
        <v>589</v>
      </c>
      <c r="D276" t="s">
        <v>48</v>
      </c>
      <c r="E276" t="s">
        <v>705</v>
      </c>
      <c r="F276" t="s">
        <v>702</v>
      </c>
      <c r="G276">
        <v>1</v>
      </c>
      <c r="H276" s="9">
        <v>0.05</v>
      </c>
      <c r="I276" t="s">
        <v>699</v>
      </c>
      <c r="J276">
        <v>5</v>
      </c>
      <c r="K276">
        <v>2</v>
      </c>
      <c r="L276" t="str">
        <f>VLOOKUP(D276,Products!A:E,2,FALSE)</f>
        <v>Monitor</v>
      </c>
      <c r="M276" t="str">
        <f>VLOOKUP(D276,Products!A:E,3,FALSE)</f>
        <v>Technology</v>
      </c>
      <c r="N276">
        <f>VLOOKUP(D276,Products!A:E,4,FALSE)</f>
        <v>310</v>
      </c>
      <c r="O276" s="13">
        <f>VLOOKUP(D276,Products!A:E,5,FALSE)</f>
        <v>190</v>
      </c>
      <c r="P276" s="13" t="str">
        <f>VLOOKUP(C276,Customers!A:C,3,FALSE)</f>
        <v>Corporate</v>
      </c>
      <c r="Q276" s="13">
        <f t="shared" si="16"/>
        <v>294.5</v>
      </c>
      <c r="R276" s="13">
        <f t="shared" si="17"/>
        <v>190</v>
      </c>
      <c r="S276" s="13">
        <f t="shared" si="18"/>
        <v>104.5</v>
      </c>
      <c r="T276" s="14">
        <f t="shared" si="19"/>
        <v>0.35483870967741937</v>
      </c>
    </row>
    <row r="277" spans="1:20">
      <c r="A277" t="s">
        <v>981</v>
      </c>
      <c r="B277" s="8">
        <v>45791</v>
      </c>
      <c r="C277" t="s">
        <v>435</v>
      </c>
      <c r="D277" t="s">
        <v>56</v>
      </c>
      <c r="E277" t="s">
        <v>697</v>
      </c>
      <c r="F277" t="s">
        <v>706</v>
      </c>
      <c r="G277">
        <v>2</v>
      </c>
      <c r="H277" s="9">
        <v>0</v>
      </c>
      <c r="I277" t="s">
        <v>699</v>
      </c>
      <c r="J277">
        <v>5</v>
      </c>
      <c r="K277">
        <v>1</v>
      </c>
      <c r="L277" t="str">
        <f>VLOOKUP(D277,Products!A:E,2,FALSE)</f>
        <v>Headset</v>
      </c>
      <c r="M277" t="str">
        <f>VLOOKUP(D277,Products!A:E,3,FALSE)</f>
        <v>Technology</v>
      </c>
      <c r="N277">
        <f>VLOOKUP(D277,Products!A:E,4,FALSE)</f>
        <v>98</v>
      </c>
      <c r="O277" s="13">
        <f>VLOOKUP(D277,Products!A:E,5,FALSE)</f>
        <v>46</v>
      </c>
      <c r="P277" s="13" t="str">
        <f>VLOOKUP(C277,Customers!A:C,3,FALSE)</f>
        <v>Small Business</v>
      </c>
      <c r="Q277" s="13">
        <f t="shared" si="16"/>
        <v>196</v>
      </c>
      <c r="R277" s="13">
        <f t="shared" si="17"/>
        <v>92</v>
      </c>
      <c r="S277" s="13">
        <f t="shared" si="18"/>
        <v>104</v>
      </c>
      <c r="T277" s="14">
        <f t="shared" si="19"/>
        <v>0.53061224489795922</v>
      </c>
    </row>
    <row r="278" spans="1:20">
      <c r="A278" t="s">
        <v>982</v>
      </c>
      <c r="B278" s="8">
        <v>46196</v>
      </c>
      <c r="C278" t="s">
        <v>459</v>
      </c>
      <c r="D278" t="s">
        <v>50</v>
      </c>
      <c r="E278" t="s">
        <v>708</v>
      </c>
      <c r="F278" t="s">
        <v>706</v>
      </c>
      <c r="G278">
        <v>2</v>
      </c>
      <c r="H278" s="9">
        <v>0</v>
      </c>
      <c r="I278" t="s">
        <v>699</v>
      </c>
      <c r="J278">
        <v>3</v>
      </c>
      <c r="K278">
        <v>2</v>
      </c>
      <c r="L278" t="str">
        <f>VLOOKUP(D278,Products!A:E,2,FALSE)</f>
        <v>Keyboard</v>
      </c>
      <c r="M278" t="str">
        <f>VLOOKUP(D278,Products!A:E,3,FALSE)</f>
        <v>Technology</v>
      </c>
      <c r="N278">
        <f>VLOOKUP(D278,Products!A:E,4,FALSE)</f>
        <v>75</v>
      </c>
      <c r="O278" s="13">
        <f>VLOOKUP(D278,Products!A:E,5,FALSE)</f>
        <v>38</v>
      </c>
      <c r="P278" s="13" t="str">
        <f>VLOOKUP(C278,Customers!A:C,3,FALSE)</f>
        <v>Small Business</v>
      </c>
      <c r="Q278" s="13">
        <f t="shared" si="16"/>
        <v>150</v>
      </c>
      <c r="R278" s="13">
        <f t="shared" si="17"/>
        <v>76</v>
      </c>
      <c r="S278" s="13">
        <f t="shared" si="18"/>
        <v>74</v>
      </c>
      <c r="T278" s="14">
        <f t="shared" si="19"/>
        <v>0.49333333333333335</v>
      </c>
    </row>
    <row r="279" spans="1:20">
      <c r="A279" t="s">
        <v>983</v>
      </c>
      <c r="B279" s="8">
        <v>46105</v>
      </c>
      <c r="C279" t="s">
        <v>585</v>
      </c>
      <c r="D279" t="s">
        <v>68</v>
      </c>
      <c r="E279" t="s">
        <v>705</v>
      </c>
      <c r="F279" t="s">
        <v>706</v>
      </c>
      <c r="G279">
        <v>3</v>
      </c>
      <c r="H279" s="9">
        <v>0.15</v>
      </c>
      <c r="I279" t="s">
        <v>699</v>
      </c>
      <c r="J279">
        <v>3</v>
      </c>
      <c r="K279">
        <v>5</v>
      </c>
      <c r="L279" t="str">
        <f>VLOOKUP(D279,Products!A:E,2,FALSE)</f>
        <v>Backpack</v>
      </c>
      <c r="M279" t="str">
        <f>VLOOKUP(D279,Products!A:E,3,FALSE)</f>
        <v>Accessories</v>
      </c>
      <c r="N279">
        <f>VLOOKUP(D279,Products!A:E,4,FALSE)</f>
        <v>85</v>
      </c>
      <c r="O279" s="13">
        <f>VLOOKUP(D279,Products!A:E,5,FALSE)</f>
        <v>39</v>
      </c>
      <c r="P279" s="13" t="str">
        <f>VLOOKUP(C279,Customers!A:C,3,FALSE)</f>
        <v>Consumer</v>
      </c>
      <c r="Q279" s="13">
        <f t="shared" si="16"/>
        <v>216.75</v>
      </c>
      <c r="R279" s="13">
        <f t="shared" si="17"/>
        <v>117</v>
      </c>
      <c r="S279" s="13">
        <f t="shared" si="18"/>
        <v>99.75</v>
      </c>
      <c r="T279" s="14">
        <f t="shared" si="19"/>
        <v>0.46020761245674741</v>
      </c>
    </row>
    <row r="280" spans="1:20">
      <c r="A280" t="s">
        <v>984</v>
      </c>
      <c r="B280" s="8">
        <v>45837</v>
      </c>
      <c r="C280" t="s">
        <v>473</v>
      </c>
      <c r="D280" t="s">
        <v>65</v>
      </c>
      <c r="E280" t="s">
        <v>701</v>
      </c>
      <c r="F280" t="s">
        <v>702</v>
      </c>
      <c r="G280">
        <v>1</v>
      </c>
      <c r="H280" s="9">
        <v>0</v>
      </c>
      <c r="I280" t="s">
        <v>699</v>
      </c>
      <c r="J280">
        <v>4</v>
      </c>
      <c r="K280">
        <v>5</v>
      </c>
      <c r="L280" t="str">
        <f>VLOOKUP(D280,Products!A:E,2,FALSE)</f>
        <v>Laptop Stand</v>
      </c>
      <c r="M280" t="str">
        <f>VLOOKUP(D280,Products!A:E,3,FALSE)</f>
        <v>Accessories</v>
      </c>
      <c r="N280">
        <f>VLOOKUP(D280,Products!A:E,4,FALSE)</f>
        <v>48</v>
      </c>
      <c r="O280" s="13">
        <f>VLOOKUP(D280,Products!A:E,5,FALSE)</f>
        <v>22</v>
      </c>
      <c r="P280" s="13" t="str">
        <f>VLOOKUP(C280,Customers!A:C,3,FALSE)</f>
        <v>Small Business</v>
      </c>
      <c r="Q280" s="13">
        <f t="shared" si="16"/>
        <v>48</v>
      </c>
      <c r="R280" s="13">
        <f t="shared" si="17"/>
        <v>22</v>
      </c>
      <c r="S280" s="13">
        <f t="shared" si="18"/>
        <v>26</v>
      </c>
      <c r="T280" s="14">
        <f t="shared" si="19"/>
        <v>0.54166666666666663</v>
      </c>
    </row>
    <row r="281" spans="1:20">
      <c r="A281" t="s">
        <v>985</v>
      </c>
      <c r="B281" s="8">
        <v>45691</v>
      </c>
      <c r="C281" t="s">
        <v>273</v>
      </c>
      <c r="D281" t="s">
        <v>68</v>
      </c>
      <c r="E281" t="s">
        <v>697</v>
      </c>
      <c r="F281" t="s">
        <v>706</v>
      </c>
      <c r="G281">
        <v>1</v>
      </c>
      <c r="H281" s="9">
        <v>0.05</v>
      </c>
      <c r="I281" t="s">
        <v>703</v>
      </c>
      <c r="J281">
        <v>3</v>
      </c>
      <c r="K281">
        <v>3</v>
      </c>
      <c r="L281" t="str">
        <f>VLOOKUP(D281,Products!A:E,2,FALSE)</f>
        <v>Backpack</v>
      </c>
      <c r="M281" t="str">
        <f>VLOOKUP(D281,Products!A:E,3,FALSE)</f>
        <v>Accessories</v>
      </c>
      <c r="N281">
        <f>VLOOKUP(D281,Products!A:E,4,FALSE)</f>
        <v>85</v>
      </c>
      <c r="O281" s="13">
        <f>VLOOKUP(D281,Products!A:E,5,FALSE)</f>
        <v>39</v>
      </c>
      <c r="P281" s="13" t="str">
        <f>VLOOKUP(C281,Customers!A:C,3,FALSE)</f>
        <v>Consumer</v>
      </c>
      <c r="Q281" s="13">
        <f t="shared" si="16"/>
        <v>80.75</v>
      </c>
      <c r="R281" s="13">
        <f t="shared" si="17"/>
        <v>39</v>
      </c>
      <c r="S281" s="13">
        <f t="shared" si="18"/>
        <v>41.75</v>
      </c>
      <c r="T281" s="14">
        <f t="shared" si="19"/>
        <v>0.51702786377708976</v>
      </c>
    </row>
    <row r="282" spans="1:20">
      <c r="A282" t="s">
        <v>986</v>
      </c>
      <c r="B282" s="8">
        <v>46013</v>
      </c>
      <c r="C282" t="s">
        <v>413</v>
      </c>
      <c r="D282" t="s">
        <v>56</v>
      </c>
      <c r="E282" t="s">
        <v>701</v>
      </c>
      <c r="F282" t="s">
        <v>706</v>
      </c>
      <c r="G282">
        <v>5</v>
      </c>
      <c r="H282" s="9">
        <v>0.1</v>
      </c>
      <c r="I282" t="s">
        <v>699</v>
      </c>
      <c r="J282">
        <v>4</v>
      </c>
      <c r="K282">
        <v>1</v>
      </c>
      <c r="L282" t="str">
        <f>VLOOKUP(D282,Products!A:E,2,FALSE)</f>
        <v>Headset</v>
      </c>
      <c r="M282" t="str">
        <f>VLOOKUP(D282,Products!A:E,3,FALSE)</f>
        <v>Technology</v>
      </c>
      <c r="N282">
        <f>VLOOKUP(D282,Products!A:E,4,FALSE)</f>
        <v>98</v>
      </c>
      <c r="O282" s="13">
        <f>VLOOKUP(D282,Products!A:E,5,FALSE)</f>
        <v>46</v>
      </c>
      <c r="P282" s="13" t="str">
        <f>VLOOKUP(C282,Customers!A:C,3,FALSE)</f>
        <v>Small Business</v>
      </c>
      <c r="Q282" s="13">
        <f t="shared" si="16"/>
        <v>441</v>
      </c>
      <c r="R282" s="13">
        <f t="shared" si="17"/>
        <v>230</v>
      </c>
      <c r="S282" s="13">
        <f t="shared" si="18"/>
        <v>211</v>
      </c>
      <c r="T282" s="14">
        <f t="shared" si="19"/>
        <v>0.47845804988662133</v>
      </c>
    </row>
    <row r="283" spans="1:20">
      <c r="A283" t="s">
        <v>987</v>
      </c>
      <c r="B283" s="8">
        <v>45929</v>
      </c>
      <c r="C283" t="s">
        <v>301</v>
      </c>
      <c r="D283" t="s">
        <v>61</v>
      </c>
      <c r="E283" t="s">
        <v>701</v>
      </c>
      <c r="F283" t="s">
        <v>702</v>
      </c>
      <c r="G283">
        <v>4</v>
      </c>
      <c r="H283" s="9">
        <v>0.1</v>
      </c>
      <c r="I283" t="s">
        <v>699</v>
      </c>
      <c r="J283">
        <v>4</v>
      </c>
      <c r="K283">
        <v>4</v>
      </c>
      <c r="L283" t="str">
        <f>VLOOKUP(D283,Products!A:E,2,FALSE)</f>
        <v>Office Chair</v>
      </c>
      <c r="M283" t="str">
        <f>VLOOKUP(D283,Products!A:E,3,FALSE)</f>
        <v>Furniture</v>
      </c>
      <c r="N283">
        <f>VLOOKUP(D283,Products!A:E,4,FALSE)</f>
        <v>255</v>
      </c>
      <c r="O283" s="13">
        <f>VLOOKUP(D283,Products!A:E,5,FALSE)</f>
        <v>145</v>
      </c>
      <c r="P283" s="13" t="str">
        <f>VLOOKUP(C283,Customers!A:C,3,FALSE)</f>
        <v>Consumer</v>
      </c>
      <c r="Q283" s="13">
        <f t="shared" si="16"/>
        <v>918</v>
      </c>
      <c r="R283" s="13">
        <f t="shared" si="17"/>
        <v>580</v>
      </c>
      <c r="S283" s="13">
        <f t="shared" si="18"/>
        <v>338</v>
      </c>
      <c r="T283" s="14">
        <f t="shared" si="19"/>
        <v>0.36819172113289761</v>
      </c>
    </row>
    <row r="284" spans="1:20">
      <c r="A284" t="s">
        <v>988</v>
      </c>
      <c r="B284" s="8">
        <v>45828</v>
      </c>
      <c r="C284" t="s">
        <v>509</v>
      </c>
      <c r="D284" t="s">
        <v>79</v>
      </c>
      <c r="E284" t="s">
        <v>697</v>
      </c>
      <c r="F284" t="s">
        <v>702</v>
      </c>
      <c r="G284">
        <v>2</v>
      </c>
      <c r="H284" s="9">
        <v>0.1</v>
      </c>
      <c r="I284" t="s">
        <v>699</v>
      </c>
      <c r="J284">
        <v>4</v>
      </c>
      <c r="K284">
        <v>2</v>
      </c>
      <c r="L284" t="str">
        <f>VLOOKUP(D284,Products!A:E,2,FALSE)</f>
        <v>Desk Organiser</v>
      </c>
      <c r="M284" t="str">
        <f>VLOOKUP(D284,Products!A:E,3,FALSE)</f>
        <v>Office Supplies</v>
      </c>
      <c r="N284">
        <f>VLOOKUP(D284,Products!A:E,4,FALSE)</f>
        <v>28</v>
      </c>
      <c r="O284" s="13">
        <f>VLOOKUP(D284,Products!A:E,5,FALSE)</f>
        <v>12</v>
      </c>
      <c r="P284" s="13" t="str">
        <f>VLOOKUP(C284,Customers!A:C,3,FALSE)</f>
        <v>Corporate</v>
      </c>
      <c r="Q284" s="13">
        <f t="shared" si="16"/>
        <v>50.4</v>
      </c>
      <c r="R284" s="13">
        <f t="shared" si="17"/>
        <v>24</v>
      </c>
      <c r="S284" s="13">
        <f t="shared" si="18"/>
        <v>26.4</v>
      </c>
      <c r="T284" s="14">
        <f t="shared" si="19"/>
        <v>0.52380952380952384</v>
      </c>
    </row>
    <row r="285" spans="1:20">
      <c r="A285" t="s">
        <v>989</v>
      </c>
      <c r="B285" s="8">
        <v>45824</v>
      </c>
      <c r="C285" t="s">
        <v>549</v>
      </c>
      <c r="D285" t="s">
        <v>50</v>
      </c>
      <c r="E285" t="s">
        <v>697</v>
      </c>
      <c r="F285" t="s">
        <v>702</v>
      </c>
      <c r="G285">
        <v>1</v>
      </c>
      <c r="H285" s="9">
        <v>0</v>
      </c>
      <c r="I285" t="s">
        <v>699</v>
      </c>
      <c r="J285">
        <v>4</v>
      </c>
      <c r="K285">
        <v>4</v>
      </c>
      <c r="L285" t="str">
        <f>VLOOKUP(D285,Products!A:E,2,FALSE)</f>
        <v>Keyboard</v>
      </c>
      <c r="M285" t="str">
        <f>VLOOKUP(D285,Products!A:E,3,FALSE)</f>
        <v>Technology</v>
      </c>
      <c r="N285">
        <f>VLOOKUP(D285,Products!A:E,4,FALSE)</f>
        <v>75</v>
      </c>
      <c r="O285" s="13">
        <f>VLOOKUP(D285,Products!A:E,5,FALSE)</f>
        <v>38</v>
      </c>
      <c r="P285" s="13" t="str">
        <f>VLOOKUP(C285,Customers!A:C,3,FALSE)</f>
        <v>Consumer</v>
      </c>
      <c r="Q285" s="13">
        <f t="shared" si="16"/>
        <v>75</v>
      </c>
      <c r="R285" s="13">
        <f t="shared" si="17"/>
        <v>38</v>
      </c>
      <c r="S285" s="13">
        <f t="shared" si="18"/>
        <v>37</v>
      </c>
      <c r="T285" s="14">
        <f t="shared" si="19"/>
        <v>0.49333333333333335</v>
      </c>
    </row>
    <row r="286" spans="1:20">
      <c r="A286" t="s">
        <v>990</v>
      </c>
      <c r="B286" s="8">
        <v>45822</v>
      </c>
      <c r="C286" t="s">
        <v>163</v>
      </c>
      <c r="D286" t="s">
        <v>50</v>
      </c>
      <c r="E286" t="s">
        <v>708</v>
      </c>
      <c r="F286" t="s">
        <v>706</v>
      </c>
      <c r="G286">
        <v>6</v>
      </c>
      <c r="H286" s="9">
        <v>0.1</v>
      </c>
      <c r="I286" t="s">
        <v>699</v>
      </c>
      <c r="J286">
        <v>5</v>
      </c>
      <c r="K286">
        <v>5</v>
      </c>
      <c r="L286" t="str">
        <f>VLOOKUP(D286,Products!A:E,2,FALSE)</f>
        <v>Keyboard</v>
      </c>
      <c r="M286" t="str">
        <f>VLOOKUP(D286,Products!A:E,3,FALSE)</f>
        <v>Technology</v>
      </c>
      <c r="N286">
        <f>VLOOKUP(D286,Products!A:E,4,FALSE)</f>
        <v>75</v>
      </c>
      <c r="O286" s="13">
        <f>VLOOKUP(D286,Products!A:E,5,FALSE)</f>
        <v>38</v>
      </c>
      <c r="P286" s="13" t="str">
        <f>VLOOKUP(C286,Customers!A:C,3,FALSE)</f>
        <v>Small Business</v>
      </c>
      <c r="Q286" s="13">
        <f t="shared" si="16"/>
        <v>405</v>
      </c>
      <c r="R286" s="13">
        <f t="shared" si="17"/>
        <v>228</v>
      </c>
      <c r="S286" s="13">
        <f t="shared" si="18"/>
        <v>177</v>
      </c>
      <c r="T286" s="14">
        <f t="shared" si="19"/>
        <v>0.43703703703703706</v>
      </c>
    </row>
    <row r="287" spans="1:20">
      <c r="A287" t="s">
        <v>991</v>
      </c>
      <c r="B287" s="8">
        <v>46102</v>
      </c>
      <c r="C287" t="s">
        <v>247</v>
      </c>
      <c r="D287" t="s">
        <v>48</v>
      </c>
      <c r="E287" t="s">
        <v>705</v>
      </c>
      <c r="F287" t="s">
        <v>702</v>
      </c>
      <c r="G287">
        <v>1</v>
      </c>
      <c r="H287" s="9">
        <v>0.1</v>
      </c>
      <c r="I287" t="s">
        <v>699</v>
      </c>
      <c r="J287">
        <v>5</v>
      </c>
      <c r="K287">
        <v>3</v>
      </c>
      <c r="L287" t="str">
        <f>VLOOKUP(D287,Products!A:E,2,FALSE)</f>
        <v>Monitor</v>
      </c>
      <c r="M287" t="str">
        <f>VLOOKUP(D287,Products!A:E,3,FALSE)</f>
        <v>Technology</v>
      </c>
      <c r="N287">
        <f>VLOOKUP(D287,Products!A:E,4,FALSE)</f>
        <v>310</v>
      </c>
      <c r="O287" s="13">
        <f>VLOOKUP(D287,Products!A:E,5,FALSE)</f>
        <v>190</v>
      </c>
      <c r="P287" s="13" t="str">
        <f>VLOOKUP(C287,Customers!A:C,3,FALSE)</f>
        <v>Corporate</v>
      </c>
      <c r="Q287" s="13">
        <f t="shared" si="16"/>
        <v>279</v>
      </c>
      <c r="R287" s="13">
        <f t="shared" si="17"/>
        <v>190</v>
      </c>
      <c r="S287" s="13">
        <f t="shared" si="18"/>
        <v>89</v>
      </c>
      <c r="T287" s="14">
        <f t="shared" si="19"/>
        <v>0.31899641577060933</v>
      </c>
    </row>
    <row r="288" spans="1:20">
      <c r="A288" t="s">
        <v>992</v>
      </c>
      <c r="B288" s="8">
        <v>45946</v>
      </c>
      <c r="C288" t="s">
        <v>391</v>
      </c>
      <c r="D288" t="s">
        <v>61</v>
      </c>
      <c r="E288" t="s">
        <v>705</v>
      </c>
      <c r="F288" t="s">
        <v>702</v>
      </c>
      <c r="G288">
        <v>2</v>
      </c>
      <c r="H288" s="9">
        <v>0.05</v>
      </c>
      <c r="I288" t="s">
        <v>699</v>
      </c>
      <c r="J288">
        <v>1</v>
      </c>
      <c r="K288">
        <v>4</v>
      </c>
      <c r="L288" t="str">
        <f>VLOOKUP(D288,Products!A:E,2,FALSE)</f>
        <v>Office Chair</v>
      </c>
      <c r="M288" t="str">
        <f>VLOOKUP(D288,Products!A:E,3,FALSE)</f>
        <v>Furniture</v>
      </c>
      <c r="N288">
        <f>VLOOKUP(D288,Products!A:E,4,FALSE)</f>
        <v>255</v>
      </c>
      <c r="O288" s="13">
        <f>VLOOKUP(D288,Products!A:E,5,FALSE)</f>
        <v>145</v>
      </c>
      <c r="P288" s="13" t="str">
        <f>VLOOKUP(C288,Customers!A:C,3,FALSE)</f>
        <v>Consumer</v>
      </c>
      <c r="Q288" s="13">
        <f t="shared" si="16"/>
        <v>484.5</v>
      </c>
      <c r="R288" s="13">
        <f t="shared" si="17"/>
        <v>290</v>
      </c>
      <c r="S288" s="13">
        <f t="shared" si="18"/>
        <v>194.5</v>
      </c>
      <c r="T288" s="14">
        <f t="shared" si="19"/>
        <v>0.40144478844169246</v>
      </c>
    </row>
    <row r="289" spans="1:20">
      <c r="A289" t="s">
        <v>993</v>
      </c>
      <c r="B289" s="8">
        <v>46149</v>
      </c>
      <c r="C289" t="s">
        <v>291</v>
      </c>
      <c r="D289" t="s">
        <v>52</v>
      </c>
      <c r="E289" t="s">
        <v>705</v>
      </c>
      <c r="F289" t="s">
        <v>702</v>
      </c>
      <c r="G289">
        <v>1</v>
      </c>
      <c r="H289" s="9">
        <v>0</v>
      </c>
      <c r="I289" t="s">
        <v>699</v>
      </c>
      <c r="J289">
        <v>4</v>
      </c>
      <c r="K289">
        <v>4</v>
      </c>
      <c r="L289" t="str">
        <f>VLOOKUP(D289,Products!A:E,2,FALSE)</f>
        <v>Mouse</v>
      </c>
      <c r="M289" t="str">
        <f>VLOOKUP(D289,Products!A:E,3,FALSE)</f>
        <v>Technology</v>
      </c>
      <c r="N289">
        <f>VLOOKUP(D289,Products!A:E,4,FALSE)</f>
        <v>42</v>
      </c>
      <c r="O289" s="13">
        <f>VLOOKUP(D289,Products!A:E,5,FALSE)</f>
        <v>19</v>
      </c>
      <c r="P289" s="13" t="str">
        <f>VLOOKUP(C289,Customers!A:C,3,FALSE)</f>
        <v>Corporate</v>
      </c>
      <c r="Q289" s="13">
        <f t="shared" si="16"/>
        <v>42</v>
      </c>
      <c r="R289" s="13">
        <f t="shared" si="17"/>
        <v>19</v>
      </c>
      <c r="S289" s="13">
        <f t="shared" si="18"/>
        <v>23</v>
      </c>
      <c r="T289" s="14">
        <f t="shared" si="19"/>
        <v>0.54761904761904767</v>
      </c>
    </row>
    <row r="290" spans="1:20">
      <c r="A290" t="s">
        <v>994</v>
      </c>
      <c r="B290" s="8">
        <v>46140</v>
      </c>
      <c r="C290" t="s">
        <v>587</v>
      </c>
      <c r="D290" t="s">
        <v>63</v>
      </c>
      <c r="E290" t="s">
        <v>705</v>
      </c>
      <c r="F290" t="s">
        <v>698</v>
      </c>
      <c r="G290">
        <v>1</v>
      </c>
      <c r="H290" s="9">
        <v>0.15</v>
      </c>
      <c r="I290" t="s">
        <v>699</v>
      </c>
      <c r="J290">
        <v>4</v>
      </c>
      <c r="K290">
        <v>3</v>
      </c>
      <c r="L290" t="str">
        <f>VLOOKUP(D290,Products!A:E,2,FALSE)</f>
        <v>Bookshelf</v>
      </c>
      <c r="M290" t="str">
        <f>VLOOKUP(D290,Products!A:E,3,FALSE)</f>
        <v>Furniture</v>
      </c>
      <c r="N290">
        <f>VLOOKUP(D290,Products!A:E,4,FALSE)</f>
        <v>185</v>
      </c>
      <c r="O290" s="13">
        <f>VLOOKUP(D290,Products!A:E,5,FALSE)</f>
        <v>105</v>
      </c>
      <c r="P290" s="13" t="str">
        <f>VLOOKUP(C290,Customers!A:C,3,FALSE)</f>
        <v>Consumer</v>
      </c>
      <c r="Q290" s="13">
        <f t="shared" si="16"/>
        <v>157.25</v>
      </c>
      <c r="R290" s="13">
        <f t="shared" si="17"/>
        <v>105</v>
      </c>
      <c r="S290" s="13">
        <f t="shared" si="18"/>
        <v>52.25</v>
      </c>
      <c r="T290" s="14">
        <f t="shared" si="19"/>
        <v>0.33227344992050872</v>
      </c>
    </row>
    <row r="291" spans="1:20">
      <c r="A291" t="s">
        <v>995</v>
      </c>
      <c r="B291" s="8">
        <v>46108</v>
      </c>
      <c r="C291" t="s">
        <v>563</v>
      </c>
      <c r="D291" t="s">
        <v>63</v>
      </c>
      <c r="E291" t="s">
        <v>708</v>
      </c>
      <c r="F291" t="s">
        <v>702</v>
      </c>
      <c r="G291">
        <v>1</v>
      </c>
      <c r="H291" s="9">
        <v>0.1</v>
      </c>
      <c r="I291" t="s">
        <v>699</v>
      </c>
      <c r="J291">
        <v>2</v>
      </c>
      <c r="K291">
        <v>7</v>
      </c>
      <c r="L291" t="str">
        <f>VLOOKUP(D291,Products!A:E,2,FALSE)</f>
        <v>Bookshelf</v>
      </c>
      <c r="M291" t="str">
        <f>VLOOKUP(D291,Products!A:E,3,FALSE)</f>
        <v>Furniture</v>
      </c>
      <c r="N291">
        <f>VLOOKUP(D291,Products!A:E,4,FALSE)</f>
        <v>185</v>
      </c>
      <c r="O291" s="13">
        <f>VLOOKUP(D291,Products!A:E,5,FALSE)</f>
        <v>105</v>
      </c>
      <c r="P291" s="13" t="str">
        <f>VLOOKUP(C291,Customers!A:C,3,FALSE)</f>
        <v>Corporate</v>
      </c>
      <c r="Q291" s="13">
        <f t="shared" si="16"/>
        <v>166.5</v>
      </c>
      <c r="R291" s="13">
        <f t="shared" si="17"/>
        <v>105</v>
      </c>
      <c r="S291" s="13">
        <f t="shared" si="18"/>
        <v>61.5</v>
      </c>
      <c r="T291" s="14">
        <f t="shared" si="19"/>
        <v>0.36936936936936937</v>
      </c>
    </row>
    <row r="292" spans="1:20">
      <c r="A292" t="s">
        <v>996</v>
      </c>
      <c r="B292" s="8">
        <v>46261</v>
      </c>
      <c r="C292" t="s">
        <v>319</v>
      </c>
      <c r="D292" t="s">
        <v>48</v>
      </c>
      <c r="E292" t="s">
        <v>697</v>
      </c>
      <c r="F292" t="s">
        <v>698</v>
      </c>
      <c r="G292">
        <v>2</v>
      </c>
      <c r="H292" s="9">
        <v>0.05</v>
      </c>
      <c r="I292" t="s">
        <v>699</v>
      </c>
      <c r="J292">
        <v>4</v>
      </c>
      <c r="K292">
        <v>2</v>
      </c>
      <c r="L292" t="str">
        <f>VLOOKUP(D292,Products!A:E,2,FALSE)</f>
        <v>Monitor</v>
      </c>
      <c r="M292" t="str">
        <f>VLOOKUP(D292,Products!A:E,3,FALSE)</f>
        <v>Technology</v>
      </c>
      <c r="N292">
        <f>VLOOKUP(D292,Products!A:E,4,FALSE)</f>
        <v>310</v>
      </c>
      <c r="O292" s="13">
        <f>VLOOKUP(D292,Products!A:E,5,FALSE)</f>
        <v>190</v>
      </c>
      <c r="P292" s="13" t="str">
        <f>VLOOKUP(C292,Customers!A:C,3,FALSE)</f>
        <v>Consumer</v>
      </c>
      <c r="Q292" s="13">
        <f t="shared" si="16"/>
        <v>589</v>
      </c>
      <c r="R292" s="13">
        <f t="shared" si="17"/>
        <v>380</v>
      </c>
      <c r="S292" s="13">
        <f t="shared" si="18"/>
        <v>209</v>
      </c>
      <c r="T292" s="14">
        <f t="shared" si="19"/>
        <v>0.35483870967741937</v>
      </c>
    </row>
    <row r="293" spans="1:20">
      <c r="A293" t="s">
        <v>997</v>
      </c>
      <c r="B293" s="8">
        <v>46145</v>
      </c>
      <c r="C293" t="s">
        <v>393</v>
      </c>
      <c r="D293" t="s">
        <v>50</v>
      </c>
      <c r="E293" t="s">
        <v>708</v>
      </c>
      <c r="F293" t="s">
        <v>706</v>
      </c>
      <c r="G293">
        <v>1</v>
      </c>
      <c r="H293" s="9">
        <v>0.05</v>
      </c>
      <c r="I293" t="s">
        <v>699</v>
      </c>
      <c r="J293">
        <v>4</v>
      </c>
      <c r="K293">
        <v>5</v>
      </c>
      <c r="L293" t="str">
        <f>VLOOKUP(D293,Products!A:E,2,FALSE)</f>
        <v>Keyboard</v>
      </c>
      <c r="M293" t="str">
        <f>VLOOKUP(D293,Products!A:E,3,FALSE)</f>
        <v>Technology</v>
      </c>
      <c r="N293">
        <f>VLOOKUP(D293,Products!A:E,4,FALSE)</f>
        <v>75</v>
      </c>
      <c r="O293" s="13">
        <f>VLOOKUP(D293,Products!A:E,5,FALSE)</f>
        <v>38</v>
      </c>
      <c r="P293" s="13" t="str">
        <f>VLOOKUP(C293,Customers!A:C,3,FALSE)</f>
        <v>Corporate</v>
      </c>
      <c r="Q293" s="13">
        <f t="shared" si="16"/>
        <v>71.25</v>
      </c>
      <c r="R293" s="13">
        <f t="shared" si="17"/>
        <v>38</v>
      </c>
      <c r="S293" s="13">
        <f t="shared" si="18"/>
        <v>33.25</v>
      </c>
      <c r="T293" s="14">
        <f t="shared" si="19"/>
        <v>0.46666666666666667</v>
      </c>
    </row>
    <row r="294" spans="1:20">
      <c r="A294" t="s">
        <v>998</v>
      </c>
      <c r="B294" s="8">
        <v>45808</v>
      </c>
      <c r="C294" t="s">
        <v>209</v>
      </c>
      <c r="D294" t="s">
        <v>77</v>
      </c>
      <c r="E294" t="s">
        <v>705</v>
      </c>
      <c r="F294" t="s">
        <v>706</v>
      </c>
      <c r="G294">
        <v>8</v>
      </c>
      <c r="H294" s="9">
        <v>0.1</v>
      </c>
      <c r="I294" t="s">
        <v>699</v>
      </c>
      <c r="J294">
        <v>4</v>
      </c>
      <c r="K294">
        <v>4</v>
      </c>
      <c r="L294" t="str">
        <f>VLOOKUP(D294,Products!A:E,2,FALSE)</f>
        <v>File Folder Pack</v>
      </c>
      <c r="M294" t="str">
        <f>VLOOKUP(D294,Products!A:E,3,FALSE)</f>
        <v>Office Supplies</v>
      </c>
      <c r="N294">
        <f>VLOOKUP(D294,Products!A:E,4,FALSE)</f>
        <v>23</v>
      </c>
      <c r="O294" s="13">
        <f>VLOOKUP(D294,Products!A:E,5,FALSE)</f>
        <v>10</v>
      </c>
      <c r="P294" s="13" t="str">
        <f>VLOOKUP(C294,Customers!A:C,3,FALSE)</f>
        <v>Corporate</v>
      </c>
      <c r="Q294" s="13">
        <f t="shared" si="16"/>
        <v>165.6</v>
      </c>
      <c r="R294" s="13">
        <f t="shared" si="17"/>
        <v>80</v>
      </c>
      <c r="S294" s="13">
        <f t="shared" si="18"/>
        <v>85.6</v>
      </c>
      <c r="T294" s="14">
        <f t="shared" si="19"/>
        <v>0.51690821256038644</v>
      </c>
    </row>
    <row r="295" spans="1:20">
      <c r="A295" t="s">
        <v>999</v>
      </c>
      <c r="B295" s="8">
        <v>45864</v>
      </c>
      <c r="C295" t="s">
        <v>237</v>
      </c>
      <c r="D295" t="s">
        <v>63</v>
      </c>
      <c r="E295" t="s">
        <v>708</v>
      </c>
      <c r="F295" t="s">
        <v>698</v>
      </c>
      <c r="G295">
        <v>4</v>
      </c>
      <c r="H295" s="9">
        <v>0</v>
      </c>
      <c r="I295" t="s">
        <v>699</v>
      </c>
      <c r="J295">
        <v>4</v>
      </c>
      <c r="K295">
        <v>3</v>
      </c>
      <c r="L295" t="str">
        <f>VLOOKUP(D295,Products!A:E,2,FALSE)</f>
        <v>Bookshelf</v>
      </c>
      <c r="M295" t="str">
        <f>VLOOKUP(D295,Products!A:E,3,FALSE)</f>
        <v>Furniture</v>
      </c>
      <c r="N295">
        <f>VLOOKUP(D295,Products!A:E,4,FALSE)</f>
        <v>185</v>
      </c>
      <c r="O295" s="13">
        <f>VLOOKUP(D295,Products!A:E,5,FALSE)</f>
        <v>105</v>
      </c>
      <c r="P295" s="13" t="str">
        <f>VLOOKUP(C295,Customers!A:C,3,FALSE)</f>
        <v>Consumer</v>
      </c>
      <c r="Q295" s="13">
        <f t="shared" si="16"/>
        <v>740</v>
      </c>
      <c r="R295" s="13">
        <f t="shared" si="17"/>
        <v>420</v>
      </c>
      <c r="S295" s="13">
        <f t="shared" si="18"/>
        <v>320</v>
      </c>
      <c r="T295" s="14">
        <f t="shared" si="19"/>
        <v>0.43243243243243246</v>
      </c>
    </row>
    <row r="296" spans="1:20">
      <c r="A296" t="s">
        <v>1000</v>
      </c>
      <c r="B296" s="8">
        <v>46190</v>
      </c>
      <c r="C296" t="s">
        <v>555</v>
      </c>
      <c r="D296" t="s">
        <v>45</v>
      </c>
      <c r="E296" t="s">
        <v>697</v>
      </c>
      <c r="F296" t="s">
        <v>698</v>
      </c>
      <c r="G296">
        <v>2</v>
      </c>
      <c r="H296" s="9">
        <v>0</v>
      </c>
      <c r="I296" t="s">
        <v>699</v>
      </c>
      <c r="J296">
        <v>3</v>
      </c>
      <c r="K296">
        <v>5</v>
      </c>
      <c r="L296" t="str">
        <f>VLOOKUP(D296,Products!A:E,2,FALSE)</f>
        <v>Laptop</v>
      </c>
      <c r="M296" t="str">
        <f>VLOOKUP(D296,Products!A:E,3,FALSE)</f>
        <v>Technology</v>
      </c>
      <c r="N296">
        <f>VLOOKUP(D296,Products!A:E,4,FALSE)</f>
        <v>1100</v>
      </c>
      <c r="O296" s="13">
        <f>VLOOKUP(D296,Products!A:E,5,FALSE)</f>
        <v>720</v>
      </c>
      <c r="P296" s="13" t="str">
        <f>VLOOKUP(C296,Customers!A:C,3,FALSE)</f>
        <v>Consumer</v>
      </c>
      <c r="Q296" s="13">
        <f t="shared" si="16"/>
        <v>2200</v>
      </c>
      <c r="R296" s="13">
        <f t="shared" si="17"/>
        <v>1440</v>
      </c>
      <c r="S296" s="13">
        <f t="shared" si="18"/>
        <v>760</v>
      </c>
      <c r="T296" s="14">
        <f t="shared" si="19"/>
        <v>0.34545454545454546</v>
      </c>
    </row>
    <row r="297" spans="1:20">
      <c r="A297" t="s">
        <v>1001</v>
      </c>
      <c r="B297" s="8">
        <v>46254</v>
      </c>
      <c r="C297" t="s">
        <v>189</v>
      </c>
      <c r="D297" t="s">
        <v>52</v>
      </c>
      <c r="E297" t="s">
        <v>715</v>
      </c>
      <c r="F297" t="s">
        <v>702</v>
      </c>
      <c r="G297">
        <v>1</v>
      </c>
      <c r="H297" s="9">
        <v>0.05</v>
      </c>
      <c r="I297" t="s">
        <v>699</v>
      </c>
      <c r="J297">
        <v>4</v>
      </c>
      <c r="K297">
        <v>4</v>
      </c>
      <c r="L297" t="str">
        <f>VLOOKUP(D297,Products!A:E,2,FALSE)</f>
        <v>Mouse</v>
      </c>
      <c r="M297" t="str">
        <f>VLOOKUP(D297,Products!A:E,3,FALSE)</f>
        <v>Technology</v>
      </c>
      <c r="N297">
        <f>VLOOKUP(D297,Products!A:E,4,FALSE)</f>
        <v>42</v>
      </c>
      <c r="O297" s="13">
        <f>VLOOKUP(D297,Products!A:E,5,FALSE)</f>
        <v>19</v>
      </c>
      <c r="P297" s="13" t="str">
        <f>VLOOKUP(C297,Customers!A:C,3,FALSE)</f>
        <v>Consumer</v>
      </c>
      <c r="Q297" s="13">
        <f t="shared" si="16"/>
        <v>39.9</v>
      </c>
      <c r="R297" s="13">
        <f t="shared" si="17"/>
        <v>19</v>
      </c>
      <c r="S297" s="13">
        <f t="shared" si="18"/>
        <v>20.9</v>
      </c>
      <c r="T297" s="14">
        <f t="shared" si="19"/>
        <v>0.52380952380952384</v>
      </c>
    </row>
    <row r="298" spans="1:20">
      <c r="A298" t="s">
        <v>1002</v>
      </c>
      <c r="B298" s="8">
        <v>46155</v>
      </c>
      <c r="C298" t="s">
        <v>671</v>
      </c>
      <c r="D298" t="s">
        <v>79</v>
      </c>
      <c r="E298" t="s">
        <v>705</v>
      </c>
      <c r="F298" t="s">
        <v>702</v>
      </c>
      <c r="G298">
        <v>1</v>
      </c>
      <c r="H298" s="9">
        <v>0.05</v>
      </c>
      <c r="I298" t="s">
        <v>699</v>
      </c>
      <c r="J298">
        <v>1</v>
      </c>
      <c r="K298">
        <v>5</v>
      </c>
      <c r="L298" t="str">
        <f>VLOOKUP(D298,Products!A:E,2,FALSE)</f>
        <v>Desk Organiser</v>
      </c>
      <c r="M298" t="str">
        <f>VLOOKUP(D298,Products!A:E,3,FALSE)</f>
        <v>Office Supplies</v>
      </c>
      <c r="N298">
        <f>VLOOKUP(D298,Products!A:E,4,FALSE)</f>
        <v>28</v>
      </c>
      <c r="O298" s="13">
        <f>VLOOKUP(D298,Products!A:E,5,FALSE)</f>
        <v>12</v>
      </c>
      <c r="P298" s="13" t="str">
        <f>VLOOKUP(C298,Customers!A:C,3,FALSE)</f>
        <v>Corporate</v>
      </c>
      <c r="Q298" s="13">
        <f t="shared" si="16"/>
        <v>26.599999999999998</v>
      </c>
      <c r="R298" s="13">
        <f t="shared" si="17"/>
        <v>12</v>
      </c>
      <c r="S298" s="13">
        <f t="shared" si="18"/>
        <v>14.599999999999998</v>
      </c>
      <c r="T298" s="14">
        <f t="shared" si="19"/>
        <v>0.54887218045112773</v>
      </c>
    </row>
    <row r="299" spans="1:20">
      <c r="A299" t="s">
        <v>1003</v>
      </c>
      <c r="B299" s="8">
        <v>45708</v>
      </c>
      <c r="C299" t="s">
        <v>573</v>
      </c>
      <c r="D299" t="s">
        <v>63</v>
      </c>
      <c r="E299" t="s">
        <v>697</v>
      </c>
      <c r="F299" t="s">
        <v>702</v>
      </c>
      <c r="G299">
        <v>4</v>
      </c>
      <c r="H299" s="9">
        <v>0</v>
      </c>
      <c r="I299" t="s">
        <v>699</v>
      </c>
      <c r="J299">
        <v>4</v>
      </c>
      <c r="K299">
        <v>1</v>
      </c>
      <c r="L299" t="str">
        <f>VLOOKUP(D299,Products!A:E,2,FALSE)</f>
        <v>Bookshelf</v>
      </c>
      <c r="M299" t="str">
        <f>VLOOKUP(D299,Products!A:E,3,FALSE)</f>
        <v>Furniture</v>
      </c>
      <c r="N299">
        <f>VLOOKUP(D299,Products!A:E,4,FALSE)</f>
        <v>185</v>
      </c>
      <c r="O299" s="13">
        <f>VLOOKUP(D299,Products!A:E,5,FALSE)</f>
        <v>105</v>
      </c>
      <c r="P299" s="13" t="str">
        <f>VLOOKUP(C299,Customers!A:C,3,FALSE)</f>
        <v>Small Business</v>
      </c>
      <c r="Q299" s="13">
        <f t="shared" si="16"/>
        <v>740</v>
      </c>
      <c r="R299" s="13">
        <f t="shared" si="17"/>
        <v>420</v>
      </c>
      <c r="S299" s="13">
        <f t="shared" si="18"/>
        <v>320</v>
      </c>
      <c r="T299" s="14">
        <f t="shared" si="19"/>
        <v>0.43243243243243246</v>
      </c>
    </row>
    <row r="300" spans="1:20">
      <c r="A300" t="s">
        <v>1004</v>
      </c>
      <c r="B300" s="8">
        <v>45891</v>
      </c>
      <c r="C300" t="s">
        <v>223</v>
      </c>
      <c r="D300" t="s">
        <v>65</v>
      </c>
      <c r="E300" t="s">
        <v>697</v>
      </c>
      <c r="F300" t="s">
        <v>702</v>
      </c>
      <c r="G300">
        <v>5</v>
      </c>
      <c r="H300" s="9">
        <v>0</v>
      </c>
      <c r="I300" t="s">
        <v>699</v>
      </c>
      <c r="J300">
        <v>5</v>
      </c>
      <c r="K300">
        <v>2</v>
      </c>
      <c r="L300" t="str">
        <f>VLOOKUP(D300,Products!A:E,2,FALSE)</f>
        <v>Laptop Stand</v>
      </c>
      <c r="M300" t="str">
        <f>VLOOKUP(D300,Products!A:E,3,FALSE)</f>
        <v>Accessories</v>
      </c>
      <c r="N300">
        <f>VLOOKUP(D300,Products!A:E,4,FALSE)</f>
        <v>48</v>
      </c>
      <c r="O300" s="13">
        <f>VLOOKUP(D300,Products!A:E,5,FALSE)</f>
        <v>22</v>
      </c>
      <c r="P300" s="13" t="str">
        <f>VLOOKUP(C300,Customers!A:C,3,FALSE)</f>
        <v>Consumer</v>
      </c>
      <c r="Q300" s="13">
        <f t="shared" si="16"/>
        <v>240</v>
      </c>
      <c r="R300" s="13">
        <f t="shared" si="17"/>
        <v>110</v>
      </c>
      <c r="S300" s="13">
        <f t="shared" si="18"/>
        <v>130</v>
      </c>
      <c r="T300" s="14">
        <f t="shared" si="19"/>
        <v>0.54166666666666663</v>
      </c>
    </row>
    <row r="301" spans="1:20">
      <c r="A301" t="s">
        <v>1005</v>
      </c>
      <c r="B301" s="8">
        <v>46110</v>
      </c>
      <c r="C301" t="s">
        <v>303</v>
      </c>
      <c r="D301" t="s">
        <v>74</v>
      </c>
      <c r="E301" t="s">
        <v>701</v>
      </c>
      <c r="F301" t="s">
        <v>698</v>
      </c>
      <c r="G301">
        <v>5</v>
      </c>
      <c r="H301" s="9">
        <v>0.1</v>
      </c>
      <c r="I301" t="s">
        <v>699</v>
      </c>
      <c r="J301">
        <v>3</v>
      </c>
      <c r="K301">
        <v>3</v>
      </c>
      <c r="L301" t="str">
        <f>VLOOKUP(D301,Products!A:E,2,FALSE)</f>
        <v>Printer Paper</v>
      </c>
      <c r="M301" t="str">
        <f>VLOOKUP(D301,Products!A:E,3,FALSE)</f>
        <v>Office Supplies</v>
      </c>
      <c r="N301">
        <f>VLOOKUP(D301,Products!A:E,4,FALSE)</f>
        <v>17</v>
      </c>
      <c r="O301" s="13">
        <f>VLOOKUP(D301,Products!A:E,5,FALSE)</f>
        <v>8</v>
      </c>
      <c r="P301" s="13" t="str">
        <f>VLOOKUP(C301,Customers!A:C,3,FALSE)</f>
        <v>Consumer</v>
      </c>
      <c r="Q301" s="13">
        <f t="shared" si="16"/>
        <v>76.5</v>
      </c>
      <c r="R301" s="13">
        <f t="shared" si="17"/>
        <v>40</v>
      </c>
      <c r="S301" s="13">
        <f t="shared" si="18"/>
        <v>36.5</v>
      </c>
      <c r="T301" s="14">
        <f t="shared" si="19"/>
        <v>0.47712418300653597</v>
      </c>
    </row>
    <row r="302" spans="1:20">
      <c r="A302" t="s">
        <v>1006</v>
      </c>
      <c r="B302" s="8">
        <v>46176</v>
      </c>
      <c r="C302" t="s">
        <v>499</v>
      </c>
      <c r="D302" t="s">
        <v>54</v>
      </c>
      <c r="E302" t="s">
        <v>697</v>
      </c>
      <c r="F302" t="s">
        <v>698</v>
      </c>
      <c r="G302">
        <v>3</v>
      </c>
      <c r="H302" s="9">
        <v>0</v>
      </c>
      <c r="I302" t="s">
        <v>699</v>
      </c>
      <c r="J302">
        <v>3</v>
      </c>
      <c r="K302">
        <v>1</v>
      </c>
      <c r="L302" t="str">
        <f>VLOOKUP(D302,Products!A:E,2,FALSE)</f>
        <v>Webcam</v>
      </c>
      <c r="M302" t="str">
        <f>VLOOKUP(D302,Products!A:E,3,FALSE)</f>
        <v>Technology</v>
      </c>
      <c r="N302">
        <f>VLOOKUP(D302,Products!A:E,4,FALSE)</f>
        <v>115</v>
      </c>
      <c r="O302" s="13">
        <f>VLOOKUP(D302,Products!A:E,5,FALSE)</f>
        <v>58</v>
      </c>
      <c r="P302" s="13" t="str">
        <f>VLOOKUP(C302,Customers!A:C,3,FALSE)</f>
        <v>Consumer</v>
      </c>
      <c r="Q302" s="13">
        <f t="shared" si="16"/>
        <v>345</v>
      </c>
      <c r="R302" s="13">
        <f t="shared" si="17"/>
        <v>174</v>
      </c>
      <c r="S302" s="13">
        <f t="shared" si="18"/>
        <v>171</v>
      </c>
      <c r="T302" s="14">
        <f t="shared" si="19"/>
        <v>0.4956521739130435</v>
      </c>
    </row>
    <row r="303" spans="1:20">
      <c r="A303" t="s">
        <v>1007</v>
      </c>
      <c r="B303" s="8">
        <v>45913</v>
      </c>
      <c r="C303" t="s">
        <v>119</v>
      </c>
      <c r="D303" t="s">
        <v>77</v>
      </c>
      <c r="E303" t="s">
        <v>705</v>
      </c>
      <c r="F303" t="s">
        <v>702</v>
      </c>
      <c r="G303">
        <v>1</v>
      </c>
      <c r="H303" s="9">
        <v>0</v>
      </c>
      <c r="I303" t="s">
        <v>699</v>
      </c>
      <c r="J303">
        <v>4</v>
      </c>
      <c r="K303">
        <v>1</v>
      </c>
      <c r="L303" t="str">
        <f>VLOOKUP(D303,Products!A:E,2,FALSE)</f>
        <v>File Folder Pack</v>
      </c>
      <c r="M303" t="str">
        <f>VLOOKUP(D303,Products!A:E,3,FALSE)</f>
        <v>Office Supplies</v>
      </c>
      <c r="N303">
        <f>VLOOKUP(D303,Products!A:E,4,FALSE)</f>
        <v>23</v>
      </c>
      <c r="O303" s="13">
        <f>VLOOKUP(D303,Products!A:E,5,FALSE)</f>
        <v>10</v>
      </c>
      <c r="P303" s="13" t="str">
        <f>VLOOKUP(C303,Customers!A:C,3,FALSE)</f>
        <v>Consumer</v>
      </c>
      <c r="Q303" s="13">
        <f t="shared" si="16"/>
        <v>23</v>
      </c>
      <c r="R303" s="13">
        <f t="shared" si="17"/>
        <v>10</v>
      </c>
      <c r="S303" s="13">
        <f t="shared" si="18"/>
        <v>13</v>
      </c>
      <c r="T303" s="14">
        <f t="shared" si="19"/>
        <v>0.56521739130434778</v>
      </c>
    </row>
    <row r="304" spans="1:20">
      <c r="A304" t="s">
        <v>1008</v>
      </c>
      <c r="B304" s="8">
        <v>45689</v>
      </c>
      <c r="C304" t="s">
        <v>333</v>
      </c>
      <c r="D304" t="s">
        <v>70</v>
      </c>
      <c r="E304" t="s">
        <v>715</v>
      </c>
      <c r="F304" t="s">
        <v>702</v>
      </c>
      <c r="G304">
        <v>7</v>
      </c>
      <c r="H304" s="9">
        <v>0.05</v>
      </c>
      <c r="I304" t="s">
        <v>699</v>
      </c>
      <c r="J304">
        <v>4</v>
      </c>
      <c r="K304">
        <v>3</v>
      </c>
      <c r="L304" t="str">
        <f>VLOOKUP(D304,Products!A:E,2,FALSE)</f>
        <v>USB-C Hub</v>
      </c>
      <c r="M304" t="str">
        <f>VLOOKUP(D304,Products!A:E,3,FALSE)</f>
        <v>Accessories</v>
      </c>
      <c r="N304">
        <f>VLOOKUP(D304,Products!A:E,4,FALSE)</f>
        <v>68</v>
      </c>
      <c r="O304" s="13">
        <f>VLOOKUP(D304,Products!A:E,5,FALSE)</f>
        <v>31</v>
      </c>
      <c r="P304" s="13" t="str">
        <f>VLOOKUP(C304,Customers!A:C,3,FALSE)</f>
        <v>Corporate</v>
      </c>
      <c r="Q304" s="13">
        <f t="shared" si="16"/>
        <v>452.2</v>
      </c>
      <c r="R304" s="13">
        <f t="shared" si="17"/>
        <v>217</v>
      </c>
      <c r="S304" s="13">
        <f t="shared" si="18"/>
        <v>235.2</v>
      </c>
      <c r="T304" s="14">
        <f t="shared" si="19"/>
        <v>0.52012383900928794</v>
      </c>
    </row>
    <row r="305" spans="1:20">
      <c r="A305" t="s">
        <v>1009</v>
      </c>
      <c r="B305" s="8">
        <v>45750</v>
      </c>
      <c r="C305" t="s">
        <v>377</v>
      </c>
      <c r="D305" t="s">
        <v>45</v>
      </c>
      <c r="E305" t="s">
        <v>708</v>
      </c>
      <c r="F305" t="s">
        <v>702</v>
      </c>
      <c r="G305">
        <v>3</v>
      </c>
      <c r="H305" s="9">
        <v>0.2</v>
      </c>
      <c r="I305" t="s">
        <v>699</v>
      </c>
      <c r="J305">
        <v>5</v>
      </c>
      <c r="K305">
        <v>2</v>
      </c>
      <c r="L305" t="str">
        <f>VLOOKUP(D305,Products!A:E,2,FALSE)</f>
        <v>Laptop</v>
      </c>
      <c r="M305" t="str">
        <f>VLOOKUP(D305,Products!A:E,3,FALSE)</f>
        <v>Technology</v>
      </c>
      <c r="N305">
        <f>VLOOKUP(D305,Products!A:E,4,FALSE)</f>
        <v>1100</v>
      </c>
      <c r="O305" s="13">
        <f>VLOOKUP(D305,Products!A:E,5,FALSE)</f>
        <v>720</v>
      </c>
      <c r="P305" s="13" t="str">
        <f>VLOOKUP(C305,Customers!A:C,3,FALSE)</f>
        <v>Consumer</v>
      </c>
      <c r="Q305" s="13">
        <f t="shared" si="16"/>
        <v>2640</v>
      </c>
      <c r="R305" s="13">
        <f t="shared" si="17"/>
        <v>2160</v>
      </c>
      <c r="S305" s="13">
        <f t="shared" si="18"/>
        <v>480</v>
      </c>
      <c r="T305" s="14">
        <f t="shared" si="19"/>
        <v>0.18181818181818182</v>
      </c>
    </row>
    <row r="306" spans="1:20">
      <c r="A306" t="s">
        <v>1010</v>
      </c>
      <c r="B306" s="8">
        <v>45933</v>
      </c>
      <c r="C306" t="s">
        <v>505</v>
      </c>
      <c r="D306" t="s">
        <v>45</v>
      </c>
      <c r="E306" t="s">
        <v>697</v>
      </c>
      <c r="F306" t="s">
        <v>706</v>
      </c>
      <c r="G306">
        <v>3</v>
      </c>
      <c r="H306" s="9">
        <v>0.05</v>
      </c>
      <c r="I306" t="s">
        <v>699</v>
      </c>
      <c r="J306">
        <v>3</v>
      </c>
      <c r="K306">
        <v>1</v>
      </c>
      <c r="L306" t="str">
        <f>VLOOKUP(D306,Products!A:E,2,FALSE)</f>
        <v>Laptop</v>
      </c>
      <c r="M306" t="str">
        <f>VLOOKUP(D306,Products!A:E,3,FALSE)</f>
        <v>Technology</v>
      </c>
      <c r="N306">
        <f>VLOOKUP(D306,Products!A:E,4,FALSE)</f>
        <v>1100</v>
      </c>
      <c r="O306" s="13">
        <f>VLOOKUP(D306,Products!A:E,5,FALSE)</f>
        <v>720</v>
      </c>
      <c r="P306" s="13" t="str">
        <f>VLOOKUP(C306,Customers!A:C,3,FALSE)</f>
        <v>Small Business</v>
      </c>
      <c r="Q306" s="13">
        <f t="shared" si="16"/>
        <v>3135</v>
      </c>
      <c r="R306" s="13">
        <f t="shared" si="17"/>
        <v>2160</v>
      </c>
      <c r="S306" s="13">
        <f t="shared" si="18"/>
        <v>975</v>
      </c>
      <c r="T306" s="14">
        <f t="shared" si="19"/>
        <v>0.31100478468899523</v>
      </c>
    </row>
    <row r="307" spans="1:20">
      <c r="A307" t="s">
        <v>1011</v>
      </c>
      <c r="B307" s="8">
        <v>45887</v>
      </c>
      <c r="C307" t="s">
        <v>345</v>
      </c>
      <c r="D307" t="s">
        <v>65</v>
      </c>
      <c r="E307" t="s">
        <v>701</v>
      </c>
      <c r="F307" t="s">
        <v>698</v>
      </c>
      <c r="G307">
        <v>1</v>
      </c>
      <c r="H307" s="9">
        <v>0.15</v>
      </c>
      <c r="I307" t="s">
        <v>699</v>
      </c>
      <c r="J307">
        <v>4</v>
      </c>
      <c r="K307">
        <v>2</v>
      </c>
      <c r="L307" t="str">
        <f>VLOOKUP(D307,Products!A:E,2,FALSE)</f>
        <v>Laptop Stand</v>
      </c>
      <c r="M307" t="str">
        <f>VLOOKUP(D307,Products!A:E,3,FALSE)</f>
        <v>Accessories</v>
      </c>
      <c r="N307">
        <f>VLOOKUP(D307,Products!A:E,4,FALSE)</f>
        <v>48</v>
      </c>
      <c r="O307" s="13">
        <f>VLOOKUP(D307,Products!A:E,5,FALSE)</f>
        <v>22</v>
      </c>
      <c r="P307" s="13" t="str">
        <f>VLOOKUP(C307,Customers!A:C,3,FALSE)</f>
        <v>Small Business</v>
      </c>
      <c r="Q307" s="13">
        <f t="shared" si="16"/>
        <v>40.799999999999997</v>
      </c>
      <c r="R307" s="13">
        <f t="shared" si="17"/>
        <v>22</v>
      </c>
      <c r="S307" s="13">
        <f t="shared" si="18"/>
        <v>18.799999999999997</v>
      </c>
      <c r="T307" s="14">
        <f t="shared" si="19"/>
        <v>0.46078431372549017</v>
      </c>
    </row>
    <row r="308" spans="1:20">
      <c r="A308" t="s">
        <v>1012</v>
      </c>
      <c r="B308" s="8">
        <v>46135</v>
      </c>
      <c r="C308" t="s">
        <v>395</v>
      </c>
      <c r="D308" t="s">
        <v>72</v>
      </c>
      <c r="E308" t="s">
        <v>715</v>
      </c>
      <c r="F308" t="s">
        <v>702</v>
      </c>
      <c r="G308">
        <v>8</v>
      </c>
      <c r="H308" s="9">
        <v>0.2</v>
      </c>
      <c r="I308" t="s">
        <v>699</v>
      </c>
      <c r="J308">
        <v>4</v>
      </c>
      <c r="K308">
        <v>5</v>
      </c>
      <c r="L308" t="str">
        <f>VLOOKUP(D308,Products!A:E,2,FALSE)</f>
        <v>Phone Charger</v>
      </c>
      <c r="M308" t="str">
        <f>VLOOKUP(D308,Products!A:E,3,FALSE)</f>
        <v>Accessories</v>
      </c>
      <c r="N308">
        <f>VLOOKUP(D308,Products!A:E,4,FALSE)</f>
        <v>32</v>
      </c>
      <c r="O308" s="13">
        <f>VLOOKUP(D308,Products!A:E,5,FALSE)</f>
        <v>13</v>
      </c>
      <c r="P308" s="13" t="str">
        <f>VLOOKUP(C308,Customers!A:C,3,FALSE)</f>
        <v>Consumer</v>
      </c>
      <c r="Q308" s="13">
        <f t="shared" si="16"/>
        <v>204.8</v>
      </c>
      <c r="R308" s="13">
        <f t="shared" si="17"/>
        <v>104</v>
      </c>
      <c r="S308" s="13">
        <f t="shared" si="18"/>
        <v>100.80000000000001</v>
      </c>
      <c r="T308" s="14">
        <f t="shared" si="19"/>
        <v>0.49218750000000006</v>
      </c>
    </row>
    <row r="309" spans="1:20">
      <c r="A309" t="s">
        <v>1013</v>
      </c>
      <c r="B309" s="8">
        <v>45947</v>
      </c>
      <c r="C309" t="s">
        <v>391</v>
      </c>
      <c r="D309" t="s">
        <v>52</v>
      </c>
      <c r="E309" t="s">
        <v>715</v>
      </c>
      <c r="F309" t="s">
        <v>702</v>
      </c>
      <c r="G309">
        <v>1</v>
      </c>
      <c r="H309" s="9">
        <v>0</v>
      </c>
      <c r="I309" t="s">
        <v>699</v>
      </c>
      <c r="J309">
        <v>5</v>
      </c>
      <c r="K309">
        <v>3</v>
      </c>
      <c r="L309" t="str">
        <f>VLOOKUP(D309,Products!A:E,2,FALSE)</f>
        <v>Mouse</v>
      </c>
      <c r="M309" t="str">
        <f>VLOOKUP(D309,Products!A:E,3,FALSE)</f>
        <v>Technology</v>
      </c>
      <c r="N309">
        <f>VLOOKUP(D309,Products!A:E,4,FALSE)</f>
        <v>42</v>
      </c>
      <c r="O309" s="13">
        <f>VLOOKUP(D309,Products!A:E,5,FALSE)</f>
        <v>19</v>
      </c>
      <c r="P309" s="13" t="str">
        <f>VLOOKUP(C309,Customers!A:C,3,FALSE)</f>
        <v>Consumer</v>
      </c>
      <c r="Q309" s="13">
        <f t="shared" si="16"/>
        <v>42</v>
      </c>
      <c r="R309" s="13">
        <f t="shared" si="17"/>
        <v>19</v>
      </c>
      <c r="S309" s="13">
        <f t="shared" si="18"/>
        <v>23</v>
      </c>
      <c r="T309" s="14">
        <f t="shared" si="19"/>
        <v>0.54761904761904767</v>
      </c>
    </row>
    <row r="310" spans="1:20">
      <c r="A310" t="s">
        <v>1014</v>
      </c>
      <c r="B310" s="8">
        <v>45850</v>
      </c>
      <c r="C310" t="s">
        <v>239</v>
      </c>
      <c r="D310" t="s">
        <v>61</v>
      </c>
      <c r="E310" t="s">
        <v>697</v>
      </c>
      <c r="F310" t="s">
        <v>698</v>
      </c>
      <c r="G310">
        <v>4</v>
      </c>
      <c r="H310" s="9">
        <v>0.05</v>
      </c>
      <c r="I310" t="s">
        <v>699</v>
      </c>
      <c r="J310">
        <v>5</v>
      </c>
      <c r="K310">
        <v>1</v>
      </c>
      <c r="L310" t="str">
        <f>VLOOKUP(D310,Products!A:E,2,FALSE)</f>
        <v>Office Chair</v>
      </c>
      <c r="M310" t="str">
        <f>VLOOKUP(D310,Products!A:E,3,FALSE)</f>
        <v>Furniture</v>
      </c>
      <c r="N310">
        <f>VLOOKUP(D310,Products!A:E,4,FALSE)</f>
        <v>255</v>
      </c>
      <c r="O310" s="13">
        <f>VLOOKUP(D310,Products!A:E,5,FALSE)</f>
        <v>145</v>
      </c>
      <c r="P310" s="13" t="str">
        <f>VLOOKUP(C310,Customers!A:C,3,FALSE)</f>
        <v>Small Business</v>
      </c>
      <c r="Q310" s="13">
        <f t="shared" si="16"/>
        <v>969</v>
      </c>
      <c r="R310" s="13">
        <f t="shared" si="17"/>
        <v>580</v>
      </c>
      <c r="S310" s="13">
        <f t="shared" si="18"/>
        <v>389</v>
      </c>
      <c r="T310" s="14">
        <f t="shared" si="19"/>
        <v>0.40144478844169246</v>
      </c>
    </row>
    <row r="311" spans="1:20">
      <c r="A311" t="s">
        <v>1015</v>
      </c>
      <c r="B311" s="8">
        <v>46167</v>
      </c>
      <c r="C311" t="s">
        <v>389</v>
      </c>
      <c r="D311" t="s">
        <v>63</v>
      </c>
      <c r="E311" t="s">
        <v>697</v>
      </c>
      <c r="F311" t="s">
        <v>702</v>
      </c>
      <c r="G311">
        <v>4</v>
      </c>
      <c r="H311" s="9">
        <v>0.05</v>
      </c>
      <c r="I311" t="s">
        <v>703</v>
      </c>
      <c r="J311">
        <v>5</v>
      </c>
      <c r="K311">
        <v>5</v>
      </c>
      <c r="L311" t="str">
        <f>VLOOKUP(D311,Products!A:E,2,FALSE)</f>
        <v>Bookshelf</v>
      </c>
      <c r="M311" t="str">
        <f>VLOOKUP(D311,Products!A:E,3,FALSE)</f>
        <v>Furniture</v>
      </c>
      <c r="N311">
        <f>VLOOKUP(D311,Products!A:E,4,FALSE)</f>
        <v>185</v>
      </c>
      <c r="O311" s="13">
        <f>VLOOKUP(D311,Products!A:E,5,FALSE)</f>
        <v>105</v>
      </c>
      <c r="P311" s="13" t="str">
        <f>VLOOKUP(C311,Customers!A:C,3,FALSE)</f>
        <v>Corporate</v>
      </c>
      <c r="Q311" s="13">
        <f t="shared" si="16"/>
        <v>703</v>
      </c>
      <c r="R311" s="13">
        <f t="shared" si="17"/>
        <v>420</v>
      </c>
      <c r="S311" s="13">
        <f t="shared" si="18"/>
        <v>283</v>
      </c>
      <c r="T311" s="14">
        <f t="shared" si="19"/>
        <v>0.40256045519203415</v>
      </c>
    </row>
    <row r="312" spans="1:20">
      <c r="A312" t="s">
        <v>1016</v>
      </c>
      <c r="B312" s="8">
        <v>46205</v>
      </c>
      <c r="C312" t="s">
        <v>573</v>
      </c>
      <c r="D312" t="s">
        <v>70</v>
      </c>
      <c r="E312" t="s">
        <v>715</v>
      </c>
      <c r="F312" t="s">
        <v>706</v>
      </c>
      <c r="G312">
        <v>5</v>
      </c>
      <c r="H312" s="9">
        <v>0.15</v>
      </c>
      <c r="I312" t="s">
        <v>699</v>
      </c>
      <c r="J312">
        <v>2</v>
      </c>
      <c r="K312">
        <v>5</v>
      </c>
      <c r="L312" t="str">
        <f>VLOOKUP(D312,Products!A:E,2,FALSE)</f>
        <v>USB-C Hub</v>
      </c>
      <c r="M312" t="str">
        <f>VLOOKUP(D312,Products!A:E,3,FALSE)</f>
        <v>Accessories</v>
      </c>
      <c r="N312">
        <f>VLOOKUP(D312,Products!A:E,4,FALSE)</f>
        <v>68</v>
      </c>
      <c r="O312" s="13">
        <f>VLOOKUP(D312,Products!A:E,5,FALSE)</f>
        <v>31</v>
      </c>
      <c r="P312" s="13" t="str">
        <f>VLOOKUP(C312,Customers!A:C,3,FALSE)</f>
        <v>Small Business</v>
      </c>
      <c r="Q312" s="13">
        <f t="shared" si="16"/>
        <v>289</v>
      </c>
      <c r="R312" s="13">
        <f t="shared" si="17"/>
        <v>155</v>
      </c>
      <c r="S312" s="13">
        <f t="shared" si="18"/>
        <v>134</v>
      </c>
      <c r="T312" s="14">
        <f t="shared" si="19"/>
        <v>0.46366782006920415</v>
      </c>
    </row>
    <row r="313" spans="1:20">
      <c r="A313" t="s">
        <v>1017</v>
      </c>
      <c r="B313" s="8">
        <v>46230</v>
      </c>
      <c r="C313" t="s">
        <v>273</v>
      </c>
      <c r="D313" t="s">
        <v>68</v>
      </c>
      <c r="E313" t="s">
        <v>701</v>
      </c>
      <c r="F313" t="s">
        <v>702</v>
      </c>
      <c r="G313">
        <v>1</v>
      </c>
      <c r="H313" s="9">
        <v>0.15</v>
      </c>
      <c r="I313" t="s">
        <v>699</v>
      </c>
      <c r="J313">
        <v>5</v>
      </c>
      <c r="K313">
        <v>3</v>
      </c>
      <c r="L313" t="str">
        <f>VLOOKUP(D313,Products!A:E,2,FALSE)</f>
        <v>Backpack</v>
      </c>
      <c r="M313" t="str">
        <f>VLOOKUP(D313,Products!A:E,3,FALSE)</f>
        <v>Accessories</v>
      </c>
      <c r="N313">
        <f>VLOOKUP(D313,Products!A:E,4,FALSE)</f>
        <v>85</v>
      </c>
      <c r="O313" s="13">
        <f>VLOOKUP(D313,Products!A:E,5,FALSE)</f>
        <v>39</v>
      </c>
      <c r="P313" s="13" t="str">
        <f>VLOOKUP(C313,Customers!A:C,3,FALSE)</f>
        <v>Consumer</v>
      </c>
      <c r="Q313" s="13">
        <f t="shared" si="16"/>
        <v>72.25</v>
      </c>
      <c r="R313" s="13">
        <f t="shared" si="17"/>
        <v>39</v>
      </c>
      <c r="S313" s="13">
        <f t="shared" si="18"/>
        <v>33.25</v>
      </c>
      <c r="T313" s="14">
        <f t="shared" si="19"/>
        <v>0.46020761245674741</v>
      </c>
    </row>
    <row r="314" spans="1:20">
      <c r="A314" t="s">
        <v>1018</v>
      </c>
      <c r="B314" s="8">
        <v>45924</v>
      </c>
      <c r="C314" t="s">
        <v>685</v>
      </c>
      <c r="D314" t="s">
        <v>65</v>
      </c>
      <c r="E314" t="s">
        <v>715</v>
      </c>
      <c r="F314" t="s">
        <v>702</v>
      </c>
      <c r="G314">
        <v>1</v>
      </c>
      <c r="H314" s="9">
        <v>0.05</v>
      </c>
      <c r="I314" t="s">
        <v>699</v>
      </c>
      <c r="J314">
        <v>5</v>
      </c>
      <c r="K314">
        <v>4</v>
      </c>
      <c r="L314" t="str">
        <f>VLOOKUP(D314,Products!A:E,2,FALSE)</f>
        <v>Laptop Stand</v>
      </c>
      <c r="M314" t="str">
        <f>VLOOKUP(D314,Products!A:E,3,FALSE)</f>
        <v>Accessories</v>
      </c>
      <c r="N314">
        <f>VLOOKUP(D314,Products!A:E,4,FALSE)</f>
        <v>48</v>
      </c>
      <c r="O314" s="13">
        <f>VLOOKUP(D314,Products!A:E,5,FALSE)</f>
        <v>22</v>
      </c>
      <c r="P314" s="13" t="str">
        <f>VLOOKUP(C314,Customers!A:C,3,FALSE)</f>
        <v>Small Business</v>
      </c>
      <c r="Q314" s="13">
        <f t="shared" si="16"/>
        <v>45.599999999999994</v>
      </c>
      <c r="R314" s="13">
        <f t="shared" si="17"/>
        <v>22</v>
      </c>
      <c r="S314" s="13">
        <f t="shared" si="18"/>
        <v>23.599999999999994</v>
      </c>
      <c r="T314" s="14">
        <f t="shared" si="19"/>
        <v>0.51754385964912275</v>
      </c>
    </row>
    <row r="315" spans="1:20">
      <c r="A315" t="s">
        <v>1019</v>
      </c>
      <c r="B315" s="8">
        <v>45857</v>
      </c>
      <c r="C315" t="s">
        <v>599</v>
      </c>
      <c r="D315" t="s">
        <v>52</v>
      </c>
      <c r="E315" t="s">
        <v>697</v>
      </c>
      <c r="F315" t="s">
        <v>702</v>
      </c>
      <c r="G315">
        <v>1</v>
      </c>
      <c r="H315" s="9">
        <v>0</v>
      </c>
      <c r="I315" t="s">
        <v>699</v>
      </c>
      <c r="J315">
        <v>3</v>
      </c>
      <c r="K315">
        <v>2</v>
      </c>
      <c r="L315" t="str">
        <f>VLOOKUP(D315,Products!A:E,2,FALSE)</f>
        <v>Mouse</v>
      </c>
      <c r="M315" t="str">
        <f>VLOOKUP(D315,Products!A:E,3,FALSE)</f>
        <v>Technology</v>
      </c>
      <c r="N315">
        <f>VLOOKUP(D315,Products!A:E,4,FALSE)</f>
        <v>42</v>
      </c>
      <c r="O315" s="13">
        <f>VLOOKUP(D315,Products!A:E,5,FALSE)</f>
        <v>19</v>
      </c>
      <c r="P315" s="13" t="str">
        <f>VLOOKUP(C315,Customers!A:C,3,FALSE)</f>
        <v>Consumer</v>
      </c>
      <c r="Q315" s="13">
        <f t="shared" si="16"/>
        <v>42</v>
      </c>
      <c r="R315" s="13">
        <f t="shared" si="17"/>
        <v>19</v>
      </c>
      <c r="S315" s="13">
        <f t="shared" si="18"/>
        <v>23</v>
      </c>
      <c r="T315" s="14">
        <f t="shared" si="19"/>
        <v>0.54761904761904767</v>
      </c>
    </row>
    <row r="316" spans="1:20">
      <c r="A316" t="s">
        <v>1020</v>
      </c>
      <c r="B316" s="8">
        <v>46008</v>
      </c>
      <c r="C316" t="s">
        <v>505</v>
      </c>
      <c r="D316" t="s">
        <v>77</v>
      </c>
      <c r="E316" t="s">
        <v>705</v>
      </c>
      <c r="F316" t="s">
        <v>706</v>
      </c>
      <c r="G316">
        <v>1</v>
      </c>
      <c r="H316" s="9">
        <v>0</v>
      </c>
      <c r="I316" t="s">
        <v>699</v>
      </c>
      <c r="J316">
        <v>5</v>
      </c>
      <c r="K316">
        <v>3</v>
      </c>
      <c r="L316" t="str">
        <f>VLOOKUP(D316,Products!A:E,2,FALSE)</f>
        <v>File Folder Pack</v>
      </c>
      <c r="M316" t="str">
        <f>VLOOKUP(D316,Products!A:E,3,FALSE)</f>
        <v>Office Supplies</v>
      </c>
      <c r="N316">
        <f>VLOOKUP(D316,Products!A:E,4,FALSE)</f>
        <v>23</v>
      </c>
      <c r="O316" s="13">
        <f>VLOOKUP(D316,Products!A:E,5,FALSE)</f>
        <v>10</v>
      </c>
      <c r="P316" s="13" t="str">
        <f>VLOOKUP(C316,Customers!A:C,3,FALSE)</f>
        <v>Small Business</v>
      </c>
      <c r="Q316" s="13">
        <f t="shared" si="16"/>
        <v>23</v>
      </c>
      <c r="R316" s="13">
        <f t="shared" si="17"/>
        <v>10</v>
      </c>
      <c r="S316" s="13">
        <f t="shared" si="18"/>
        <v>13</v>
      </c>
      <c r="T316" s="14">
        <f t="shared" si="19"/>
        <v>0.56521739130434778</v>
      </c>
    </row>
    <row r="317" spans="1:20">
      <c r="A317" t="s">
        <v>1021</v>
      </c>
      <c r="B317" s="8">
        <v>45717</v>
      </c>
      <c r="C317" t="s">
        <v>90</v>
      </c>
      <c r="D317" t="s">
        <v>77</v>
      </c>
      <c r="E317" t="s">
        <v>708</v>
      </c>
      <c r="F317" t="s">
        <v>698</v>
      </c>
      <c r="G317">
        <v>1</v>
      </c>
      <c r="H317" s="9">
        <v>0.1</v>
      </c>
      <c r="I317" t="s">
        <v>699</v>
      </c>
      <c r="J317">
        <v>5</v>
      </c>
      <c r="K317">
        <v>1</v>
      </c>
      <c r="L317" t="str">
        <f>VLOOKUP(D317,Products!A:E,2,FALSE)</f>
        <v>File Folder Pack</v>
      </c>
      <c r="M317" t="str">
        <f>VLOOKUP(D317,Products!A:E,3,FALSE)</f>
        <v>Office Supplies</v>
      </c>
      <c r="N317">
        <f>VLOOKUP(D317,Products!A:E,4,FALSE)</f>
        <v>23</v>
      </c>
      <c r="O317" s="13">
        <f>VLOOKUP(D317,Products!A:E,5,FALSE)</f>
        <v>10</v>
      </c>
      <c r="P317" s="13" t="str">
        <f>VLOOKUP(C317,Customers!A:C,3,FALSE)</f>
        <v>Consumer</v>
      </c>
      <c r="Q317" s="13">
        <f t="shared" si="16"/>
        <v>20.7</v>
      </c>
      <c r="R317" s="13">
        <f t="shared" si="17"/>
        <v>10</v>
      </c>
      <c r="S317" s="13">
        <f t="shared" si="18"/>
        <v>10.7</v>
      </c>
      <c r="T317" s="14">
        <f t="shared" si="19"/>
        <v>0.51690821256038644</v>
      </c>
    </row>
    <row r="318" spans="1:20">
      <c r="A318" t="s">
        <v>1022</v>
      </c>
      <c r="B318" s="8">
        <v>45790</v>
      </c>
      <c r="C318" t="s">
        <v>531</v>
      </c>
      <c r="D318" t="s">
        <v>74</v>
      </c>
      <c r="E318" t="s">
        <v>708</v>
      </c>
      <c r="F318" t="s">
        <v>706</v>
      </c>
      <c r="G318">
        <v>2</v>
      </c>
      <c r="H318" s="9">
        <v>0</v>
      </c>
      <c r="I318" t="s">
        <v>699</v>
      </c>
      <c r="J318">
        <v>4</v>
      </c>
      <c r="K318">
        <v>1</v>
      </c>
      <c r="L318" t="str">
        <f>VLOOKUP(D318,Products!A:E,2,FALSE)</f>
        <v>Printer Paper</v>
      </c>
      <c r="M318" t="str">
        <f>VLOOKUP(D318,Products!A:E,3,FALSE)</f>
        <v>Office Supplies</v>
      </c>
      <c r="N318">
        <f>VLOOKUP(D318,Products!A:E,4,FALSE)</f>
        <v>17</v>
      </c>
      <c r="O318" s="13">
        <f>VLOOKUP(D318,Products!A:E,5,FALSE)</f>
        <v>8</v>
      </c>
      <c r="P318" s="13" t="str">
        <f>VLOOKUP(C318,Customers!A:C,3,FALSE)</f>
        <v>Corporate</v>
      </c>
      <c r="Q318" s="13">
        <f t="shared" si="16"/>
        <v>34</v>
      </c>
      <c r="R318" s="13">
        <f t="shared" si="17"/>
        <v>16</v>
      </c>
      <c r="S318" s="13">
        <f t="shared" si="18"/>
        <v>18</v>
      </c>
      <c r="T318" s="14">
        <f t="shared" si="19"/>
        <v>0.52941176470588236</v>
      </c>
    </row>
    <row r="319" spans="1:20">
      <c r="A319" t="s">
        <v>1023</v>
      </c>
      <c r="B319" s="8">
        <v>45987</v>
      </c>
      <c r="C319" t="s">
        <v>629</v>
      </c>
      <c r="D319" t="s">
        <v>58</v>
      </c>
      <c r="E319" t="s">
        <v>705</v>
      </c>
      <c r="F319" t="s">
        <v>702</v>
      </c>
      <c r="G319">
        <v>4</v>
      </c>
      <c r="H319" s="9">
        <v>0</v>
      </c>
      <c r="I319" t="s">
        <v>699</v>
      </c>
      <c r="J319">
        <v>4</v>
      </c>
      <c r="K319">
        <v>1</v>
      </c>
      <c r="L319" t="str">
        <f>VLOOKUP(D319,Products!A:E,2,FALSE)</f>
        <v>Standing Desk</v>
      </c>
      <c r="M319" t="str">
        <f>VLOOKUP(D319,Products!A:E,3,FALSE)</f>
        <v>Furniture</v>
      </c>
      <c r="N319">
        <f>VLOOKUP(D319,Products!A:E,4,FALSE)</f>
        <v>540</v>
      </c>
      <c r="O319" s="13">
        <f>VLOOKUP(D319,Products!A:E,5,FALSE)</f>
        <v>320</v>
      </c>
      <c r="P319" s="13" t="str">
        <f>VLOOKUP(C319,Customers!A:C,3,FALSE)</f>
        <v>Consumer</v>
      </c>
      <c r="Q319" s="13">
        <f t="shared" si="16"/>
        <v>2160</v>
      </c>
      <c r="R319" s="13">
        <f t="shared" si="17"/>
        <v>1280</v>
      </c>
      <c r="S319" s="13">
        <f t="shared" si="18"/>
        <v>880</v>
      </c>
      <c r="T319" s="14">
        <f t="shared" si="19"/>
        <v>0.40740740740740738</v>
      </c>
    </row>
    <row r="320" spans="1:20">
      <c r="A320" t="s">
        <v>1024</v>
      </c>
      <c r="B320" s="8">
        <v>46050</v>
      </c>
      <c r="C320" t="s">
        <v>601</v>
      </c>
      <c r="D320" t="s">
        <v>65</v>
      </c>
      <c r="E320" t="s">
        <v>705</v>
      </c>
      <c r="F320" t="s">
        <v>698</v>
      </c>
      <c r="G320">
        <v>1</v>
      </c>
      <c r="H320" s="9">
        <v>0</v>
      </c>
      <c r="I320" t="s">
        <v>699</v>
      </c>
      <c r="J320">
        <v>4</v>
      </c>
      <c r="K320">
        <v>3</v>
      </c>
      <c r="L320" t="str">
        <f>VLOOKUP(D320,Products!A:E,2,FALSE)</f>
        <v>Laptop Stand</v>
      </c>
      <c r="M320" t="str">
        <f>VLOOKUP(D320,Products!A:E,3,FALSE)</f>
        <v>Accessories</v>
      </c>
      <c r="N320">
        <f>VLOOKUP(D320,Products!A:E,4,FALSE)</f>
        <v>48</v>
      </c>
      <c r="O320" s="13">
        <f>VLOOKUP(D320,Products!A:E,5,FALSE)</f>
        <v>22</v>
      </c>
      <c r="P320" s="13" t="str">
        <f>VLOOKUP(C320,Customers!A:C,3,FALSE)</f>
        <v>Consumer</v>
      </c>
      <c r="Q320" s="13">
        <f t="shared" si="16"/>
        <v>48</v>
      </c>
      <c r="R320" s="13">
        <f t="shared" si="17"/>
        <v>22</v>
      </c>
      <c r="S320" s="13">
        <f t="shared" si="18"/>
        <v>26</v>
      </c>
      <c r="T320" s="14">
        <f t="shared" si="19"/>
        <v>0.54166666666666663</v>
      </c>
    </row>
    <row r="321" spans="1:20">
      <c r="A321" t="s">
        <v>1025</v>
      </c>
      <c r="B321" s="8">
        <v>46102</v>
      </c>
      <c r="C321" t="s">
        <v>223</v>
      </c>
      <c r="D321" t="s">
        <v>68</v>
      </c>
      <c r="E321" t="s">
        <v>697</v>
      </c>
      <c r="F321" t="s">
        <v>698</v>
      </c>
      <c r="G321">
        <v>4</v>
      </c>
      <c r="H321" s="9">
        <v>0</v>
      </c>
      <c r="I321" t="s">
        <v>699</v>
      </c>
      <c r="J321">
        <v>5</v>
      </c>
      <c r="K321">
        <v>1</v>
      </c>
      <c r="L321" t="str">
        <f>VLOOKUP(D321,Products!A:E,2,FALSE)</f>
        <v>Backpack</v>
      </c>
      <c r="M321" t="str">
        <f>VLOOKUP(D321,Products!A:E,3,FALSE)</f>
        <v>Accessories</v>
      </c>
      <c r="N321">
        <f>VLOOKUP(D321,Products!A:E,4,FALSE)</f>
        <v>85</v>
      </c>
      <c r="O321" s="13">
        <f>VLOOKUP(D321,Products!A:E,5,FALSE)</f>
        <v>39</v>
      </c>
      <c r="P321" s="13" t="str">
        <f>VLOOKUP(C321,Customers!A:C,3,FALSE)</f>
        <v>Consumer</v>
      </c>
      <c r="Q321" s="13">
        <f t="shared" si="16"/>
        <v>340</v>
      </c>
      <c r="R321" s="13">
        <f t="shared" si="17"/>
        <v>156</v>
      </c>
      <c r="S321" s="13">
        <f t="shared" si="18"/>
        <v>184</v>
      </c>
      <c r="T321" s="14">
        <f t="shared" si="19"/>
        <v>0.54117647058823526</v>
      </c>
    </row>
    <row r="322" spans="1:20">
      <c r="A322" t="s">
        <v>1026</v>
      </c>
      <c r="B322" s="8">
        <v>45891</v>
      </c>
      <c r="C322" t="s">
        <v>315</v>
      </c>
      <c r="D322" t="s">
        <v>54</v>
      </c>
      <c r="E322" t="s">
        <v>705</v>
      </c>
      <c r="F322" t="s">
        <v>702</v>
      </c>
      <c r="G322">
        <v>2</v>
      </c>
      <c r="H322" s="9">
        <v>0</v>
      </c>
      <c r="I322" t="s">
        <v>699</v>
      </c>
      <c r="J322">
        <v>5</v>
      </c>
      <c r="K322">
        <v>4</v>
      </c>
      <c r="L322" t="str">
        <f>VLOOKUP(D322,Products!A:E,2,FALSE)</f>
        <v>Webcam</v>
      </c>
      <c r="M322" t="str">
        <f>VLOOKUP(D322,Products!A:E,3,FALSE)</f>
        <v>Technology</v>
      </c>
      <c r="N322">
        <f>VLOOKUP(D322,Products!A:E,4,FALSE)</f>
        <v>115</v>
      </c>
      <c r="O322" s="13">
        <f>VLOOKUP(D322,Products!A:E,5,FALSE)</f>
        <v>58</v>
      </c>
      <c r="P322" s="13" t="str">
        <f>VLOOKUP(C322,Customers!A:C,3,FALSE)</f>
        <v>Small Business</v>
      </c>
      <c r="Q322" s="13">
        <f t="shared" ref="Q322:Q385" si="20">G322*N322*(1-H322)</f>
        <v>230</v>
      </c>
      <c r="R322" s="13">
        <f t="shared" ref="R322:R385" si="21">G322*O322</f>
        <v>116</v>
      </c>
      <c r="S322" s="13">
        <f t="shared" ref="S322:S385" si="22">Q322-R322</f>
        <v>114</v>
      </c>
      <c r="T322" s="14">
        <f t="shared" ref="T322:T385" si="23">IFERROR(S322/Q322,0)</f>
        <v>0.4956521739130435</v>
      </c>
    </row>
    <row r="323" spans="1:20">
      <c r="A323" t="s">
        <v>1027</v>
      </c>
      <c r="B323" s="8">
        <v>45919</v>
      </c>
      <c r="C323" t="s">
        <v>633</v>
      </c>
      <c r="D323" t="s">
        <v>48</v>
      </c>
      <c r="E323" t="s">
        <v>715</v>
      </c>
      <c r="F323" t="s">
        <v>702</v>
      </c>
      <c r="G323">
        <v>1</v>
      </c>
      <c r="H323" s="9">
        <v>0.15</v>
      </c>
      <c r="I323" t="s">
        <v>699</v>
      </c>
      <c r="J323">
        <v>3</v>
      </c>
      <c r="K323">
        <v>4</v>
      </c>
      <c r="L323" t="str">
        <f>VLOOKUP(D323,Products!A:E,2,FALSE)</f>
        <v>Monitor</v>
      </c>
      <c r="M323" t="str">
        <f>VLOOKUP(D323,Products!A:E,3,FALSE)</f>
        <v>Technology</v>
      </c>
      <c r="N323">
        <f>VLOOKUP(D323,Products!A:E,4,FALSE)</f>
        <v>310</v>
      </c>
      <c r="O323" s="13">
        <f>VLOOKUP(D323,Products!A:E,5,FALSE)</f>
        <v>190</v>
      </c>
      <c r="P323" s="13" t="str">
        <f>VLOOKUP(C323,Customers!A:C,3,FALSE)</f>
        <v>Small Business</v>
      </c>
      <c r="Q323" s="13">
        <f t="shared" si="20"/>
        <v>263.5</v>
      </c>
      <c r="R323" s="13">
        <f t="shared" si="21"/>
        <v>190</v>
      </c>
      <c r="S323" s="13">
        <f t="shared" si="22"/>
        <v>73.5</v>
      </c>
      <c r="T323" s="14">
        <f t="shared" si="23"/>
        <v>0.27893738140417457</v>
      </c>
    </row>
    <row r="324" spans="1:20">
      <c r="A324" t="s">
        <v>1028</v>
      </c>
      <c r="B324" s="8">
        <v>46047</v>
      </c>
      <c r="C324" t="s">
        <v>213</v>
      </c>
      <c r="D324" t="s">
        <v>63</v>
      </c>
      <c r="E324" t="s">
        <v>715</v>
      </c>
      <c r="F324" t="s">
        <v>702</v>
      </c>
      <c r="G324">
        <v>3</v>
      </c>
      <c r="H324" s="9">
        <v>0.05</v>
      </c>
      <c r="I324" t="s">
        <v>699</v>
      </c>
      <c r="J324">
        <v>5</v>
      </c>
      <c r="K324">
        <v>5</v>
      </c>
      <c r="L324" t="str">
        <f>VLOOKUP(D324,Products!A:E,2,FALSE)</f>
        <v>Bookshelf</v>
      </c>
      <c r="M324" t="str">
        <f>VLOOKUP(D324,Products!A:E,3,FALSE)</f>
        <v>Furniture</v>
      </c>
      <c r="N324">
        <f>VLOOKUP(D324,Products!A:E,4,FALSE)</f>
        <v>185</v>
      </c>
      <c r="O324" s="13">
        <f>VLOOKUP(D324,Products!A:E,5,FALSE)</f>
        <v>105</v>
      </c>
      <c r="P324" s="13" t="str">
        <f>VLOOKUP(C324,Customers!A:C,3,FALSE)</f>
        <v>Corporate</v>
      </c>
      <c r="Q324" s="13">
        <f t="shared" si="20"/>
        <v>527.25</v>
      </c>
      <c r="R324" s="13">
        <f t="shared" si="21"/>
        <v>315</v>
      </c>
      <c r="S324" s="13">
        <f t="shared" si="22"/>
        <v>212.25</v>
      </c>
      <c r="T324" s="14">
        <f t="shared" si="23"/>
        <v>0.40256045519203415</v>
      </c>
    </row>
    <row r="325" spans="1:20">
      <c r="A325" t="s">
        <v>1029</v>
      </c>
      <c r="B325" s="8">
        <v>45934</v>
      </c>
      <c r="C325" t="s">
        <v>227</v>
      </c>
      <c r="D325" t="s">
        <v>74</v>
      </c>
      <c r="E325" t="s">
        <v>697</v>
      </c>
      <c r="F325" t="s">
        <v>702</v>
      </c>
      <c r="G325">
        <v>4</v>
      </c>
      <c r="H325" s="9">
        <v>0</v>
      </c>
      <c r="I325" t="s">
        <v>699</v>
      </c>
      <c r="J325">
        <v>2</v>
      </c>
      <c r="K325">
        <v>4</v>
      </c>
      <c r="L325" t="str">
        <f>VLOOKUP(D325,Products!A:E,2,FALSE)</f>
        <v>Printer Paper</v>
      </c>
      <c r="M325" t="str">
        <f>VLOOKUP(D325,Products!A:E,3,FALSE)</f>
        <v>Office Supplies</v>
      </c>
      <c r="N325">
        <f>VLOOKUP(D325,Products!A:E,4,FALSE)</f>
        <v>17</v>
      </c>
      <c r="O325" s="13">
        <f>VLOOKUP(D325,Products!A:E,5,FALSE)</f>
        <v>8</v>
      </c>
      <c r="P325" s="13" t="str">
        <f>VLOOKUP(C325,Customers!A:C,3,FALSE)</f>
        <v>Consumer</v>
      </c>
      <c r="Q325" s="13">
        <f t="shared" si="20"/>
        <v>68</v>
      </c>
      <c r="R325" s="13">
        <f t="shared" si="21"/>
        <v>32</v>
      </c>
      <c r="S325" s="13">
        <f t="shared" si="22"/>
        <v>36</v>
      </c>
      <c r="T325" s="14">
        <f t="shared" si="23"/>
        <v>0.52941176470588236</v>
      </c>
    </row>
    <row r="326" spans="1:20">
      <c r="A326" t="s">
        <v>1030</v>
      </c>
      <c r="B326" s="8">
        <v>45927</v>
      </c>
      <c r="C326" t="s">
        <v>621</v>
      </c>
      <c r="D326" t="s">
        <v>58</v>
      </c>
      <c r="E326" t="s">
        <v>708</v>
      </c>
      <c r="F326" t="s">
        <v>702</v>
      </c>
      <c r="G326">
        <v>1</v>
      </c>
      <c r="H326" s="9">
        <v>0.05</v>
      </c>
      <c r="I326" t="s">
        <v>703</v>
      </c>
      <c r="J326">
        <v>5</v>
      </c>
      <c r="K326">
        <v>7</v>
      </c>
      <c r="L326" t="str">
        <f>VLOOKUP(D326,Products!A:E,2,FALSE)</f>
        <v>Standing Desk</v>
      </c>
      <c r="M326" t="str">
        <f>VLOOKUP(D326,Products!A:E,3,FALSE)</f>
        <v>Furniture</v>
      </c>
      <c r="N326">
        <f>VLOOKUP(D326,Products!A:E,4,FALSE)</f>
        <v>540</v>
      </c>
      <c r="O326" s="13">
        <f>VLOOKUP(D326,Products!A:E,5,FALSE)</f>
        <v>320</v>
      </c>
      <c r="P326" s="13" t="str">
        <f>VLOOKUP(C326,Customers!A:C,3,FALSE)</f>
        <v>Small Business</v>
      </c>
      <c r="Q326" s="13">
        <f t="shared" si="20"/>
        <v>513</v>
      </c>
      <c r="R326" s="13">
        <f t="shared" si="21"/>
        <v>320</v>
      </c>
      <c r="S326" s="13">
        <f t="shared" si="22"/>
        <v>193</v>
      </c>
      <c r="T326" s="14">
        <f t="shared" si="23"/>
        <v>0.37621832358674462</v>
      </c>
    </row>
    <row r="327" spans="1:20">
      <c r="A327" t="s">
        <v>1031</v>
      </c>
      <c r="B327" s="8">
        <v>45898</v>
      </c>
      <c r="C327" t="s">
        <v>87</v>
      </c>
      <c r="D327" t="s">
        <v>45</v>
      </c>
      <c r="E327" t="s">
        <v>701</v>
      </c>
      <c r="F327" t="s">
        <v>706</v>
      </c>
      <c r="G327">
        <v>5</v>
      </c>
      <c r="H327" s="9">
        <v>0.1</v>
      </c>
      <c r="I327" t="s">
        <v>699</v>
      </c>
      <c r="J327">
        <v>2</v>
      </c>
      <c r="K327">
        <v>6</v>
      </c>
      <c r="L327" t="str">
        <f>VLOOKUP(D327,Products!A:E,2,FALSE)</f>
        <v>Laptop</v>
      </c>
      <c r="M327" t="str">
        <f>VLOOKUP(D327,Products!A:E,3,FALSE)</f>
        <v>Technology</v>
      </c>
      <c r="N327">
        <f>VLOOKUP(D327,Products!A:E,4,FALSE)</f>
        <v>1100</v>
      </c>
      <c r="O327" s="13">
        <f>VLOOKUP(D327,Products!A:E,5,FALSE)</f>
        <v>720</v>
      </c>
      <c r="P327" s="13" t="str">
        <f>VLOOKUP(C327,Customers!A:C,3,FALSE)</f>
        <v>Consumer</v>
      </c>
      <c r="Q327" s="13">
        <f t="shared" si="20"/>
        <v>4950</v>
      </c>
      <c r="R327" s="13">
        <f t="shared" si="21"/>
        <v>3600</v>
      </c>
      <c r="S327" s="13">
        <f t="shared" si="22"/>
        <v>1350</v>
      </c>
      <c r="T327" s="14">
        <f t="shared" si="23"/>
        <v>0.27272727272727271</v>
      </c>
    </row>
    <row r="328" spans="1:20">
      <c r="A328" t="s">
        <v>1032</v>
      </c>
      <c r="B328" s="8">
        <v>45761</v>
      </c>
      <c r="C328" t="s">
        <v>349</v>
      </c>
      <c r="D328" t="s">
        <v>61</v>
      </c>
      <c r="E328" t="s">
        <v>715</v>
      </c>
      <c r="F328" t="s">
        <v>706</v>
      </c>
      <c r="G328">
        <v>1</v>
      </c>
      <c r="H328" s="9">
        <v>0</v>
      </c>
      <c r="I328" t="s">
        <v>699</v>
      </c>
      <c r="J328">
        <v>5</v>
      </c>
      <c r="K328">
        <v>3</v>
      </c>
      <c r="L328" t="str">
        <f>VLOOKUP(D328,Products!A:E,2,FALSE)</f>
        <v>Office Chair</v>
      </c>
      <c r="M328" t="str">
        <f>VLOOKUP(D328,Products!A:E,3,FALSE)</f>
        <v>Furniture</v>
      </c>
      <c r="N328">
        <f>VLOOKUP(D328,Products!A:E,4,FALSE)</f>
        <v>255</v>
      </c>
      <c r="O328" s="13">
        <f>VLOOKUP(D328,Products!A:E,5,FALSE)</f>
        <v>145</v>
      </c>
      <c r="P328" s="13" t="str">
        <f>VLOOKUP(C328,Customers!A:C,3,FALSE)</f>
        <v>Consumer</v>
      </c>
      <c r="Q328" s="13">
        <f t="shared" si="20"/>
        <v>255</v>
      </c>
      <c r="R328" s="13">
        <f t="shared" si="21"/>
        <v>145</v>
      </c>
      <c r="S328" s="13">
        <f t="shared" si="22"/>
        <v>110</v>
      </c>
      <c r="T328" s="14">
        <f t="shared" si="23"/>
        <v>0.43137254901960786</v>
      </c>
    </row>
    <row r="329" spans="1:20">
      <c r="A329" t="s">
        <v>1033</v>
      </c>
      <c r="B329" s="8">
        <v>46026</v>
      </c>
      <c r="C329" t="s">
        <v>407</v>
      </c>
      <c r="D329" t="s">
        <v>74</v>
      </c>
      <c r="E329" t="s">
        <v>701</v>
      </c>
      <c r="F329" t="s">
        <v>702</v>
      </c>
      <c r="G329">
        <v>4</v>
      </c>
      <c r="H329" s="9">
        <v>0</v>
      </c>
      <c r="I329" t="s">
        <v>699</v>
      </c>
      <c r="J329">
        <v>5</v>
      </c>
      <c r="K329">
        <v>2</v>
      </c>
      <c r="L329" t="str">
        <f>VLOOKUP(D329,Products!A:E,2,FALSE)</f>
        <v>Printer Paper</v>
      </c>
      <c r="M329" t="str">
        <f>VLOOKUP(D329,Products!A:E,3,FALSE)</f>
        <v>Office Supplies</v>
      </c>
      <c r="N329">
        <f>VLOOKUP(D329,Products!A:E,4,FALSE)</f>
        <v>17</v>
      </c>
      <c r="O329" s="13">
        <f>VLOOKUP(D329,Products!A:E,5,FALSE)</f>
        <v>8</v>
      </c>
      <c r="P329" s="13" t="str">
        <f>VLOOKUP(C329,Customers!A:C,3,FALSE)</f>
        <v>Consumer</v>
      </c>
      <c r="Q329" s="13">
        <f t="shared" si="20"/>
        <v>68</v>
      </c>
      <c r="R329" s="13">
        <f t="shared" si="21"/>
        <v>32</v>
      </c>
      <c r="S329" s="13">
        <f t="shared" si="22"/>
        <v>36</v>
      </c>
      <c r="T329" s="14">
        <f t="shared" si="23"/>
        <v>0.52941176470588236</v>
      </c>
    </row>
    <row r="330" spans="1:20">
      <c r="A330" t="s">
        <v>1034</v>
      </c>
      <c r="B330" s="8">
        <v>45994</v>
      </c>
      <c r="C330" t="s">
        <v>453</v>
      </c>
      <c r="D330" t="s">
        <v>77</v>
      </c>
      <c r="E330" t="s">
        <v>697</v>
      </c>
      <c r="F330" t="s">
        <v>702</v>
      </c>
      <c r="G330">
        <v>4</v>
      </c>
      <c r="H330" s="9">
        <v>0</v>
      </c>
      <c r="I330" t="s">
        <v>699</v>
      </c>
      <c r="J330">
        <v>3</v>
      </c>
      <c r="K330">
        <v>4</v>
      </c>
      <c r="L330" t="str">
        <f>VLOOKUP(D330,Products!A:E,2,FALSE)</f>
        <v>File Folder Pack</v>
      </c>
      <c r="M330" t="str">
        <f>VLOOKUP(D330,Products!A:E,3,FALSE)</f>
        <v>Office Supplies</v>
      </c>
      <c r="N330">
        <f>VLOOKUP(D330,Products!A:E,4,FALSE)</f>
        <v>23</v>
      </c>
      <c r="O330" s="13">
        <f>VLOOKUP(D330,Products!A:E,5,FALSE)</f>
        <v>10</v>
      </c>
      <c r="P330" s="13" t="str">
        <f>VLOOKUP(C330,Customers!A:C,3,FALSE)</f>
        <v>Consumer</v>
      </c>
      <c r="Q330" s="13">
        <f t="shared" si="20"/>
        <v>92</v>
      </c>
      <c r="R330" s="13">
        <f t="shared" si="21"/>
        <v>40</v>
      </c>
      <c r="S330" s="13">
        <f t="shared" si="22"/>
        <v>52</v>
      </c>
      <c r="T330" s="14">
        <f t="shared" si="23"/>
        <v>0.56521739130434778</v>
      </c>
    </row>
    <row r="331" spans="1:20">
      <c r="A331" t="s">
        <v>1035</v>
      </c>
      <c r="B331" s="8">
        <v>46125</v>
      </c>
      <c r="C331" t="s">
        <v>365</v>
      </c>
      <c r="D331" t="s">
        <v>72</v>
      </c>
      <c r="E331" t="s">
        <v>701</v>
      </c>
      <c r="F331" t="s">
        <v>702</v>
      </c>
      <c r="G331">
        <v>2</v>
      </c>
      <c r="H331" s="9">
        <v>0.15</v>
      </c>
      <c r="I331" t="s">
        <v>699</v>
      </c>
      <c r="J331">
        <v>3</v>
      </c>
      <c r="K331">
        <v>1</v>
      </c>
      <c r="L331" t="str">
        <f>VLOOKUP(D331,Products!A:E,2,FALSE)</f>
        <v>Phone Charger</v>
      </c>
      <c r="M331" t="str">
        <f>VLOOKUP(D331,Products!A:E,3,FALSE)</f>
        <v>Accessories</v>
      </c>
      <c r="N331">
        <f>VLOOKUP(D331,Products!A:E,4,FALSE)</f>
        <v>32</v>
      </c>
      <c r="O331" s="13">
        <f>VLOOKUP(D331,Products!A:E,5,FALSE)</f>
        <v>13</v>
      </c>
      <c r="P331" s="13" t="str">
        <f>VLOOKUP(C331,Customers!A:C,3,FALSE)</f>
        <v>Consumer</v>
      </c>
      <c r="Q331" s="13">
        <f t="shared" si="20"/>
        <v>54.4</v>
      </c>
      <c r="R331" s="13">
        <f t="shared" si="21"/>
        <v>26</v>
      </c>
      <c r="S331" s="13">
        <f t="shared" si="22"/>
        <v>28.4</v>
      </c>
      <c r="T331" s="14">
        <f t="shared" si="23"/>
        <v>0.5220588235294118</v>
      </c>
    </row>
    <row r="332" spans="1:20">
      <c r="A332" t="s">
        <v>1036</v>
      </c>
      <c r="B332" s="8">
        <v>45821</v>
      </c>
      <c r="C332" t="s">
        <v>193</v>
      </c>
      <c r="D332" t="s">
        <v>74</v>
      </c>
      <c r="E332" t="s">
        <v>697</v>
      </c>
      <c r="F332" t="s">
        <v>698</v>
      </c>
      <c r="G332">
        <v>3</v>
      </c>
      <c r="H332" s="9">
        <v>0</v>
      </c>
      <c r="I332" t="s">
        <v>699</v>
      </c>
      <c r="J332">
        <v>5</v>
      </c>
      <c r="K332">
        <v>5</v>
      </c>
      <c r="L332" t="str">
        <f>VLOOKUP(D332,Products!A:E,2,FALSE)</f>
        <v>Printer Paper</v>
      </c>
      <c r="M332" t="str">
        <f>VLOOKUP(D332,Products!A:E,3,FALSE)</f>
        <v>Office Supplies</v>
      </c>
      <c r="N332">
        <f>VLOOKUP(D332,Products!A:E,4,FALSE)</f>
        <v>17</v>
      </c>
      <c r="O332" s="13">
        <f>VLOOKUP(D332,Products!A:E,5,FALSE)</f>
        <v>8</v>
      </c>
      <c r="P332" s="13" t="str">
        <f>VLOOKUP(C332,Customers!A:C,3,FALSE)</f>
        <v>Small Business</v>
      </c>
      <c r="Q332" s="13">
        <f t="shared" si="20"/>
        <v>51</v>
      </c>
      <c r="R332" s="13">
        <f t="shared" si="21"/>
        <v>24</v>
      </c>
      <c r="S332" s="13">
        <f t="shared" si="22"/>
        <v>27</v>
      </c>
      <c r="T332" s="14">
        <f t="shared" si="23"/>
        <v>0.52941176470588236</v>
      </c>
    </row>
    <row r="333" spans="1:20">
      <c r="A333" t="s">
        <v>1037</v>
      </c>
      <c r="B333" s="8">
        <v>45687</v>
      </c>
      <c r="C333" t="s">
        <v>219</v>
      </c>
      <c r="D333" t="s">
        <v>79</v>
      </c>
      <c r="E333" t="s">
        <v>697</v>
      </c>
      <c r="F333" t="s">
        <v>702</v>
      </c>
      <c r="G333">
        <v>2</v>
      </c>
      <c r="H333" s="9">
        <v>0</v>
      </c>
      <c r="I333" t="s">
        <v>699</v>
      </c>
      <c r="J333">
        <v>4</v>
      </c>
      <c r="K333">
        <v>5</v>
      </c>
      <c r="L333" t="str">
        <f>VLOOKUP(D333,Products!A:E,2,FALSE)</f>
        <v>Desk Organiser</v>
      </c>
      <c r="M333" t="str">
        <f>VLOOKUP(D333,Products!A:E,3,FALSE)</f>
        <v>Office Supplies</v>
      </c>
      <c r="N333">
        <f>VLOOKUP(D333,Products!A:E,4,FALSE)</f>
        <v>28</v>
      </c>
      <c r="O333" s="13">
        <f>VLOOKUP(D333,Products!A:E,5,FALSE)</f>
        <v>12</v>
      </c>
      <c r="P333" s="13" t="str">
        <f>VLOOKUP(C333,Customers!A:C,3,FALSE)</f>
        <v>Consumer</v>
      </c>
      <c r="Q333" s="13">
        <f t="shared" si="20"/>
        <v>56</v>
      </c>
      <c r="R333" s="13">
        <f t="shared" si="21"/>
        <v>24</v>
      </c>
      <c r="S333" s="13">
        <f t="shared" si="22"/>
        <v>32</v>
      </c>
      <c r="T333" s="14">
        <f t="shared" si="23"/>
        <v>0.5714285714285714</v>
      </c>
    </row>
    <row r="334" spans="1:20">
      <c r="A334" t="s">
        <v>1038</v>
      </c>
      <c r="B334" s="8">
        <v>46248</v>
      </c>
      <c r="C334" t="s">
        <v>665</v>
      </c>
      <c r="D334" t="s">
        <v>61</v>
      </c>
      <c r="E334" t="s">
        <v>697</v>
      </c>
      <c r="F334" t="s">
        <v>698</v>
      </c>
      <c r="G334">
        <v>2</v>
      </c>
      <c r="H334" s="9">
        <v>0.05</v>
      </c>
      <c r="I334" t="s">
        <v>699</v>
      </c>
      <c r="J334">
        <v>2</v>
      </c>
      <c r="K334">
        <v>6</v>
      </c>
      <c r="L334" t="str">
        <f>VLOOKUP(D334,Products!A:E,2,FALSE)</f>
        <v>Office Chair</v>
      </c>
      <c r="M334" t="str">
        <f>VLOOKUP(D334,Products!A:E,3,FALSE)</f>
        <v>Furniture</v>
      </c>
      <c r="N334">
        <f>VLOOKUP(D334,Products!A:E,4,FALSE)</f>
        <v>255</v>
      </c>
      <c r="O334" s="13">
        <f>VLOOKUP(D334,Products!A:E,5,FALSE)</f>
        <v>145</v>
      </c>
      <c r="P334" s="13" t="str">
        <f>VLOOKUP(C334,Customers!A:C,3,FALSE)</f>
        <v>Consumer</v>
      </c>
      <c r="Q334" s="13">
        <f t="shared" si="20"/>
        <v>484.5</v>
      </c>
      <c r="R334" s="13">
        <f t="shared" si="21"/>
        <v>290</v>
      </c>
      <c r="S334" s="13">
        <f t="shared" si="22"/>
        <v>194.5</v>
      </c>
      <c r="T334" s="14">
        <f t="shared" si="23"/>
        <v>0.40144478844169246</v>
      </c>
    </row>
    <row r="335" spans="1:20">
      <c r="A335" t="s">
        <v>1039</v>
      </c>
      <c r="B335" s="8">
        <v>46012</v>
      </c>
      <c r="C335" t="s">
        <v>481</v>
      </c>
      <c r="D335" t="s">
        <v>54</v>
      </c>
      <c r="E335" t="s">
        <v>697</v>
      </c>
      <c r="F335" t="s">
        <v>698</v>
      </c>
      <c r="G335">
        <v>8</v>
      </c>
      <c r="H335" s="9">
        <v>0</v>
      </c>
      <c r="I335" t="s">
        <v>699</v>
      </c>
      <c r="J335">
        <v>3</v>
      </c>
      <c r="K335">
        <v>4</v>
      </c>
      <c r="L335" t="str">
        <f>VLOOKUP(D335,Products!A:E,2,FALSE)</f>
        <v>Webcam</v>
      </c>
      <c r="M335" t="str">
        <f>VLOOKUP(D335,Products!A:E,3,FALSE)</f>
        <v>Technology</v>
      </c>
      <c r="N335">
        <f>VLOOKUP(D335,Products!A:E,4,FALSE)</f>
        <v>115</v>
      </c>
      <c r="O335" s="13">
        <f>VLOOKUP(D335,Products!A:E,5,FALSE)</f>
        <v>58</v>
      </c>
      <c r="P335" s="13" t="str">
        <f>VLOOKUP(C335,Customers!A:C,3,FALSE)</f>
        <v>Consumer</v>
      </c>
      <c r="Q335" s="13">
        <f t="shared" si="20"/>
        <v>920</v>
      </c>
      <c r="R335" s="13">
        <f t="shared" si="21"/>
        <v>464</v>
      </c>
      <c r="S335" s="13">
        <f t="shared" si="22"/>
        <v>456</v>
      </c>
      <c r="T335" s="14">
        <f t="shared" si="23"/>
        <v>0.4956521739130435</v>
      </c>
    </row>
    <row r="336" spans="1:20">
      <c r="A336" t="s">
        <v>1040</v>
      </c>
      <c r="B336" s="8">
        <v>46165</v>
      </c>
      <c r="C336" t="s">
        <v>255</v>
      </c>
      <c r="D336" t="s">
        <v>50</v>
      </c>
      <c r="E336" t="s">
        <v>701</v>
      </c>
      <c r="F336" t="s">
        <v>702</v>
      </c>
      <c r="G336">
        <v>2</v>
      </c>
      <c r="H336" s="9">
        <v>0</v>
      </c>
      <c r="I336" t="s">
        <v>699</v>
      </c>
      <c r="J336">
        <v>4</v>
      </c>
      <c r="K336">
        <v>4</v>
      </c>
      <c r="L336" t="str">
        <f>VLOOKUP(D336,Products!A:E,2,FALSE)</f>
        <v>Keyboard</v>
      </c>
      <c r="M336" t="str">
        <f>VLOOKUP(D336,Products!A:E,3,FALSE)</f>
        <v>Technology</v>
      </c>
      <c r="N336">
        <f>VLOOKUP(D336,Products!A:E,4,FALSE)</f>
        <v>75</v>
      </c>
      <c r="O336" s="13">
        <f>VLOOKUP(D336,Products!A:E,5,FALSE)</f>
        <v>38</v>
      </c>
      <c r="P336" s="13" t="str">
        <f>VLOOKUP(C336,Customers!A:C,3,FALSE)</f>
        <v>Consumer</v>
      </c>
      <c r="Q336" s="13">
        <f t="shared" si="20"/>
        <v>150</v>
      </c>
      <c r="R336" s="13">
        <f t="shared" si="21"/>
        <v>76</v>
      </c>
      <c r="S336" s="13">
        <f t="shared" si="22"/>
        <v>74</v>
      </c>
      <c r="T336" s="14">
        <f t="shared" si="23"/>
        <v>0.49333333333333335</v>
      </c>
    </row>
    <row r="337" spans="1:20">
      <c r="A337" t="s">
        <v>1041</v>
      </c>
      <c r="B337" s="8">
        <v>46070</v>
      </c>
      <c r="C337" t="s">
        <v>327</v>
      </c>
      <c r="D337" t="s">
        <v>50</v>
      </c>
      <c r="E337" t="s">
        <v>715</v>
      </c>
      <c r="F337" t="s">
        <v>698</v>
      </c>
      <c r="G337">
        <v>2</v>
      </c>
      <c r="H337" s="9">
        <v>0.15</v>
      </c>
      <c r="I337" t="s">
        <v>699</v>
      </c>
      <c r="J337">
        <v>3</v>
      </c>
      <c r="K337">
        <v>4</v>
      </c>
      <c r="L337" t="str">
        <f>VLOOKUP(D337,Products!A:E,2,FALSE)</f>
        <v>Keyboard</v>
      </c>
      <c r="M337" t="str">
        <f>VLOOKUP(D337,Products!A:E,3,FALSE)</f>
        <v>Technology</v>
      </c>
      <c r="N337">
        <f>VLOOKUP(D337,Products!A:E,4,FALSE)</f>
        <v>75</v>
      </c>
      <c r="O337" s="13">
        <f>VLOOKUP(D337,Products!A:E,5,FALSE)</f>
        <v>38</v>
      </c>
      <c r="P337" s="13" t="str">
        <f>VLOOKUP(C337,Customers!A:C,3,FALSE)</f>
        <v>Corporate</v>
      </c>
      <c r="Q337" s="13">
        <f t="shared" si="20"/>
        <v>127.5</v>
      </c>
      <c r="R337" s="13">
        <f t="shared" si="21"/>
        <v>76</v>
      </c>
      <c r="S337" s="13">
        <f t="shared" si="22"/>
        <v>51.5</v>
      </c>
      <c r="T337" s="14">
        <f t="shared" si="23"/>
        <v>0.40392156862745099</v>
      </c>
    </row>
    <row r="338" spans="1:20">
      <c r="A338" t="s">
        <v>1042</v>
      </c>
      <c r="B338" s="8">
        <v>45676</v>
      </c>
      <c r="C338" t="s">
        <v>191</v>
      </c>
      <c r="D338" t="s">
        <v>72</v>
      </c>
      <c r="E338" t="s">
        <v>708</v>
      </c>
      <c r="F338" t="s">
        <v>698</v>
      </c>
      <c r="G338">
        <v>1</v>
      </c>
      <c r="H338" s="9">
        <v>0</v>
      </c>
      <c r="I338" t="s">
        <v>699</v>
      </c>
      <c r="J338">
        <v>5</v>
      </c>
      <c r="K338">
        <v>3</v>
      </c>
      <c r="L338" t="str">
        <f>VLOOKUP(D338,Products!A:E,2,FALSE)</f>
        <v>Phone Charger</v>
      </c>
      <c r="M338" t="str">
        <f>VLOOKUP(D338,Products!A:E,3,FALSE)</f>
        <v>Accessories</v>
      </c>
      <c r="N338">
        <f>VLOOKUP(D338,Products!A:E,4,FALSE)</f>
        <v>32</v>
      </c>
      <c r="O338" s="13">
        <f>VLOOKUP(D338,Products!A:E,5,FALSE)</f>
        <v>13</v>
      </c>
      <c r="P338" s="13" t="str">
        <f>VLOOKUP(C338,Customers!A:C,3,FALSE)</f>
        <v>Consumer</v>
      </c>
      <c r="Q338" s="13">
        <f t="shared" si="20"/>
        <v>32</v>
      </c>
      <c r="R338" s="13">
        <f t="shared" si="21"/>
        <v>13</v>
      </c>
      <c r="S338" s="13">
        <f t="shared" si="22"/>
        <v>19</v>
      </c>
      <c r="T338" s="14">
        <f t="shared" si="23"/>
        <v>0.59375</v>
      </c>
    </row>
    <row r="339" spans="1:20">
      <c r="A339" t="s">
        <v>1043</v>
      </c>
      <c r="B339" s="8">
        <v>46178</v>
      </c>
      <c r="C339" t="s">
        <v>661</v>
      </c>
      <c r="D339" t="s">
        <v>58</v>
      </c>
      <c r="E339" t="s">
        <v>701</v>
      </c>
      <c r="F339" t="s">
        <v>702</v>
      </c>
      <c r="G339">
        <v>2</v>
      </c>
      <c r="H339" s="9">
        <v>0.1</v>
      </c>
      <c r="I339" t="s">
        <v>699</v>
      </c>
      <c r="J339">
        <v>5</v>
      </c>
      <c r="K339">
        <v>3</v>
      </c>
      <c r="L339" t="str">
        <f>VLOOKUP(D339,Products!A:E,2,FALSE)</f>
        <v>Standing Desk</v>
      </c>
      <c r="M339" t="str">
        <f>VLOOKUP(D339,Products!A:E,3,FALSE)</f>
        <v>Furniture</v>
      </c>
      <c r="N339">
        <f>VLOOKUP(D339,Products!A:E,4,FALSE)</f>
        <v>540</v>
      </c>
      <c r="O339" s="13">
        <f>VLOOKUP(D339,Products!A:E,5,FALSE)</f>
        <v>320</v>
      </c>
      <c r="P339" s="13" t="str">
        <f>VLOOKUP(C339,Customers!A:C,3,FALSE)</f>
        <v>Consumer</v>
      </c>
      <c r="Q339" s="13">
        <f t="shared" si="20"/>
        <v>972</v>
      </c>
      <c r="R339" s="13">
        <f t="shared" si="21"/>
        <v>640</v>
      </c>
      <c r="S339" s="13">
        <f t="shared" si="22"/>
        <v>332</v>
      </c>
      <c r="T339" s="14">
        <f t="shared" si="23"/>
        <v>0.34156378600823045</v>
      </c>
    </row>
    <row r="340" spans="1:20">
      <c r="A340" t="s">
        <v>1044</v>
      </c>
      <c r="B340" s="8">
        <v>46231</v>
      </c>
      <c r="C340" t="s">
        <v>571</v>
      </c>
      <c r="D340" t="s">
        <v>70</v>
      </c>
      <c r="E340" t="s">
        <v>701</v>
      </c>
      <c r="F340" t="s">
        <v>702</v>
      </c>
      <c r="G340">
        <v>4</v>
      </c>
      <c r="H340" s="9">
        <v>0</v>
      </c>
      <c r="I340" t="s">
        <v>699</v>
      </c>
      <c r="J340">
        <v>5</v>
      </c>
      <c r="K340">
        <v>3</v>
      </c>
      <c r="L340" t="str">
        <f>VLOOKUP(D340,Products!A:E,2,FALSE)</f>
        <v>USB-C Hub</v>
      </c>
      <c r="M340" t="str">
        <f>VLOOKUP(D340,Products!A:E,3,FALSE)</f>
        <v>Accessories</v>
      </c>
      <c r="N340">
        <f>VLOOKUP(D340,Products!A:E,4,FALSE)</f>
        <v>68</v>
      </c>
      <c r="O340" s="13">
        <f>VLOOKUP(D340,Products!A:E,5,FALSE)</f>
        <v>31</v>
      </c>
      <c r="P340" s="13" t="str">
        <f>VLOOKUP(C340,Customers!A:C,3,FALSE)</f>
        <v>Corporate</v>
      </c>
      <c r="Q340" s="13">
        <f t="shared" si="20"/>
        <v>272</v>
      </c>
      <c r="R340" s="13">
        <f t="shared" si="21"/>
        <v>124</v>
      </c>
      <c r="S340" s="13">
        <f t="shared" si="22"/>
        <v>148</v>
      </c>
      <c r="T340" s="14">
        <f t="shared" si="23"/>
        <v>0.54411764705882348</v>
      </c>
    </row>
    <row r="341" spans="1:20">
      <c r="A341" t="s">
        <v>1045</v>
      </c>
      <c r="B341" s="8">
        <v>46218</v>
      </c>
      <c r="C341" t="s">
        <v>621</v>
      </c>
      <c r="D341" t="s">
        <v>70</v>
      </c>
      <c r="E341" t="s">
        <v>701</v>
      </c>
      <c r="F341" t="s">
        <v>702</v>
      </c>
      <c r="G341">
        <v>1</v>
      </c>
      <c r="H341" s="9">
        <v>0</v>
      </c>
      <c r="I341" t="s">
        <v>699</v>
      </c>
      <c r="J341">
        <v>5</v>
      </c>
      <c r="K341">
        <v>1</v>
      </c>
      <c r="L341" t="str">
        <f>VLOOKUP(D341,Products!A:E,2,FALSE)</f>
        <v>USB-C Hub</v>
      </c>
      <c r="M341" t="str">
        <f>VLOOKUP(D341,Products!A:E,3,FALSE)</f>
        <v>Accessories</v>
      </c>
      <c r="N341">
        <f>VLOOKUP(D341,Products!A:E,4,FALSE)</f>
        <v>68</v>
      </c>
      <c r="O341" s="13">
        <f>VLOOKUP(D341,Products!A:E,5,FALSE)</f>
        <v>31</v>
      </c>
      <c r="P341" s="13" t="str">
        <f>VLOOKUP(C341,Customers!A:C,3,FALSE)</f>
        <v>Small Business</v>
      </c>
      <c r="Q341" s="13">
        <f t="shared" si="20"/>
        <v>68</v>
      </c>
      <c r="R341" s="13">
        <f t="shared" si="21"/>
        <v>31</v>
      </c>
      <c r="S341" s="13">
        <f t="shared" si="22"/>
        <v>37</v>
      </c>
      <c r="T341" s="14">
        <f t="shared" si="23"/>
        <v>0.54411764705882348</v>
      </c>
    </row>
    <row r="342" spans="1:20">
      <c r="A342" t="s">
        <v>1046</v>
      </c>
      <c r="B342" s="8">
        <v>45918</v>
      </c>
      <c r="C342" t="s">
        <v>287</v>
      </c>
      <c r="D342" t="s">
        <v>58</v>
      </c>
      <c r="E342" t="s">
        <v>705</v>
      </c>
      <c r="F342" t="s">
        <v>706</v>
      </c>
      <c r="G342">
        <v>1</v>
      </c>
      <c r="H342" s="9">
        <v>0.1</v>
      </c>
      <c r="I342" t="s">
        <v>699</v>
      </c>
      <c r="J342">
        <v>4</v>
      </c>
      <c r="K342">
        <v>4</v>
      </c>
      <c r="L342" t="str">
        <f>VLOOKUP(D342,Products!A:E,2,FALSE)</f>
        <v>Standing Desk</v>
      </c>
      <c r="M342" t="str">
        <f>VLOOKUP(D342,Products!A:E,3,FALSE)</f>
        <v>Furniture</v>
      </c>
      <c r="N342">
        <f>VLOOKUP(D342,Products!A:E,4,FALSE)</f>
        <v>540</v>
      </c>
      <c r="O342" s="13">
        <f>VLOOKUP(D342,Products!A:E,5,FALSE)</f>
        <v>320</v>
      </c>
      <c r="P342" s="13" t="str">
        <f>VLOOKUP(C342,Customers!A:C,3,FALSE)</f>
        <v>Consumer</v>
      </c>
      <c r="Q342" s="13">
        <f t="shared" si="20"/>
        <v>486</v>
      </c>
      <c r="R342" s="13">
        <f t="shared" si="21"/>
        <v>320</v>
      </c>
      <c r="S342" s="13">
        <f t="shared" si="22"/>
        <v>166</v>
      </c>
      <c r="T342" s="14">
        <f t="shared" si="23"/>
        <v>0.34156378600823045</v>
      </c>
    </row>
    <row r="343" spans="1:20">
      <c r="A343" t="s">
        <v>1047</v>
      </c>
      <c r="B343" s="8">
        <v>45705</v>
      </c>
      <c r="C343" t="s">
        <v>213</v>
      </c>
      <c r="D343" t="s">
        <v>77</v>
      </c>
      <c r="E343" t="s">
        <v>715</v>
      </c>
      <c r="F343" t="s">
        <v>698</v>
      </c>
      <c r="G343">
        <v>2</v>
      </c>
      <c r="H343" s="9">
        <v>0.2</v>
      </c>
      <c r="I343" t="s">
        <v>699</v>
      </c>
      <c r="J343">
        <v>5</v>
      </c>
      <c r="K343">
        <v>5</v>
      </c>
      <c r="L343" t="str">
        <f>VLOOKUP(D343,Products!A:E,2,FALSE)</f>
        <v>File Folder Pack</v>
      </c>
      <c r="M343" t="str">
        <f>VLOOKUP(D343,Products!A:E,3,FALSE)</f>
        <v>Office Supplies</v>
      </c>
      <c r="N343">
        <f>VLOOKUP(D343,Products!A:E,4,FALSE)</f>
        <v>23</v>
      </c>
      <c r="O343" s="13">
        <f>VLOOKUP(D343,Products!A:E,5,FALSE)</f>
        <v>10</v>
      </c>
      <c r="P343" s="13" t="str">
        <f>VLOOKUP(C343,Customers!A:C,3,FALSE)</f>
        <v>Corporate</v>
      </c>
      <c r="Q343" s="13">
        <f t="shared" si="20"/>
        <v>36.800000000000004</v>
      </c>
      <c r="R343" s="13">
        <f t="shared" si="21"/>
        <v>20</v>
      </c>
      <c r="S343" s="13">
        <f t="shared" si="22"/>
        <v>16.800000000000004</v>
      </c>
      <c r="T343" s="14">
        <f t="shared" si="23"/>
        <v>0.45652173913043487</v>
      </c>
    </row>
    <row r="344" spans="1:20">
      <c r="A344" t="s">
        <v>1048</v>
      </c>
      <c r="B344" s="8">
        <v>46101</v>
      </c>
      <c r="C344" t="s">
        <v>685</v>
      </c>
      <c r="D344" t="s">
        <v>79</v>
      </c>
      <c r="E344" t="s">
        <v>697</v>
      </c>
      <c r="F344" t="s">
        <v>698</v>
      </c>
      <c r="G344">
        <v>6</v>
      </c>
      <c r="H344" s="9">
        <v>0.1</v>
      </c>
      <c r="I344" t="s">
        <v>699</v>
      </c>
      <c r="J344">
        <v>5</v>
      </c>
      <c r="K344">
        <v>1</v>
      </c>
      <c r="L344" t="str">
        <f>VLOOKUP(D344,Products!A:E,2,FALSE)</f>
        <v>Desk Organiser</v>
      </c>
      <c r="M344" t="str">
        <f>VLOOKUP(D344,Products!A:E,3,FALSE)</f>
        <v>Office Supplies</v>
      </c>
      <c r="N344">
        <f>VLOOKUP(D344,Products!A:E,4,FALSE)</f>
        <v>28</v>
      </c>
      <c r="O344" s="13">
        <f>VLOOKUP(D344,Products!A:E,5,FALSE)</f>
        <v>12</v>
      </c>
      <c r="P344" s="13" t="str">
        <f>VLOOKUP(C344,Customers!A:C,3,FALSE)</f>
        <v>Small Business</v>
      </c>
      <c r="Q344" s="13">
        <f t="shared" si="20"/>
        <v>151.20000000000002</v>
      </c>
      <c r="R344" s="13">
        <f t="shared" si="21"/>
        <v>72</v>
      </c>
      <c r="S344" s="13">
        <f t="shared" si="22"/>
        <v>79.200000000000017</v>
      </c>
      <c r="T344" s="14">
        <f t="shared" si="23"/>
        <v>0.52380952380952384</v>
      </c>
    </row>
    <row r="345" spans="1:20">
      <c r="A345" t="s">
        <v>1049</v>
      </c>
      <c r="B345" s="8">
        <v>46054</v>
      </c>
      <c r="C345" t="s">
        <v>415</v>
      </c>
      <c r="D345" t="s">
        <v>72</v>
      </c>
      <c r="E345" t="s">
        <v>708</v>
      </c>
      <c r="F345" t="s">
        <v>698</v>
      </c>
      <c r="G345">
        <v>3</v>
      </c>
      <c r="H345" s="9">
        <v>0</v>
      </c>
      <c r="I345" t="s">
        <v>699</v>
      </c>
      <c r="J345">
        <v>4</v>
      </c>
      <c r="K345">
        <v>3</v>
      </c>
      <c r="L345" t="str">
        <f>VLOOKUP(D345,Products!A:E,2,FALSE)</f>
        <v>Phone Charger</v>
      </c>
      <c r="M345" t="str">
        <f>VLOOKUP(D345,Products!A:E,3,FALSE)</f>
        <v>Accessories</v>
      </c>
      <c r="N345">
        <f>VLOOKUP(D345,Products!A:E,4,FALSE)</f>
        <v>32</v>
      </c>
      <c r="O345" s="13">
        <f>VLOOKUP(D345,Products!A:E,5,FALSE)</f>
        <v>13</v>
      </c>
      <c r="P345" s="13" t="str">
        <f>VLOOKUP(C345,Customers!A:C,3,FALSE)</f>
        <v>Small Business</v>
      </c>
      <c r="Q345" s="13">
        <f t="shared" si="20"/>
        <v>96</v>
      </c>
      <c r="R345" s="13">
        <f t="shared" si="21"/>
        <v>39</v>
      </c>
      <c r="S345" s="13">
        <f t="shared" si="22"/>
        <v>57</v>
      </c>
      <c r="T345" s="14">
        <f t="shared" si="23"/>
        <v>0.59375</v>
      </c>
    </row>
    <row r="346" spans="1:20">
      <c r="A346" t="s">
        <v>1050</v>
      </c>
      <c r="B346" s="8">
        <v>46121</v>
      </c>
      <c r="C346" t="s">
        <v>223</v>
      </c>
      <c r="D346" t="s">
        <v>54</v>
      </c>
      <c r="E346" t="s">
        <v>708</v>
      </c>
      <c r="F346" t="s">
        <v>698</v>
      </c>
      <c r="G346">
        <v>4</v>
      </c>
      <c r="H346" s="9">
        <v>0</v>
      </c>
      <c r="I346" t="s">
        <v>699</v>
      </c>
      <c r="J346">
        <v>5</v>
      </c>
      <c r="K346">
        <v>5</v>
      </c>
      <c r="L346" t="str">
        <f>VLOOKUP(D346,Products!A:E,2,FALSE)</f>
        <v>Webcam</v>
      </c>
      <c r="M346" t="str">
        <f>VLOOKUP(D346,Products!A:E,3,FALSE)</f>
        <v>Technology</v>
      </c>
      <c r="N346">
        <f>VLOOKUP(D346,Products!A:E,4,FALSE)</f>
        <v>115</v>
      </c>
      <c r="O346" s="13">
        <f>VLOOKUP(D346,Products!A:E,5,FALSE)</f>
        <v>58</v>
      </c>
      <c r="P346" s="13" t="str">
        <f>VLOOKUP(C346,Customers!A:C,3,FALSE)</f>
        <v>Consumer</v>
      </c>
      <c r="Q346" s="13">
        <f t="shared" si="20"/>
        <v>460</v>
      </c>
      <c r="R346" s="13">
        <f t="shared" si="21"/>
        <v>232</v>
      </c>
      <c r="S346" s="13">
        <f t="shared" si="22"/>
        <v>228</v>
      </c>
      <c r="T346" s="14">
        <f t="shared" si="23"/>
        <v>0.4956521739130435</v>
      </c>
    </row>
    <row r="347" spans="1:20">
      <c r="A347" t="s">
        <v>1051</v>
      </c>
      <c r="B347" s="8">
        <v>45880</v>
      </c>
      <c r="C347" t="s">
        <v>291</v>
      </c>
      <c r="D347" t="s">
        <v>58</v>
      </c>
      <c r="E347" t="s">
        <v>701</v>
      </c>
      <c r="F347" t="s">
        <v>702</v>
      </c>
      <c r="G347">
        <v>2</v>
      </c>
      <c r="H347" s="9">
        <v>0.1</v>
      </c>
      <c r="I347" t="s">
        <v>703</v>
      </c>
      <c r="J347">
        <v>5</v>
      </c>
      <c r="K347">
        <v>5</v>
      </c>
      <c r="L347" t="str">
        <f>VLOOKUP(D347,Products!A:E,2,FALSE)</f>
        <v>Standing Desk</v>
      </c>
      <c r="M347" t="str">
        <f>VLOOKUP(D347,Products!A:E,3,FALSE)</f>
        <v>Furniture</v>
      </c>
      <c r="N347">
        <f>VLOOKUP(D347,Products!A:E,4,FALSE)</f>
        <v>540</v>
      </c>
      <c r="O347" s="13">
        <f>VLOOKUP(D347,Products!A:E,5,FALSE)</f>
        <v>320</v>
      </c>
      <c r="P347" s="13" t="str">
        <f>VLOOKUP(C347,Customers!A:C,3,FALSE)</f>
        <v>Corporate</v>
      </c>
      <c r="Q347" s="13">
        <f t="shared" si="20"/>
        <v>972</v>
      </c>
      <c r="R347" s="13">
        <f t="shared" si="21"/>
        <v>640</v>
      </c>
      <c r="S347" s="13">
        <f t="shared" si="22"/>
        <v>332</v>
      </c>
      <c r="T347" s="14">
        <f t="shared" si="23"/>
        <v>0.34156378600823045</v>
      </c>
    </row>
    <row r="348" spans="1:20">
      <c r="A348" t="s">
        <v>1052</v>
      </c>
      <c r="B348" s="8">
        <v>45776</v>
      </c>
      <c r="C348" t="s">
        <v>447</v>
      </c>
      <c r="D348" t="s">
        <v>79</v>
      </c>
      <c r="E348" t="s">
        <v>715</v>
      </c>
      <c r="F348" t="s">
        <v>706</v>
      </c>
      <c r="G348">
        <v>4</v>
      </c>
      <c r="H348" s="9">
        <v>0.1</v>
      </c>
      <c r="I348" t="s">
        <v>699</v>
      </c>
      <c r="J348">
        <v>4</v>
      </c>
      <c r="K348">
        <v>4</v>
      </c>
      <c r="L348" t="str">
        <f>VLOOKUP(D348,Products!A:E,2,FALSE)</f>
        <v>Desk Organiser</v>
      </c>
      <c r="M348" t="str">
        <f>VLOOKUP(D348,Products!A:E,3,FALSE)</f>
        <v>Office Supplies</v>
      </c>
      <c r="N348">
        <f>VLOOKUP(D348,Products!A:E,4,FALSE)</f>
        <v>28</v>
      </c>
      <c r="O348" s="13">
        <f>VLOOKUP(D348,Products!A:E,5,FALSE)</f>
        <v>12</v>
      </c>
      <c r="P348" s="13" t="str">
        <f>VLOOKUP(C348,Customers!A:C,3,FALSE)</f>
        <v>Corporate</v>
      </c>
      <c r="Q348" s="13">
        <f t="shared" si="20"/>
        <v>100.8</v>
      </c>
      <c r="R348" s="13">
        <f t="shared" si="21"/>
        <v>48</v>
      </c>
      <c r="S348" s="13">
        <f t="shared" si="22"/>
        <v>52.8</v>
      </c>
      <c r="T348" s="14">
        <f t="shared" si="23"/>
        <v>0.52380952380952384</v>
      </c>
    </row>
    <row r="349" spans="1:20">
      <c r="A349" t="s">
        <v>1053</v>
      </c>
      <c r="B349" s="8">
        <v>45671</v>
      </c>
      <c r="C349" t="s">
        <v>621</v>
      </c>
      <c r="D349" t="s">
        <v>52</v>
      </c>
      <c r="E349" t="s">
        <v>705</v>
      </c>
      <c r="F349" t="s">
        <v>702</v>
      </c>
      <c r="G349">
        <v>3</v>
      </c>
      <c r="H349" s="9">
        <v>0</v>
      </c>
      <c r="I349" t="s">
        <v>699</v>
      </c>
      <c r="J349">
        <v>3</v>
      </c>
      <c r="K349">
        <v>3</v>
      </c>
      <c r="L349" t="str">
        <f>VLOOKUP(D349,Products!A:E,2,FALSE)</f>
        <v>Mouse</v>
      </c>
      <c r="M349" t="str">
        <f>VLOOKUP(D349,Products!A:E,3,FALSE)</f>
        <v>Technology</v>
      </c>
      <c r="N349">
        <f>VLOOKUP(D349,Products!A:E,4,FALSE)</f>
        <v>42</v>
      </c>
      <c r="O349" s="13">
        <f>VLOOKUP(D349,Products!A:E,5,FALSE)</f>
        <v>19</v>
      </c>
      <c r="P349" s="13" t="str">
        <f>VLOOKUP(C349,Customers!A:C,3,FALSE)</f>
        <v>Small Business</v>
      </c>
      <c r="Q349" s="13">
        <f t="shared" si="20"/>
        <v>126</v>
      </c>
      <c r="R349" s="13">
        <f t="shared" si="21"/>
        <v>57</v>
      </c>
      <c r="S349" s="13">
        <f t="shared" si="22"/>
        <v>69</v>
      </c>
      <c r="T349" s="14">
        <f t="shared" si="23"/>
        <v>0.54761904761904767</v>
      </c>
    </row>
    <row r="350" spans="1:20">
      <c r="A350" t="s">
        <v>1054</v>
      </c>
      <c r="B350" s="8">
        <v>45914</v>
      </c>
      <c r="C350" t="s">
        <v>235</v>
      </c>
      <c r="D350" t="s">
        <v>48</v>
      </c>
      <c r="E350" t="s">
        <v>701</v>
      </c>
      <c r="F350" t="s">
        <v>702</v>
      </c>
      <c r="G350">
        <v>4</v>
      </c>
      <c r="H350" s="9">
        <v>0</v>
      </c>
      <c r="I350" t="s">
        <v>699</v>
      </c>
      <c r="J350">
        <v>2</v>
      </c>
      <c r="K350">
        <v>7</v>
      </c>
      <c r="L350" t="str">
        <f>VLOOKUP(D350,Products!A:E,2,FALSE)</f>
        <v>Monitor</v>
      </c>
      <c r="M350" t="str">
        <f>VLOOKUP(D350,Products!A:E,3,FALSE)</f>
        <v>Technology</v>
      </c>
      <c r="N350">
        <f>VLOOKUP(D350,Products!A:E,4,FALSE)</f>
        <v>310</v>
      </c>
      <c r="O350" s="13">
        <f>VLOOKUP(D350,Products!A:E,5,FALSE)</f>
        <v>190</v>
      </c>
      <c r="P350" s="13" t="str">
        <f>VLOOKUP(C350,Customers!A:C,3,FALSE)</f>
        <v>Corporate</v>
      </c>
      <c r="Q350" s="13">
        <f t="shared" si="20"/>
        <v>1240</v>
      </c>
      <c r="R350" s="13">
        <f t="shared" si="21"/>
        <v>760</v>
      </c>
      <c r="S350" s="13">
        <f t="shared" si="22"/>
        <v>480</v>
      </c>
      <c r="T350" s="14">
        <f t="shared" si="23"/>
        <v>0.38709677419354838</v>
      </c>
    </row>
    <row r="351" spans="1:20">
      <c r="A351" t="s">
        <v>1055</v>
      </c>
      <c r="B351" s="8">
        <v>46232</v>
      </c>
      <c r="C351" t="s">
        <v>485</v>
      </c>
      <c r="D351" t="s">
        <v>61</v>
      </c>
      <c r="E351" t="s">
        <v>715</v>
      </c>
      <c r="F351" t="s">
        <v>698</v>
      </c>
      <c r="G351">
        <v>3</v>
      </c>
      <c r="H351" s="9">
        <v>0.1</v>
      </c>
      <c r="I351" t="s">
        <v>699</v>
      </c>
      <c r="J351">
        <v>4</v>
      </c>
      <c r="K351">
        <v>4</v>
      </c>
      <c r="L351" t="str">
        <f>VLOOKUP(D351,Products!A:E,2,FALSE)</f>
        <v>Office Chair</v>
      </c>
      <c r="M351" t="str">
        <f>VLOOKUP(D351,Products!A:E,3,FALSE)</f>
        <v>Furniture</v>
      </c>
      <c r="N351">
        <f>VLOOKUP(D351,Products!A:E,4,FALSE)</f>
        <v>255</v>
      </c>
      <c r="O351" s="13">
        <f>VLOOKUP(D351,Products!A:E,5,FALSE)</f>
        <v>145</v>
      </c>
      <c r="P351" s="13" t="str">
        <f>VLOOKUP(C351,Customers!A:C,3,FALSE)</f>
        <v>Small Business</v>
      </c>
      <c r="Q351" s="13">
        <f t="shared" si="20"/>
        <v>688.5</v>
      </c>
      <c r="R351" s="13">
        <f t="shared" si="21"/>
        <v>435</v>
      </c>
      <c r="S351" s="13">
        <f t="shared" si="22"/>
        <v>253.5</v>
      </c>
      <c r="T351" s="14">
        <f t="shared" si="23"/>
        <v>0.36819172113289761</v>
      </c>
    </row>
    <row r="352" spans="1:20">
      <c r="A352" t="s">
        <v>1056</v>
      </c>
      <c r="B352" s="8">
        <v>45978</v>
      </c>
      <c r="C352" t="s">
        <v>651</v>
      </c>
      <c r="D352" t="s">
        <v>48</v>
      </c>
      <c r="E352" t="s">
        <v>705</v>
      </c>
      <c r="F352" t="s">
        <v>702</v>
      </c>
      <c r="G352">
        <v>3</v>
      </c>
      <c r="H352" s="9">
        <v>0.1</v>
      </c>
      <c r="I352" t="s">
        <v>699</v>
      </c>
      <c r="J352">
        <v>5</v>
      </c>
      <c r="K352">
        <v>3</v>
      </c>
      <c r="L352" t="str">
        <f>VLOOKUP(D352,Products!A:E,2,FALSE)</f>
        <v>Monitor</v>
      </c>
      <c r="M352" t="str">
        <f>VLOOKUP(D352,Products!A:E,3,FALSE)</f>
        <v>Technology</v>
      </c>
      <c r="N352">
        <f>VLOOKUP(D352,Products!A:E,4,FALSE)</f>
        <v>310</v>
      </c>
      <c r="O352" s="13">
        <f>VLOOKUP(D352,Products!A:E,5,FALSE)</f>
        <v>190</v>
      </c>
      <c r="P352" s="13" t="str">
        <f>VLOOKUP(C352,Customers!A:C,3,FALSE)</f>
        <v>Corporate</v>
      </c>
      <c r="Q352" s="13">
        <f t="shared" si="20"/>
        <v>837</v>
      </c>
      <c r="R352" s="13">
        <f t="shared" si="21"/>
        <v>570</v>
      </c>
      <c r="S352" s="13">
        <f t="shared" si="22"/>
        <v>267</v>
      </c>
      <c r="T352" s="14">
        <f t="shared" si="23"/>
        <v>0.31899641577060933</v>
      </c>
    </row>
    <row r="353" spans="1:20">
      <c r="A353" t="s">
        <v>1057</v>
      </c>
      <c r="B353" s="8">
        <v>46260</v>
      </c>
      <c r="C353" t="s">
        <v>645</v>
      </c>
      <c r="D353" t="s">
        <v>58</v>
      </c>
      <c r="E353" t="s">
        <v>697</v>
      </c>
      <c r="F353" t="s">
        <v>706</v>
      </c>
      <c r="G353">
        <v>1</v>
      </c>
      <c r="H353" s="9">
        <v>0</v>
      </c>
      <c r="I353" t="s">
        <v>699</v>
      </c>
      <c r="J353">
        <v>3</v>
      </c>
      <c r="K353">
        <v>2</v>
      </c>
      <c r="L353" t="str">
        <f>VLOOKUP(D353,Products!A:E,2,FALSE)</f>
        <v>Standing Desk</v>
      </c>
      <c r="M353" t="str">
        <f>VLOOKUP(D353,Products!A:E,3,FALSE)</f>
        <v>Furniture</v>
      </c>
      <c r="N353">
        <f>VLOOKUP(D353,Products!A:E,4,FALSE)</f>
        <v>540</v>
      </c>
      <c r="O353" s="13">
        <f>VLOOKUP(D353,Products!A:E,5,FALSE)</f>
        <v>320</v>
      </c>
      <c r="P353" s="13" t="str">
        <f>VLOOKUP(C353,Customers!A:C,3,FALSE)</f>
        <v>Corporate</v>
      </c>
      <c r="Q353" s="13">
        <f t="shared" si="20"/>
        <v>540</v>
      </c>
      <c r="R353" s="13">
        <f t="shared" si="21"/>
        <v>320</v>
      </c>
      <c r="S353" s="13">
        <f t="shared" si="22"/>
        <v>220</v>
      </c>
      <c r="T353" s="14">
        <f t="shared" si="23"/>
        <v>0.40740740740740738</v>
      </c>
    </row>
    <row r="354" spans="1:20">
      <c r="A354" t="s">
        <v>1058</v>
      </c>
      <c r="B354" s="8">
        <v>46184</v>
      </c>
      <c r="C354" t="s">
        <v>209</v>
      </c>
      <c r="D354" t="s">
        <v>72</v>
      </c>
      <c r="E354" t="s">
        <v>705</v>
      </c>
      <c r="F354" t="s">
        <v>702</v>
      </c>
      <c r="G354">
        <v>1</v>
      </c>
      <c r="H354" s="9">
        <v>0</v>
      </c>
      <c r="I354" t="s">
        <v>699</v>
      </c>
      <c r="J354">
        <v>1</v>
      </c>
      <c r="K354">
        <v>6</v>
      </c>
      <c r="L354" t="str">
        <f>VLOOKUP(D354,Products!A:E,2,FALSE)</f>
        <v>Phone Charger</v>
      </c>
      <c r="M354" t="str">
        <f>VLOOKUP(D354,Products!A:E,3,FALSE)</f>
        <v>Accessories</v>
      </c>
      <c r="N354">
        <f>VLOOKUP(D354,Products!A:E,4,FALSE)</f>
        <v>32</v>
      </c>
      <c r="O354" s="13">
        <f>VLOOKUP(D354,Products!A:E,5,FALSE)</f>
        <v>13</v>
      </c>
      <c r="P354" s="13" t="str">
        <f>VLOOKUP(C354,Customers!A:C,3,FALSE)</f>
        <v>Corporate</v>
      </c>
      <c r="Q354" s="13">
        <f t="shared" si="20"/>
        <v>32</v>
      </c>
      <c r="R354" s="13">
        <f t="shared" si="21"/>
        <v>13</v>
      </c>
      <c r="S354" s="13">
        <f t="shared" si="22"/>
        <v>19</v>
      </c>
      <c r="T354" s="14">
        <f t="shared" si="23"/>
        <v>0.59375</v>
      </c>
    </row>
    <row r="355" spans="1:20">
      <c r="A355" t="s">
        <v>1059</v>
      </c>
      <c r="B355" s="8">
        <v>45698</v>
      </c>
      <c r="C355" t="s">
        <v>243</v>
      </c>
      <c r="D355" t="s">
        <v>68</v>
      </c>
      <c r="E355" t="s">
        <v>715</v>
      </c>
      <c r="F355" t="s">
        <v>698</v>
      </c>
      <c r="G355">
        <v>3</v>
      </c>
      <c r="H355" s="9">
        <v>0.15</v>
      </c>
      <c r="I355" t="s">
        <v>699</v>
      </c>
      <c r="J355">
        <v>5</v>
      </c>
      <c r="K355">
        <v>5</v>
      </c>
      <c r="L355" t="str">
        <f>VLOOKUP(D355,Products!A:E,2,FALSE)</f>
        <v>Backpack</v>
      </c>
      <c r="M355" t="str">
        <f>VLOOKUP(D355,Products!A:E,3,FALSE)</f>
        <v>Accessories</v>
      </c>
      <c r="N355">
        <f>VLOOKUP(D355,Products!A:E,4,FALSE)</f>
        <v>85</v>
      </c>
      <c r="O355" s="13">
        <f>VLOOKUP(D355,Products!A:E,5,FALSE)</f>
        <v>39</v>
      </c>
      <c r="P355" s="13" t="str">
        <f>VLOOKUP(C355,Customers!A:C,3,FALSE)</f>
        <v>Consumer</v>
      </c>
      <c r="Q355" s="13">
        <f t="shared" si="20"/>
        <v>216.75</v>
      </c>
      <c r="R355" s="13">
        <f t="shared" si="21"/>
        <v>117</v>
      </c>
      <c r="S355" s="13">
        <f t="shared" si="22"/>
        <v>99.75</v>
      </c>
      <c r="T355" s="14">
        <f t="shared" si="23"/>
        <v>0.46020761245674741</v>
      </c>
    </row>
    <row r="356" spans="1:20">
      <c r="A356" t="s">
        <v>1060</v>
      </c>
      <c r="B356" s="8">
        <v>46024</v>
      </c>
      <c r="C356" t="s">
        <v>161</v>
      </c>
      <c r="D356" t="s">
        <v>68</v>
      </c>
      <c r="E356" t="s">
        <v>715</v>
      </c>
      <c r="F356" t="s">
        <v>706</v>
      </c>
      <c r="G356">
        <v>2</v>
      </c>
      <c r="H356" s="9">
        <v>0.1</v>
      </c>
      <c r="I356" t="s">
        <v>699</v>
      </c>
      <c r="J356">
        <v>4</v>
      </c>
      <c r="K356">
        <v>4</v>
      </c>
      <c r="L356" t="str">
        <f>VLOOKUP(D356,Products!A:E,2,FALSE)</f>
        <v>Backpack</v>
      </c>
      <c r="M356" t="str">
        <f>VLOOKUP(D356,Products!A:E,3,FALSE)</f>
        <v>Accessories</v>
      </c>
      <c r="N356">
        <f>VLOOKUP(D356,Products!A:E,4,FALSE)</f>
        <v>85</v>
      </c>
      <c r="O356" s="13">
        <f>VLOOKUP(D356,Products!A:E,5,FALSE)</f>
        <v>39</v>
      </c>
      <c r="P356" s="13" t="str">
        <f>VLOOKUP(C356,Customers!A:C,3,FALSE)</f>
        <v>Corporate</v>
      </c>
      <c r="Q356" s="13">
        <f t="shared" si="20"/>
        <v>153</v>
      </c>
      <c r="R356" s="13">
        <f t="shared" si="21"/>
        <v>78</v>
      </c>
      <c r="S356" s="13">
        <f t="shared" si="22"/>
        <v>75</v>
      </c>
      <c r="T356" s="14">
        <f t="shared" si="23"/>
        <v>0.49019607843137253</v>
      </c>
    </row>
    <row r="357" spans="1:20">
      <c r="A357" t="s">
        <v>1061</v>
      </c>
      <c r="B357" s="8">
        <v>45752</v>
      </c>
      <c r="C357" t="s">
        <v>443</v>
      </c>
      <c r="D357" t="s">
        <v>61</v>
      </c>
      <c r="E357" t="s">
        <v>697</v>
      </c>
      <c r="F357" t="s">
        <v>698</v>
      </c>
      <c r="G357">
        <v>2</v>
      </c>
      <c r="H357" s="9">
        <v>0</v>
      </c>
      <c r="I357" t="s">
        <v>703</v>
      </c>
      <c r="J357">
        <v>5</v>
      </c>
      <c r="K357">
        <v>5</v>
      </c>
      <c r="L357" t="str">
        <f>VLOOKUP(D357,Products!A:E,2,FALSE)</f>
        <v>Office Chair</v>
      </c>
      <c r="M357" t="str">
        <f>VLOOKUP(D357,Products!A:E,3,FALSE)</f>
        <v>Furniture</v>
      </c>
      <c r="N357">
        <f>VLOOKUP(D357,Products!A:E,4,FALSE)</f>
        <v>255</v>
      </c>
      <c r="O357" s="13">
        <f>VLOOKUP(D357,Products!A:E,5,FALSE)</f>
        <v>145</v>
      </c>
      <c r="P357" s="13" t="str">
        <f>VLOOKUP(C357,Customers!A:C,3,FALSE)</f>
        <v>Consumer</v>
      </c>
      <c r="Q357" s="13">
        <f t="shared" si="20"/>
        <v>510</v>
      </c>
      <c r="R357" s="13">
        <f t="shared" si="21"/>
        <v>290</v>
      </c>
      <c r="S357" s="13">
        <f t="shared" si="22"/>
        <v>220</v>
      </c>
      <c r="T357" s="14">
        <f t="shared" si="23"/>
        <v>0.43137254901960786</v>
      </c>
    </row>
    <row r="358" spans="1:20">
      <c r="A358" t="s">
        <v>1062</v>
      </c>
      <c r="B358" s="8">
        <v>45775</v>
      </c>
      <c r="C358" t="s">
        <v>441</v>
      </c>
      <c r="D358" t="s">
        <v>77</v>
      </c>
      <c r="E358" t="s">
        <v>708</v>
      </c>
      <c r="F358" t="s">
        <v>698</v>
      </c>
      <c r="G358">
        <v>6</v>
      </c>
      <c r="H358" s="9">
        <v>0</v>
      </c>
      <c r="I358" t="s">
        <v>699</v>
      </c>
      <c r="J358">
        <v>5</v>
      </c>
      <c r="K358">
        <v>4</v>
      </c>
      <c r="L358" t="str">
        <f>VLOOKUP(D358,Products!A:E,2,FALSE)</f>
        <v>File Folder Pack</v>
      </c>
      <c r="M358" t="str">
        <f>VLOOKUP(D358,Products!A:E,3,FALSE)</f>
        <v>Office Supplies</v>
      </c>
      <c r="N358">
        <f>VLOOKUP(D358,Products!A:E,4,FALSE)</f>
        <v>23</v>
      </c>
      <c r="O358" s="13">
        <f>VLOOKUP(D358,Products!A:E,5,FALSE)</f>
        <v>10</v>
      </c>
      <c r="P358" s="13" t="str">
        <f>VLOOKUP(C358,Customers!A:C,3,FALSE)</f>
        <v>Consumer</v>
      </c>
      <c r="Q358" s="13">
        <f t="shared" si="20"/>
        <v>138</v>
      </c>
      <c r="R358" s="13">
        <f t="shared" si="21"/>
        <v>60</v>
      </c>
      <c r="S358" s="13">
        <f t="shared" si="22"/>
        <v>78</v>
      </c>
      <c r="T358" s="14">
        <f t="shared" si="23"/>
        <v>0.56521739130434778</v>
      </c>
    </row>
    <row r="359" spans="1:20">
      <c r="A359" t="s">
        <v>1063</v>
      </c>
      <c r="B359" s="8">
        <v>45774</v>
      </c>
      <c r="C359" t="s">
        <v>481</v>
      </c>
      <c r="D359" t="s">
        <v>63</v>
      </c>
      <c r="E359" t="s">
        <v>715</v>
      </c>
      <c r="F359" t="s">
        <v>702</v>
      </c>
      <c r="G359">
        <v>6</v>
      </c>
      <c r="H359" s="9">
        <v>0.1</v>
      </c>
      <c r="I359" t="s">
        <v>699</v>
      </c>
      <c r="J359">
        <v>5</v>
      </c>
      <c r="K359">
        <v>4</v>
      </c>
      <c r="L359" t="str">
        <f>VLOOKUP(D359,Products!A:E,2,FALSE)</f>
        <v>Bookshelf</v>
      </c>
      <c r="M359" t="str">
        <f>VLOOKUP(D359,Products!A:E,3,FALSE)</f>
        <v>Furniture</v>
      </c>
      <c r="N359">
        <f>VLOOKUP(D359,Products!A:E,4,FALSE)</f>
        <v>185</v>
      </c>
      <c r="O359" s="13">
        <f>VLOOKUP(D359,Products!A:E,5,FALSE)</f>
        <v>105</v>
      </c>
      <c r="P359" s="13" t="str">
        <f>VLOOKUP(C359,Customers!A:C,3,FALSE)</f>
        <v>Consumer</v>
      </c>
      <c r="Q359" s="13">
        <f t="shared" si="20"/>
        <v>999</v>
      </c>
      <c r="R359" s="13">
        <f t="shared" si="21"/>
        <v>630</v>
      </c>
      <c r="S359" s="13">
        <f t="shared" si="22"/>
        <v>369</v>
      </c>
      <c r="T359" s="14">
        <f t="shared" si="23"/>
        <v>0.36936936936936937</v>
      </c>
    </row>
    <row r="360" spans="1:20">
      <c r="A360" t="s">
        <v>1064</v>
      </c>
      <c r="B360" s="8">
        <v>46156</v>
      </c>
      <c r="C360" t="s">
        <v>131</v>
      </c>
      <c r="D360" t="s">
        <v>65</v>
      </c>
      <c r="E360" t="s">
        <v>697</v>
      </c>
      <c r="F360" t="s">
        <v>702</v>
      </c>
      <c r="G360">
        <v>2</v>
      </c>
      <c r="H360" s="9">
        <v>0.2</v>
      </c>
      <c r="I360" t="s">
        <v>699</v>
      </c>
      <c r="J360">
        <v>5</v>
      </c>
      <c r="K360">
        <v>5</v>
      </c>
      <c r="L360" t="str">
        <f>VLOOKUP(D360,Products!A:E,2,FALSE)</f>
        <v>Laptop Stand</v>
      </c>
      <c r="M360" t="str">
        <f>VLOOKUP(D360,Products!A:E,3,FALSE)</f>
        <v>Accessories</v>
      </c>
      <c r="N360">
        <f>VLOOKUP(D360,Products!A:E,4,FALSE)</f>
        <v>48</v>
      </c>
      <c r="O360" s="13">
        <f>VLOOKUP(D360,Products!A:E,5,FALSE)</f>
        <v>22</v>
      </c>
      <c r="P360" s="13" t="str">
        <f>VLOOKUP(C360,Customers!A:C,3,FALSE)</f>
        <v>Consumer</v>
      </c>
      <c r="Q360" s="13">
        <f t="shared" si="20"/>
        <v>76.800000000000011</v>
      </c>
      <c r="R360" s="13">
        <f t="shared" si="21"/>
        <v>44</v>
      </c>
      <c r="S360" s="13">
        <f t="shared" si="22"/>
        <v>32.800000000000011</v>
      </c>
      <c r="T360" s="14">
        <f t="shared" si="23"/>
        <v>0.42708333333333343</v>
      </c>
    </row>
    <row r="361" spans="1:20">
      <c r="A361" t="s">
        <v>1065</v>
      </c>
      <c r="B361" s="8">
        <v>46204</v>
      </c>
      <c r="C361" t="s">
        <v>92</v>
      </c>
      <c r="D361" t="s">
        <v>50</v>
      </c>
      <c r="E361" t="s">
        <v>705</v>
      </c>
      <c r="F361" t="s">
        <v>698</v>
      </c>
      <c r="G361">
        <v>1</v>
      </c>
      <c r="H361" s="9">
        <v>0.1</v>
      </c>
      <c r="I361" t="s">
        <v>699</v>
      </c>
      <c r="J361">
        <v>3</v>
      </c>
      <c r="K361">
        <v>4</v>
      </c>
      <c r="L361" t="str">
        <f>VLOOKUP(D361,Products!A:E,2,FALSE)</f>
        <v>Keyboard</v>
      </c>
      <c r="M361" t="str">
        <f>VLOOKUP(D361,Products!A:E,3,FALSE)</f>
        <v>Technology</v>
      </c>
      <c r="N361">
        <f>VLOOKUP(D361,Products!A:E,4,FALSE)</f>
        <v>75</v>
      </c>
      <c r="O361" s="13">
        <f>VLOOKUP(D361,Products!A:E,5,FALSE)</f>
        <v>38</v>
      </c>
      <c r="P361" s="13" t="str">
        <f>VLOOKUP(C361,Customers!A:C,3,FALSE)</f>
        <v>Consumer</v>
      </c>
      <c r="Q361" s="13">
        <f t="shared" si="20"/>
        <v>67.5</v>
      </c>
      <c r="R361" s="13">
        <f t="shared" si="21"/>
        <v>38</v>
      </c>
      <c r="S361" s="13">
        <f t="shared" si="22"/>
        <v>29.5</v>
      </c>
      <c r="T361" s="14">
        <f t="shared" si="23"/>
        <v>0.43703703703703706</v>
      </c>
    </row>
    <row r="362" spans="1:20">
      <c r="A362" t="s">
        <v>1066</v>
      </c>
      <c r="B362" s="8">
        <v>45731</v>
      </c>
      <c r="C362" t="s">
        <v>243</v>
      </c>
      <c r="D362" t="s">
        <v>45</v>
      </c>
      <c r="E362" t="s">
        <v>715</v>
      </c>
      <c r="F362" t="s">
        <v>702</v>
      </c>
      <c r="G362">
        <v>1</v>
      </c>
      <c r="H362" s="9">
        <v>0</v>
      </c>
      <c r="I362" t="s">
        <v>699</v>
      </c>
      <c r="J362">
        <v>4</v>
      </c>
      <c r="K362">
        <v>5</v>
      </c>
      <c r="L362" t="str">
        <f>VLOOKUP(D362,Products!A:E,2,FALSE)</f>
        <v>Laptop</v>
      </c>
      <c r="M362" t="str">
        <f>VLOOKUP(D362,Products!A:E,3,FALSE)</f>
        <v>Technology</v>
      </c>
      <c r="N362">
        <f>VLOOKUP(D362,Products!A:E,4,FALSE)</f>
        <v>1100</v>
      </c>
      <c r="O362" s="13">
        <f>VLOOKUP(D362,Products!A:E,5,FALSE)</f>
        <v>720</v>
      </c>
      <c r="P362" s="13" t="str">
        <f>VLOOKUP(C362,Customers!A:C,3,FALSE)</f>
        <v>Consumer</v>
      </c>
      <c r="Q362" s="13">
        <f t="shared" si="20"/>
        <v>1100</v>
      </c>
      <c r="R362" s="13">
        <f t="shared" si="21"/>
        <v>720</v>
      </c>
      <c r="S362" s="13">
        <f t="shared" si="22"/>
        <v>380</v>
      </c>
      <c r="T362" s="14">
        <f t="shared" si="23"/>
        <v>0.34545454545454546</v>
      </c>
    </row>
    <row r="363" spans="1:20">
      <c r="A363" t="s">
        <v>1067</v>
      </c>
      <c r="B363" s="8">
        <v>45891</v>
      </c>
      <c r="C363" t="s">
        <v>351</v>
      </c>
      <c r="D363" t="s">
        <v>74</v>
      </c>
      <c r="E363" t="s">
        <v>708</v>
      </c>
      <c r="F363" t="s">
        <v>698</v>
      </c>
      <c r="G363">
        <v>2</v>
      </c>
      <c r="H363" s="9">
        <v>0</v>
      </c>
      <c r="I363" t="s">
        <v>699</v>
      </c>
      <c r="J363">
        <v>4</v>
      </c>
      <c r="K363">
        <v>5</v>
      </c>
      <c r="L363" t="str">
        <f>VLOOKUP(D363,Products!A:E,2,FALSE)</f>
        <v>Printer Paper</v>
      </c>
      <c r="M363" t="str">
        <f>VLOOKUP(D363,Products!A:E,3,FALSE)</f>
        <v>Office Supplies</v>
      </c>
      <c r="N363">
        <f>VLOOKUP(D363,Products!A:E,4,FALSE)</f>
        <v>17</v>
      </c>
      <c r="O363" s="13">
        <f>VLOOKUP(D363,Products!A:E,5,FALSE)</f>
        <v>8</v>
      </c>
      <c r="P363" s="13" t="str">
        <f>VLOOKUP(C363,Customers!A:C,3,FALSE)</f>
        <v>Small Business</v>
      </c>
      <c r="Q363" s="13">
        <f t="shared" si="20"/>
        <v>34</v>
      </c>
      <c r="R363" s="13">
        <f t="shared" si="21"/>
        <v>16</v>
      </c>
      <c r="S363" s="13">
        <f t="shared" si="22"/>
        <v>18</v>
      </c>
      <c r="T363" s="14">
        <f t="shared" si="23"/>
        <v>0.52941176470588236</v>
      </c>
    </row>
    <row r="364" spans="1:20">
      <c r="A364" t="s">
        <v>1068</v>
      </c>
      <c r="B364" s="8">
        <v>45722</v>
      </c>
      <c r="C364" t="s">
        <v>685</v>
      </c>
      <c r="D364" t="s">
        <v>48</v>
      </c>
      <c r="E364" t="s">
        <v>701</v>
      </c>
      <c r="F364" t="s">
        <v>702</v>
      </c>
      <c r="G364">
        <v>6</v>
      </c>
      <c r="H364" s="9">
        <v>0</v>
      </c>
      <c r="I364" t="s">
        <v>699</v>
      </c>
      <c r="J364">
        <v>4</v>
      </c>
      <c r="K364">
        <v>1</v>
      </c>
      <c r="L364" t="str">
        <f>VLOOKUP(D364,Products!A:E,2,FALSE)</f>
        <v>Monitor</v>
      </c>
      <c r="M364" t="str">
        <f>VLOOKUP(D364,Products!A:E,3,FALSE)</f>
        <v>Technology</v>
      </c>
      <c r="N364">
        <f>VLOOKUP(D364,Products!A:E,4,FALSE)</f>
        <v>310</v>
      </c>
      <c r="O364" s="13">
        <f>VLOOKUP(D364,Products!A:E,5,FALSE)</f>
        <v>190</v>
      </c>
      <c r="P364" s="13" t="str">
        <f>VLOOKUP(C364,Customers!A:C,3,FALSE)</f>
        <v>Small Business</v>
      </c>
      <c r="Q364" s="13">
        <f t="shared" si="20"/>
        <v>1860</v>
      </c>
      <c r="R364" s="13">
        <f t="shared" si="21"/>
        <v>1140</v>
      </c>
      <c r="S364" s="13">
        <f t="shared" si="22"/>
        <v>720</v>
      </c>
      <c r="T364" s="14">
        <f t="shared" si="23"/>
        <v>0.38709677419354838</v>
      </c>
    </row>
    <row r="365" spans="1:20">
      <c r="A365" t="s">
        <v>1069</v>
      </c>
      <c r="B365" s="8">
        <v>45946</v>
      </c>
      <c r="C365" t="s">
        <v>535</v>
      </c>
      <c r="D365" t="s">
        <v>72</v>
      </c>
      <c r="E365" t="s">
        <v>708</v>
      </c>
      <c r="F365" t="s">
        <v>698</v>
      </c>
      <c r="G365">
        <v>2</v>
      </c>
      <c r="H365" s="9">
        <v>0.05</v>
      </c>
      <c r="I365" t="s">
        <v>699</v>
      </c>
      <c r="J365">
        <v>4</v>
      </c>
      <c r="K365">
        <v>5</v>
      </c>
      <c r="L365" t="str">
        <f>VLOOKUP(D365,Products!A:E,2,FALSE)</f>
        <v>Phone Charger</v>
      </c>
      <c r="M365" t="str">
        <f>VLOOKUP(D365,Products!A:E,3,FALSE)</f>
        <v>Accessories</v>
      </c>
      <c r="N365">
        <f>VLOOKUP(D365,Products!A:E,4,FALSE)</f>
        <v>32</v>
      </c>
      <c r="O365" s="13">
        <f>VLOOKUP(D365,Products!A:E,5,FALSE)</f>
        <v>13</v>
      </c>
      <c r="P365" s="13" t="str">
        <f>VLOOKUP(C365,Customers!A:C,3,FALSE)</f>
        <v>Consumer</v>
      </c>
      <c r="Q365" s="13">
        <f t="shared" si="20"/>
        <v>60.8</v>
      </c>
      <c r="R365" s="13">
        <f t="shared" si="21"/>
        <v>26</v>
      </c>
      <c r="S365" s="13">
        <f t="shared" si="22"/>
        <v>34.799999999999997</v>
      </c>
      <c r="T365" s="14">
        <f t="shared" si="23"/>
        <v>0.57236842105263153</v>
      </c>
    </row>
    <row r="366" spans="1:20">
      <c r="A366" t="s">
        <v>1070</v>
      </c>
      <c r="B366" s="8">
        <v>45960</v>
      </c>
      <c r="C366" t="s">
        <v>233</v>
      </c>
      <c r="D366" t="s">
        <v>65</v>
      </c>
      <c r="E366" t="s">
        <v>701</v>
      </c>
      <c r="F366" t="s">
        <v>706</v>
      </c>
      <c r="G366">
        <v>4</v>
      </c>
      <c r="H366" s="9">
        <v>0.1</v>
      </c>
      <c r="I366" t="s">
        <v>699</v>
      </c>
      <c r="J366">
        <v>5</v>
      </c>
      <c r="K366">
        <v>5</v>
      </c>
      <c r="L366" t="str">
        <f>VLOOKUP(D366,Products!A:E,2,FALSE)</f>
        <v>Laptop Stand</v>
      </c>
      <c r="M366" t="str">
        <f>VLOOKUP(D366,Products!A:E,3,FALSE)</f>
        <v>Accessories</v>
      </c>
      <c r="N366">
        <f>VLOOKUP(D366,Products!A:E,4,FALSE)</f>
        <v>48</v>
      </c>
      <c r="O366" s="13">
        <f>VLOOKUP(D366,Products!A:E,5,FALSE)</f>
        <v>22</v>
      </c>
      <c r="P366" s="13" t="str">
        <f>VLOOKUP(C366,Customers!A:C,3,FALSE)</f>
        <v>Consumer</v>
      </c>
      <c r="Q366" s="13">
        <f t="shared" si="20"/>
        <v>172.8</v>
      </c>
      <c r="R366" s="13">
        <f t="shared" si="21"/>
        <v>88</v>
      </c>
      <c r="S366" s="13">
        <f t="shared" si="22"/>
        <v>84.800000000000011</v>
      </c>
      <c r="T366" s="14">
        <f t="shared" si="23"/>
        <v>0.49074074074074076</v>
      </c>
    </row>
    <row r="367" spans="1:20">
      <c r="A367" t="s">
        <v>1071</v>
      </c>
      <c r="B367" s="8">
        <v>46226</v>
      </c>
      <c r="C367" t="s">
        <v>231</v>
      </c>
      <c r="D367" t="s">
        <v>52</v>
      </c>
      <c r="E367" t="s">
        <v>705</v>
      </c>
      <c r="F367" t="s">
        <v>698</v>
      </c>
      <c r="G367">
        <v>2</v>
      </c>
      <c r="H367" s="9">
        <v>0.05</v>
      </c>
      <c r="I367" t="s">
        <v>699</v>
      </c>
      <c r="J367">
        <v>3</v>
      </c>
      <c r="K367">
        <v>3</v>
      </c>
      <c r="L367" t="str">
        <f>VLOOKUP(D367,Products!A:E,2,FALSE)</f>
        <v>Mouse</v>
      </c>
      <c r="M367" t="str">
        <f>VLOOKUP(D367,Products!A:E,3,FALSE)</f>
        <v>Technology</v>
      </c>
      <c r="N367">
        <f>VLOOKUP(D367,Products!A:E,4,FALSE)</f>
        <v>42</v>
      </c>
      <c r="O367" s="13">
        <f>VLOOKUP(D367,Products!A:E,5,FALSE)</f>
        <v>19</v>
      </c>
      <c r="P367" s="13" t="str">
        <f>VLOOKUP(C367,Customers!A:C,3,FALSE)</f>
        <v>Small Business</v>
      </c>
      <c r="Q367" s="13">
        <f t="shared" si="20"/>
        <v>79.8</v>
      </c>
      <c r="R367" s="13">
        <f t="shared" si="21"/>
        <v>38</v>
      </c>
      <c r="S367" s="13">
        <f t="shared" si="22"/>
        <v>41.8</v>
      </c>
      <c r="T367" s="14">
        <f t="shared" si="23"/>
        <v>0.52380952380952384</v>
      </c>
    </row>
    <row r="368" spans="1:20">
      <c r="A368" t="s">
        <v>1072</v>
      </c>
      <c r="B368" s="8">
        <v>45874</v>
      </c>
      <c r="C368" t="s">
        <v>509</v>
      </c>
      <c r="D368" t="s">
        <v>54</v>
      </c>
      <c r="E368" t="s">
        <v>705</v>
      </c>
      <c r="F368" t="s">
        <v>702</v>
      </c>
      <c r="G368">
        <v>5</v>
      </c>
      <c r="H368" s="9">
        <v>0</v>
      </c>
      <c r="I368" t="s">
        <v>699</v>
      </c>
      <c r="J368">
        <v>5</v>
      </c>
      <c r="K368">
        <v>1</v>
      </c>
      <c r="L368" t="str">
        <f>VLOOKUP(D368,Products!A:E,2,FALSE)</f>
        <v>Webcam</v>
      </c>
      <c r="M368" t="str">
        <f>VLOOKUP(D368,Products!A:E,3,FALSE)</f>
        <v>Technology</v>
      </c>
      <c r="N368">
        <f>VLOOKUP(D368,Products!A:E,4,FALSE)</f>
        <v>115</v>
      </c>
      <c r="O368" s="13">
        <f>VLOOKUP(D368,Products!A:E,5,FALSE)</f>
        <v>58</v>
      </c>
      <c r="P368" s="13" t="str">
        <f>VLOOKUP(C368,Customers!A:C,3,FALSE)</f>
        <v>Corporate</v>
      </c>
      <c r="Q368" s="13">
        <f t="shared" si="20"/>
        <v>575</v>
      </c>
      <c r="R368" s="13">
        <f t="shared" si="21"/>
        <v>290</v>
      </c>
      <c r="S368" s="13">
        <f t="shared" si="22"/>
        <v>285</v>
      </c>
      <c r="T368" s="14">
        <f t="shared" si="23"/>
        <v>0.4956521739130435</v>
      </c>
    </row>
    <row r="369" spans="1:20">
      <c r="A369" t="s">
        <v>1073</v>
      </c>
      <c r="B369" s="8">
        <v>46220</v>
      </c>
      <c r="C369" t="s">
        <v>559</v>
      </c>
      <c r="D369" t="s">
        <v>50</v>
      </c>
      <c r="E369" t="s">
        <v>708</v>
      </c>
      <c r="F369" t="s">
        <v>702</v>
      </c>
      <c r="G369">
        <v>1</v>
      </c>
      <c r="H369" s="9">
        <v>0.1</v>
      </c>
      <c r="I369" t="s">
        <v>699</v>
      </c>
      <c r="J369">
        <v>4</v>
      </c>
      <c r="K369">
        <v>2</v>
      </c>
      <c r="L369" t="str">
        <f>VLOOKUP(D369,Products!A:E,2,FALSE)</f>
        <v>Keyboard</v>
      </c>
      <c r="M369" t="str">
        <f>VLOOKUP(D369,Products!A:E,3,FALSE)</f>
        <v>Technology</v>
      </c>
      <c r="N369">
        <f>VLOOKUP(D369,Products!A:E,4,FALSE)</f>
        <v>75</v>
      </c>
      <c r="O369" s="13">
        <f>VLOOKUP(D369,Products!A:E,5,FALSE)</f>
        <v>38</v>
      </c>
      <c r="P369" s="13" t="str">
        <f>VLOOKUP(C369,Customers!A:C,3,FALSE)</f>
        <v>Small Business</v>
      </c>
      <c r="Q369" s="13">
        <f t="shared" si="20"/>
        <v>67.5</v>
      </c>
      <c r="R369" s="13">
        <f t="shared" si="21"/>
        <v>38</v>
      </c>
      <c r="S369" s="13">
        <f t="shared" si="22"/>
        <v>29.5</v>
      </c>
      <c r="T369" s="14">
        <f t="shared" si="23"/>
        <v>0.43703703703703706</v>
      </c>
    </row>
    <row r="370" spans="1:20">
      <c r="A370" t="s">
        <v>1074</v>
      </c>
      <c r="B370" s="8">
        <v>45898</v>
      </c>
      <c r="C370" t="s">
        <v>189</v>
      </c>
      <c r="D370" t="s">
        <v>65</v>
      </c>
      <c r="E370" t="s">
        <v>701</v>
      </c>
      <c r="F370" t="s">
        <v>706</v>
      </c>
      <c r="G370">
        <v>1</v>
      </c>
      <c r="H370" s="9">
        <v>0</v>
      </c>
      <c r="I370" t="s">
        <v>699</v>
      </c>
      <c r="J370">
        <v>4</v>
      </c>
      <c r="K370">
        <v>5</v>
      </c>
      <c r="L370" t="str">
        <f>VLOOKUP(D370,Products!A:E,2,FALSE)</f>
        <v>Laptop Stand</v>
      </c>
      <c r="M370" t="str">
        <f>VLOOKUP(D370,Products!A:E,3,FALSE)</f>
        <v>Accessories</v>
      </c>
      <c r="N370">
        <f>VLOOKUP(D370,Products!A:E,4,FALSE)</f>
        <v>48</v>
      </c>
      <c r="O370" s="13">
        <f>VLOOKUP(D370,Products!A:E,5,FALSE)</f>
        <v>22</v>
      </c>
      <c r="P370" s="13" t="str">
        <f>VLOOKUP(C370,Customers!A:C,3,FALSE)</f>
        <v>Consumer</v>
      </c>
      <c r="Q370" s="13">
        <f t="shared" si="20"/>
        <v>48</v>
      </c>
      <c r="R370" s="13">
        <f t="shared" si="21"/>
        <v>22</v>
      </c>
      <c r="S370" s="13">
        <f t="shared" si="22"/>
        <v>26</v>
      </c>
      <c r="T370" s="14">
        <f t="shared" si="23"/>
        <v>0.54166666666666663</v>
      </c>
    </row>
    <row r="371" spans="1:20">
      <c r="A371" t="s">
        <v>1075</v>
      </c>
      <c r="B371" s="8">
        <v>45814</v>
      </c>
      <c r="C371" t="s">
        <v>665</v>
      </c>
      <c r="D371" t="s">
        <v>70</v>
      </c>
      <c r="E371" t="s">
        <v>697</v>
      </c>
      <c r="F371" t="s">
        <v>706</v>
      </c>
      <c r="G371">
        <v>1</v>
      </c>
      <c r="H371" s="9">
        <v>0</v>
      </c>
      <c r="I371" t="s">
        <v>699</v>
      </c>
      <c r="J371">
        <v>5</v>
      </c>
      <c r="K371">
        <v>4</v>
      </c>
      <c r="L371" t="str">
        <f>VLOOKUP(D371,Products!A:E,2,FALSE)</f>
        <v>USB-C Hub</v>
      </c>
      <c r="M371" t="str">
        <f>VLOOKUP(D371,Products!A:E,3,FALSE)</f>
        <v>Accessories</v>
      </c>
      <c r="N371">
        <f>VLOOKUP(D371,Products!A:E,4,FALSE)</f>
        <v>68</v>
      </c>
      <c r="O371" s="13">
        <f>VLOOKUP(D371,Products!A:E,5,FALSE)</f>
        <v>31</v>
      </c>
      <c r="P371" s="13" t="str">
        <f>VLOOKUP(C371,Customers!A:C,3,FALSE)</f>
        <v>Consumer</v>
      </c>
      <c r="Q371" s="13">
        <f t="shared" si="20"/>
        <v>68</v>
      </c>
      <c r="R371" s="13">
        <f t="shared" si="21"/>
        <v>31</v>
      </c>
      <c r="S371" s="13">
        <f t="shared" si="22"/>
        <v>37</v>
      </c>
      <c r="T371" s="14">
        <f t="shared" si="23"/>
        <v>0.54411764705882348</v>
      </c>
    </row>
    <row r="372" spans="1:20">
      <c r="A372" t="s">
        <v>1076</v>
      </c>
      <c r="B372" s="8">
        <v>45941</v>
      </c>
      <c r="C372" t="s">
        <v>455</v>
      </c>
      <c r="D372" t="s">
        <v>54</v>
      </c>
      <c r="E372" t="s">
        <v>701</v>
      </c>
      <c r="F372" t="s">
        <v>702</v>
      </c>
      <c r="G372">
        <v>2</v>
      </c>
      <c r="H372" s="9">
        <v>0</v>
      </c>
      <c r="I372" t="s">
        <v>699</v>
      </c>
      <c r="J372">
        <v>4</v>
      </c>
      <c r="K372">
        <v>1</v>
      </c>
      <c r="L372" t="str">
        <f>VLOOKUP(D372,Products!A:E,2,FALSE)</f>
        <v>Webcam</v>
      </c>
      <c r="M372" t="str">
        <f>VLOOKUP(D372,Products!A:E,3,FALSE)</f>
        <v>Technology</v>
      </c>
      <c r="N372">
        <f>VLOOKUP(D372,Products!A:E,4,FALSE)</f>
        <v>115</v>
      </c>
      <c r="O372" s="13">
        <f>VLOOKUP(D372,Products!A:E,5,FALSE)</f>
        <v>58</v>
      </c>
      <c r="P372" s="13" t="str">
        <f>VLOOKUP(C372,Customers!A:C,3,FALSE)</f>
        <v>Consumer</v>
      </c>
      <c r="Q372" s="13">
        <f t="shared" si="20"/>
        <v>230</v>
      </c>
      <c r="R372" s="13">
        <f t="shared" si="21"/>
        <v>116</v>
      </c>
      <c r="S372" s="13">
        <f t="shared" si="22"/>
        <v>114</v>
      </c>
      <c r="T372" s="14">
        <f t="shared" si="23"/>
        <v>0.4956521739130435</v>
      </c>
    </row>
    <row r="373" spans="1:20">
      <c r="A373" t="s">
        <v>1077</v>
      </c>
      <c r="B373" s="8">
        <v>45837</v>
      </c>
      <c r="C373" t="s">
        <v>169</v>
      </c>
      <c r="D373" t="s">
        <v>63</v>
      </c>
      <c r="E373" t="s">
        <v>697</v>
      </c>
      <c r="F373" t="s">
        <v>702</v>
      </c>
      <c r="G373">
        <v>2</v>
      </c>
      <c r="H373" s="9">
        <v>0</v>
      </c>
      <c r="I373" t="s">
        <v>699</v>
      </c>
      <c r="J373">
        <v>2</v>
      </c>
      <c r="K373">
        <v>2</v>
      </c>
      <c r="L373" t="str">
        <f>VLOOKUP(D373,Products!A:E,2,FALSE)</f>
        <v>Bookshelf</v>
      </c>
      <c r="M373" t="str">
        <f>VLOOKUP(D373,Products!A:E,3,FALSE)</f>
        <v>Furniture</v>
      </c>
      <c r="N373">
        <f>VLOOKUP(D373,Products!A:E,4,FALSE)</f>
        <v>185</v>
      </c>
      <c r="O373" s="13">
        <f>VLOOKUP(D373,Products!A:E,5,FALSE)</f>
        <v>105</v>
      </c>
      <c r="P373" s="13" t="str">
        <f>VLOOKUP(C373,Customers!A:C,3,FALSE)</f>
        <v>Consumer</v>
      </c>
      <c r="Q373" s="13">
        <f t="shared" si="20"/>
        <v>370</v>
      </c>
      <c r="R373" s="13">
        <f t="shared" si="21"/>
        <v>210</v>
      </c>
      <c r="S373" s="13">
        <f t="shared" si="22"/>
        <v>160</v>
      </c>
      <c r="T373" s="14">
        <f t="shared" si="23"/>
        <v>0.43243243243243246</v>
      </c>
    </row>
    <row r="374" spans="1:20">
      <c r="A374" t="s">
        <v>1078</v>
      </c>
      <c r="B374" s="8">
        <v>46177</v>
      </c>
      <c r="C374" t="s">
        <v>117</v>
      </c>
      <c r="D374" t="s">
        <v>72</v>
      </c>
      <c r="E374" t="s">
        <v>701</v>
      </c>
      <c r="F374" t="s">
        <v>702</v>
      </c>
      <c r="G374">
        <v>1</v>
      </c>
      <c r="H374" s="9">
        <v>0</v>
      </c>
      <c r="I374" t="s">
        <v>699</v>
      </c>
      <c r="J374">
        <v>4</v>
      </c>
      <c r="K374">
        <v>2</v>
      </c>
      <c r="L374" t="str">
        <f>VLOOKUP(D374,Products!A:E,2,FALSE)</f>
        <v>Phone Charger</v>
      </c>
      <c r="M374" t="str">
        <f>VLOOKUP(D374,Products!A:E,3,FALSE)</f>
        <v>Accessories</v>
      </c>
      <c r="N374">
        <f>VLOOKUP(D374,Products!A:E,4,FALSE)</f>
        <v>32</v>
      </c>
      <c r="O374" s="13">
        <f>VLOOKUP(D374,Products!A:E,5,FALSE)</f>
        <v>13</v>
      </c>
      <c r="P374" s="13" t="str">
        <f>VLOOKUP(C374,Customers!A:C,3,FALSE)</f>
        <v>Corporate</v>
      </c>
      <c r="Q374" s="13">
        <f t="shared" si="20"/>
        <v>32</v>
      </c>
      <c r="R374" s="13">
        <f t="shared" si="21"/>
        <v>13</v>
      </c>
      <c r="S374" s="13">
        <f t="shared" si="22"/>
        <v>19</v>
      </c>
      <c r="T374" s="14">
        <f t="shared" si="23"/>
        <v>0.59375</v>
      </c>
    </row>
    <row r="375" spans="1:20">
      <c r="A375" t="s">
        <v>1079</v>
      </c>
      <c r="B375" s="8">
        <v>46032</v>
      </c>
      <c r="C375" t="s">
        <v>487</v>
      </c>
      <c r="D375" t="s">
        <v>61</v>
      </c>
      <c r="E375" t="s">
        <v>697</v>
      </c>
      <c r="F375" t="s">
        <v>698</v>
      </c>
      <c r="G375">
        <v>5</v>
      </c>
      <c r="H375" s="9">
        <v>0</v>
      </c>
      <c r="I375" t="s">
        <v>699</v>
      </c>
      <c r="J375">
        <v>2</v>
      </c>
      <c r="K375">
        <v>4</v>
      </c>
      <c r="L375" t="str">
        <f>VLOOKUP(D375,Products!A:E,2,FALSE)</f>
        <v>Office Chair</v>
      </c>
      <c r="M375" t="str">
        <f>VLOOKUP(D375,Products!A:E,3,FALSE)</f>
        <v>Furniture</v>
      </c>
      <c r="N375">
        <f>VLOOKUP(D375,Products!A:E,4,FALSE)</f>
        <v>255</v>
      </c>
      <c r="O375" s="13">
        <f>VLOOKUP(D375,Products!A:E,5,FALSE)</f>
        <v>145</v>
      </c>
      <c r="P375" s="13" t="str">
        <f>VLOOKUP(C375,Customers!A:C,3,FALSE)</f>
        <v>Small Business</v>
      </c>
      <c r="Q375" s="13">
        <f t="shared" si="20"/>
        <v>1275</v>
      </c>
      <c r="R375" s="13">
        <f t="shared" si="21"/>
        <v>725</v>
      </c>
      <c r="S375" s="13">
        <f t="shared" si="22"/>
        <v>550</v>
      </c>
      <c r="T375" s="14">
        <f t="shared" si="23"/>
        <v>0.43137254901960786</v>
      </c>
    </row>
    <row r="376" spans="1:20">
      <c r="A376" t="s">
        <v>1080</v>
      </c>
      <c r="B376" s="8">
        <v>45902</v>
      </c>
      <c r="C376" t="s">
        <v>255</v>
      </c>
      <c r="D376" t="s">
        <v>54</v>
      </c>
      <c r="E376" t="s">
        <v>715</v>
      </c>
      <c r="F376" t="s">
        <v>702</v>
      </c>
      <c r="G376">
        <v>7</v>
      </c>
      <c r="H376" s="9">
        <v>0.05</v>
      </c>
      <c r="I376" t="s">
        <v>703</v>
      </c>
      <c r="J376">
        <v>5</v>
      </c>
      <c r="K376">
        <v>7</v>
      </c>
      <c r="L376" t="str">
        <f>VLOOKUP(D376,Products!A:E,2,FALSE)</f>
        <v>Webcam</v>
      </c>
      <c r="M376" t="str">
        <f>VLOOKUP(D376,Products!A:E,3,FALSE)</f>
        <v>Technology</v>
      </c>
      <c r="N376">
        <f>VLOOKUP(D376,Products!A:E,4,FALSE)</f>
        <v>115</v>
      </c>
      <c r="O376" s="13">
        <f>VLOOKUP(D376,Products!A:E,5,FALSE)</f>
        <v>58</v>
      </c>
      <c r="P376" s="13" t="str">
        <f>VLOOKUP(C376,Customers!A:C,3,FALSE)</f>
        <v>Consumer</v>
      </c>
      <c r="Q376" s="13">
        <f t="shared" si="20"/>
        <v>764.75</v>
      </c>
      <c r="R376" s="13">
        <f t="shared" si="21"/>
        <v>406</v>
      </c>
      <c r="S376" s="13">
        <f t="shared" si="22"/>
        <v>358.75</v>
      </c>
      <c r="T376" s="14">
        <f t="shared" si="23"/>
        <v>0.46910755148741418</v>
      </c>
    </row>
    <row r="377" spans="1:20">
      <c r="A377" t="s">
        <v>1081</v>
      </c>
      <c r="B377" s="8">
        <v>45699</v>
      </c>
      <c r="C377" t="s">
        <v>311</v>
      </c>
      <c r="D377" t="s">
        <v>79</v>
      </c>
      <c r="E377" t="s">
        <v>708</v>
      </c>
      <c r="F377" t="s">
        <v>702</v>
      </c>
      <c r="G377">
        <v>1</v>
      </c>
      <c r="H377" s="9">
        <v>0.1</v>
      </c>
      <c r="I377" t="s">
        <v>699</v>
      </c>
      <c r="J377">
        <v>5</v>
      </c>
      <c r="K377">
        <v>4</v>
      </c>
      <c r="L377" t="str">
        <f>VLOOKUP(D377,Products!A:E,2,FALSE)</f>
        <v>Desk Organiser</v>
      </c>
      <c r="M377" t="str">
        <f>VLOOKUP(D377,Products!A:E,3,FALSE)</f>
        <v>Office Supplies</v>
      </c>
      <c r="N377">
        <f>VLOOKUP(D377,Products!A:E,4,FALSE)</f>
        <v>28</v>
      </c>
      <c r="O377" s="13">
        <f>VLOOKUP(D377,Products!A:E,5,FALSE)</f>
        <v>12</v>
      </c>
      <c r="P377" s="13" t="str">
        <f>VLOOKUP(C377,Customers!A:C,3,FALSE)</f>
        <v>Corporate</v>
      </c>
      <c r="Q377" s="13">
        <f t="shared" si="20"/>
        <v>25.2</v>
      </c>
      <c r="R377" s="13">
        <f t="shared" si="21"/>
        <v>12</v>
      </c>
      <c r="S377" s="13">
        <f t="shared" si="22"/>
        <v>13.2</v>
      </c>
      <c r="T377" s="14">
        <f t="shared" si="23"/>
        <v>0.52380952380952384</v>
      </c>
    </row>
    <row r="378" spans="1:20">
      <c r="A378" t="s">
        <v>1082</v>
      </c>
      <c r="B378" s="8">
        <v>46138</v>
      </c>
      <c r="C378" t="s">
        <v>551</v>
      </c>
      <c r="D378" t="s">
        <v>48</v>
      </c>
      <c r="E378" t="s">
        <v>705</v>
      </c>
      <c r="F378" t="s">
        <v>698</v>
      </c>
      <c r="G378">
        <v>1</v>
      </c>
      <c r="H378" s="9">
        <v>0.2</v>
      </c>
      <c r="I378" t="s">
        <v>699</v>
      </c>
      <c r="J378">
        <v>4</v>
      </c>
      <c r="K378">
        <v>3</v>
      </c>
      <c r="L378" t="str">
        <f>VLOOKUP(D378,Products!A:E,2,FALSE)</f>
        <v>Monitor</v>
      </c>
      <c r="M378" t="str">
        <f>VLOOKUP(D378,Products!A:E,3,FALSE)</f>
        <v>Technology</v>
      </c>
      <c r="N378">
        <f>VLOOKUP(D378,Products!A:E,4,FALSE)</f>
        <v>310</v>
      </c>
      <c r="O378" s="13">
        <f>VLOOKUP(D378,Products!A:E,5,FALSE)</f>
        <v>190</v>
      </c>
      <c r="P378" s="13" t="str">
        <f>VLOOKUP(C378,Customers!A:C,3,FALSE)</f>
        <v>Corporate</v>
      </c>
      <c r="Q378" s="13">
        <f t="shared" si="20"/>
        <v>248</v>
      </c>
      <c r="R378" s="13">
        <f t="shared" si="21"/>
        <v>190</v>
      </c>
      <c r="S378" s="13">
        <f t="shared" si="22"/>
        <v>58</v>
      </c>
      <c r="T378" s="14">
        <f t="shared" si="23"/>
        <v>0.23387096774193547</v>
      </c>
    </row>
    <row r="379" spans="1:20">
      <c r="A379" t="s">
        <v>1083</v>
      </c>
      <c r="B379" s="8">
        <v>46250</v>
      </c>
      <c r="C379" t="s">
        <v>643</v>
      </c>
      <c r="D379" t="s">
        <v>56</v>
      </c>
      <c r="E379" t="s">
        <v>708</v>
      </c>
      <c r="F379" t="s">
        <v>702</v>
      </c>
      <c r="G379">
        <v>3</v>
      </c>
      <c r="H379" s="9">
        <v>0.15</v>
      </c>
      <c r="I379" t="s">
        <v>699</v>
      </c>
      <c r="J379">
        <v>4</v>
      </c>
      <c r="K379">
        <v>2</v>
      </c>
      <c r="L379" t="str">
        <f>VLOOKUP(D379,Products!A:E,2,FALSE)</f>
        <v>Headset</v>
      </c>
      <c r="M379" t="str">
        <f>VLOOKUP(D379,Products!A:E,3,FALSE)</f>
        <v>Technology</v>
      </c>
      <c r="N379">
        <f>VLOOKUP(D379,Products!A:E,4,FALSE)</f>
        <v>98</v>
      </c>
      <c r="O379" s="13">
        <f>VLOOKUP(D379,Products!A:E,5,FALSE)</f>
        <v>46</v>
      </c>
      <c r="P379" s="13" t="str">
        <f>VLOOKUP(C379,Customers!A:C,3,FALSE)</f>
        <v>Consumer</v>
      </c>
      <c r="Q379" s="13">
        <f t="shared" si="20"/>
        <v>249.9</v>
      </c>
      <c r="R379" s="13">
        <f t="shared" si="21"/>
        <v>138</v>
      </c>
      <c r="S379" s="13">
        <f t="shared" si="22"/>
        <v>111.9</v>
      </c>
      <c r="T379" s="14">
        <f t="shared" si="23"/>
        <v>0.44777911164465789</v>
      </c>
    </row>
    <row r="380" spans="1:20">
      <c r="A380" t="s">
        <v>1084</v>
      </c>
      <c r="B380" s="8">
        <v>46186</v>
      </c>
      <c r="C380" t="s">
        <v>501</v>
      </c>
      <c r="D380" t="s">
        <v>70</v>
      </c>
      <c r="E380" t="s">
        <v>697</v>
      </c>
      <c r="F380" t="s">
        <v>702</v>
      </c>
      <c r="G380">
        <v>4</v>
      </c>
      <c r="H380" s="9">
        <v>0.15</v>
      </c>
      <c r="I380" t="s">
        <v>699</v>
      </c>
      <c r="J380">
        <v>5</v>
      </c>
      <c r="K380">
        <v>4</v>
      </c>
      <c r="L380" t="str">
        <f>VLOOKUP(D380,Products!A:E,2,FALSE)</f>
        <v>USB-C Hub</v>
      </c>
      <c r="M380" t="str">
        <f>VLOOKUP(D380,Products!A:E,3,FALSE)</f>
        <v>Accessories</v>
      </c>
      <c r="N380">
        <f>VLOOKUP(D380,Products!A:E,4,FALSE)</f>
        <v>68</v>
      </c>
      <c r="O380" s="13">
        <f>VLOOKUP(D380,Products!A:E,5,FALSE)</f>
        <v>31</v>
      </c>
      <c r="P380" s="13" t="str">
        <f>VLOOKUP(C380,Customers!A:C,3,FALSE)</f>
        <v>Consumer</v>
      </c>
      <c r="Q380" s="13">
        <f t="shared" si="20"/>
        <v>231.2</v>
      </c>
      <c r="R380" s="13">
        <f t="shared" si="21"/>
        <v>124</v>
      </c>
      <c r="S380" s="13">
        <f t="shared" si="22"/>
        <v>107.19999999999999</v>
      </c>
      <c r="T380" s="14">
        <f t="shared" si="23"/>
        <v>0.46366782006920415</v>
      </c>
    </row>
    <row r="381" spans="1:20">
      <c r="A381" t="s">
        <v>1085</v>
      </c>
      <c r="B381" s="8">
        <v>45827</v>
      </c>
      <c r="C381" t="s">
        <v>321</v>
      </c>
      <c r="D381" t="s">
        <v>50</v>
      </c>
      <c r="E381" t="s">
        <v>715</v>
      </c>
      <c r="F381" t="s">
        <v>702</v>
      </c>
      <c r="G381">
        <v>1</v>
      </c>
      <c r="H381" s="9">
        <v>0</v>
      </c>
      <c r="I381" t="s">
        <v>699</v>
      </c>
      <c r="J381">
        <v>5</v>
      </c>
      <c r="K381">
        <v>2</v>
      </c>
      <c r="L381" t="str">
        <f>VLOOKUP(D381,Products!A:E,2,FALSE)</f>
        <v>Keyboard</v>
      </c>
      <c r="M381" t="str">
        <f>VLOOKUP(D381,Products!A:E,3,FALSE)</f>
        <v>Technology</v>
      </c>
      <c r="N381">
        <f>VLOOKUP(D381,Products!A:E,4,FALSE)</f>
        <v>75</v>
      </c>
      <c r="O381" s="13">
        <f>VLOOKUP(D381,Products!A:E,5,FALSE)</f>
        <v>38</v>
      </c>
      <c r="P381" s="13" t="str">
        <f>VLOOKUP(C381,Customers!A:C,3,FALSE)</f>
        <v>Corporate</v>
      </c>
      <c r="Q381" s="13">
        <f t="shared" si="20"/>
        <v>75</v>
      </c>
      <c r="R381" s="13">
        <f t="shared" si="21"/>
        <v>38</v>
      </c>
      <c r="S381" s="13">
        <f t="shared" si="22"/>
        <v>37</v>
      </c>
      <c r="T381" s="14">
        <f t="shared" si="23"/>
        <v>0.49333333333333335</v>
      </c>
    </row>
    <row r="382" spans="1:20">
      <c r="A382" t="s">
        <v>1086</v>
      </c>
      <c r="B382" s="8">
        <v>46082</v>
      </c>
      <c r="C382" t="s">
        <v>425</v>
      </c>
      <c r="D382" t="s">
        <v>52</v>
      </c>
      <c r="E382" t="s">
        <v>715</v>
      </c>
      <c r="F382" t="s">
        <v>702</v>
      </c>
      <c r="G382">
        <v>1</v>
      </c>
      <c r="H382" s="9">
        <v>0</v>
      </c>
      <c r="I382" t="s">
        <v>699</v>
      </c>
      <c r="J382">
        <v>1</v>
      </c>
      <c r="K382">
        <v>3</v>
      </c>
      <c r="L382" t="str">
        <f>VLOOKUP(D382,Products!A:E,2,FALSE)</f>
        <v>Mouse</v>
      </c>
      <c r="M382" t="str">
        <f>VLOOKUP(D382,Products!A:E,3,FALSE)</f>
        <v>Technology</v>
      </c>
      <c r="N382">
        <f>VLOOKUP(D382,Products!A:E,4,FALSE)</f>
        <v>42</v>
      </c>
      <c r="O382" s="13">
        <f>VLOOKUP(D382,Products!A:E,5,FALSE)</f>
        <v>19</v>
      </c>
      <c r="P382" s="13" t="str">
        <f>VLOOKUP(C382,Customers!A:C,3,FALSE)</f>
        <v>Consumer</v>
      </c>
      <c r="Q382" s="13">
        <f t="shared" si="20"/>
        <v>42</v>
      </c>
      <c r="R382" s="13">
        <f t="shared" si="21"/>
        <v>19</v>
      </c>
      <c r="S382" s="13">
        <f t="shared" si="22"/>
        <v>23</v>
      </c>
      <c r="T382" s="14">
        <f t="shared" si="23"/>
        <v>0.54761904761904767</v>
      </c>
    </row>
    <row r="383" spans="1:20">
      <c r="A383" t="s">
        <v>1087</v>
      </c>
      <c r="B383" s="8">
        <v>46245</v>
      </c>
      <c r="C383" t="s">
        <v>251</v>
      </c>
      <c r="D383" t="s">
        <v>54</v>
      </c>
      <c r="E383" t="s">
        <v>701</v>
      </c>
      <c r="F383" t="s">
        <v>702</v>
      </c>
      <c r="G383">
        <v>3</v>
      </c>
      <c r="H383" s="9">
        <v>0</v>
      </c>
      <c r="I383" t="s">
        <v>699</v>
      </c>
      <c r="J383">
        <v>3</v>
      </c>
      <c r="K383">
        <v>4</v>
      </c>
      <c r="L383" t="str">
        <f>VLOOKUP(D383,Products!A:E,2,FALSE)</f>
        <v>Webcam</v>
      </c>
      <c r="M383" t="str">
        <f>VLOOKUP(D383,Products!A:E,3,FALSE)</f>
        <v>Technology</v>
      </c>
      <c r="N383">
        <f>VLOOKUP(D383,Products!A:E,4,FALSE)</f>
        <v>115</v>
      </c>
      <c r="O383" s="13">
        <f>VLOOKUP(D383,Products!A:E,5,FALSE)</f>
        <v>58</v>
      </c>
      <c r="P383" s="13" t="str">
        <f>VLOOKUP(C383,Customers!A:C,3,FALSE)</f>
        <v>Corporate</v>
      </c>
      <c r="Q383" s="13">
        <f t="shared" si="20"/>
        <v>345</v>
      </c>
      <c r="R383" s="13">
        <f t="shared" si="21"/>
        <v>174</v>
      </c>
      <c r="S383" s="13">
        <f t="shared" si="22"/>
        <v>171</v>
      </c>
      <c r="T383" s="14">
        <f t="shared" si="23"/>
        <v>0.4956521739130435</v>
      </c>
    </row>
    <row r="384" spans="1:20">
      <c r="A384" t="s">
        <v>1088</v>
      </c>
      <c r="B384" s="8">
        <v>46235</v>
      </c>
      <c r="C384" t="s">
        <v>105</v>
      </c>
      <c r="D384" t="s">
        <v>65</v>
      </c>
      <c r="E384" t="s">
        <v>697</v>
      </c>
      <c r="F384" t="s">
        <v>702</v>
      </c>
      <c r="G384">
        <v>3</v>
      </c>
      <c r="H384" s="9">
        <v>0.05</v>
      </c>
      <c r="I384" t="s">
        <v>699</v>
      </c>
      <c r="J384">
        <v>3</v>
      </c>
      <c r="K384">
        <v>4</v>
      </c>
      <c r="L384" t="str">
        <f>VLOOKUP(D384,Products!A:E,2,FALSE)</f>
        <v>Laptop Stand</v>
      </c>
      <c r="M384" t="str">
        <f>VLOOKUP(D384,Products!A:E,3,FALSE)</f>
        <v>Accessories</v>
      </c>
      <c r="N384">
        <f>VLOOKUP(D384,Products!A:E,4,FALSE)</f>
        <v>48</v>
      </c>
      <c r="O384" s="13">
        <f>VLOOKUP(D384,Products!A:E,5,FALSE)</f>
        <v>22</v>
      </c>
      <c r="P384" s="13" t="str">
        <f>VLOOKUP(C384,Customers!A:C,3,FALSE)</f>
        <v>Consumer</v>
      </c>
      <c r="Q384" s="13">
        <f t="shared" si="20"/>
        <v>136.79999999999998</v>
      </c>
      <c r="R384" s="13">
        <f t="shared" si="21"/>
        <v>66</v>
      </c>
      <c r="S384" s="13">
        <f t="shared" si="22"/>
        <v>70.799999999999983</v>
      </c>
      <c r="T384" s="14">
        <f t="shared" si="23"/>
        <v>0.51754385964912275</v>
      </c>
    </row>
    <row r="385" spans="1:20">
      <c r="A385" t="s">
        <v>1089</v>
      </c>
      <c r="B385" s="8">
        <v>45804</v>
      </c>
      <c r="C385" t="s">
        <v>683</v>
      </c>
      <c r="D385" t="s">
        <v>56</v>
      </c>
      <c r="E385" t="s">
        <v>701</v>
      </c>
      <c r="F385" t="s">
        <v>698</v>
      </c>
      <c r="G385">
        <v>1</v>
      </c>
      <c r="H385" s="9">
        <v>0.1</v>
      </c>
      <c r="I385" t="s">
        <v>703</v>
      </c>
      <c r="J385">
        <v>4</v>
      </c>
      <c r="K385">
        <v>3</v>
      </c>
      <c r="L385" t="str">
        <f>VLOOKUP(D385,Products!A:E,2,FALSE)</f>
        <v>Headset</v>
      </c>
      <c r="M385" t="str">
        <f>VLOOKUP(D385,Products!A:E,3,FALSE)</f>
        <v>Technology</v>
      </c>
      <c r="N385">
        <f>VLOOKUP(D385,Products!A:E,4,FALSE)</f>
        <v>98</v>
      </c>
      <c r="O385" s="13">
        <f>VLOOKUP(D385,Products!A:E,5,FALSE)</f>
        <v>46</v>
      </c>
      <c r="P385" s="13" t="str">
        <f>VLOOKUP(C385,Customers!A:C,3,FALSE)</f>
        <v>Consumer</v>
      </c>
      <c r="Q385" s="13">
        <f t="shared" si="20"/>
        <v>88.2</v>
      </c>
      <c r="R385" s="13">
        <f t="shared" si="21"/>
        <v>46</v>
      </c>
      <c r="S385" s="13">
        <f t="shared" si="22"/>
        <v>42.2</v>
      </c>
      <c r="T385" s="14">
        <f t="shared" si="23"/>
        <v>0.47845804988662133</v>
      </c>
    </row>
    <row r="386" spans="1:20">
      <c r="A386" t="s">
        <v>1090</v>
      </c>
      <c r="B386" s="8">
        <v>46045</v>
      </c>
      <c r="C386" t="s">
        <v>481</v>
      </c>
      <c r="D386" t="s">
        <v>54</v>
      </c>
      <c r="E386" t="s">
        <v>705</v>
      </c>
      <c r="F386" t="s">
        <v>702</v>
      </c>
      <c r="G386">
        <v>5</v>
      </c>
      <c r="H386" s="9">
        <v>0.05</v>
      </c>
      <c r="I386" t="s">
        <v>699</v>
      </c>
      <c r="J386">
        <v>3</v>
      </c>
      <c r="K386">
        <v>1</v>
      </c>
      <c r="L386" t="str">
        <f>VLOOKUP(D386,Products!A:E,2,FALSE)</f>
        <v>Webcam</v>
      </c>
      <c r="M386" t="str">
        <f>VLOOKUP(D386,Products!A:E,3,FALSE)</f>
        <v>Technology</v>
      </c>
      <c r="N386">
        <f>VLOOKUP(D386,Products!A:E,4,FALSE)</f>
        <v>115</v>
      </c>
      <c r="O386" s="13">
        <f>VLOOKUP(D386,Products!A:E,5,FALSE)</f>
        <v>58</v>
      </c>
      <c r="P386" s="13" t="str">
        <f>VLOOKUP(C386,Customers!A:C,3,FALSE)</f>
        <v>Consumer</v>
      </c>
      <c r="Q386" s="13">
        <f t="shared" ref="Q386:Q449" si="24">G386*N386*(1-H386)</f>
        <v>546.25</v>
      </c>
      <c r="R386" s="13">
        <f t="shared" ref="R386:R449" si="25">G386*O386</f>
        <v>290</v>
      </c>
      <c r="S386" s="13">
        <f t="shared" ref="S386:S449" si="26">Q386-R386</f>
        <v>256.25</v>
      </c>
      <c r="T386" s="14">
        <f t="shared" ref="T386:T449" si="27">IFERROR(S386/Q386,0)</f>
        <v>0.46910755148741418</v>
      </c>
    </row>
    <row r="387" spans="1:20">
      <c r="A387" t="s">
        <v>1091</v>
      </c>
      <c r="B387" s="8">
        <v>45839</v>
      </c>
      <c r="C387" t="s">
        <v>573</v>
      </c>
      <c r="D387" t="s">
        <v>48</v>
      </c>
      <c r="E387" t="s">
        <v>697</v>
      </c>
      <c r="F387" t="s">
        <v>698</v>
      </c>
      <c r="G387">
        <v>4</v>
      </c>
      <c r="H387" s="9">
        <v>0</v>
      </c>
      <c r="I387" t="s">
        <v>699</v>
      </c>
      <c r="J387">
        <v>5</v>
      </c>
      <c r="K387">
        <v>5</v>
      </c>
      <c r="L387" t="str">
        <f>VLOOKUP(D387,Products!A:E,2,FALSE)</f>
        <v>Monitor</v>
      </c>
      <c r="M387" t="str">
        <f>VLOOKUP(D387,Products!A:E,3,FALSE)</f>
        <v>Technology</v>
      </c>
      <c r="N387">
        <f>VLOOKUP(D387,Products!A:E,4,FALSE)</f>
        <v>310</v>
      </c>
      <c r="O387" s="13">
        <f>VLOOKUP(D387,Products!A:E,5,FALSE)</f>
        <v>190</v>
      </c>
      <c r="P387" s="13" t="str">
        <f>VLOOKUP(C387,Customers!A:C,3,FALSE)</f>
        <v>Small Business</v>
      </c>
      <c r="Q387" s="13">
        <f t="shared" si="24"/>
        <v>1240</v>
      </c>
      <c r="R387" s="13">
        <f t="shared" si="25"/>
        <v>760</v>
      </c>
      <c r="S387" s="13">
        <f t="shared" si="26"/>
        <v>480</v>
      </c>
      <c r="T387" s="14">
        <f t="shared" si="27"/>
        <v>0.38709677419354838</v>
      </c>
    </row>
    <row r="388" spans="1:20">
      <c r="A388" t="s">
        <v>1092</v>
      </c>
      <c r="B388" s="8">
        <v>45659</v>
      </c>
      <c r="C388" t="s">
        <v>527</v>
      </c>
      <c r="D388" t="s">
        <v>74</v>
      </c>
      <c r="E388" t="s">
        <v>708</v>
      </c>
      <c r="F388" t="s">
        <v>702</v>
      </c>
      <c r="G388">
        <v>2</v>
      </c>
      <c r="H388" s="9">
        <v>0</v>
      </c>
      <c r="I388" t="s">
        <v>699</v>
      </c>
      <c r="J388">
        <v>5</v>
      </c>
      <c r="K388">
        <v>4</v>
      </c>
      <c r="L388" t="str">
        <f>VLOOKUP(D388,Products!A:E,2,FALSE)</f>
        <v>Printer Paper</v>
      </c>
      <c r="M388" t="str">
        <f>VLOOKUP(D388,Products!A:E,3,FALSE)</f>
        <v>Office Supplies</v>
      </c>
      <c r="N388">
        <f>VLOOKUP(D388,Products!A:E,4,FALSE)</f>
        <v>17</v>
      </c>
      <c r="O388" s="13">
        <f>VLOOKUP(D388,Products!A:E,5,FALSE)</f>
        <v>8</v>
      </c>
      <c r="P388" s="13" t="str">
        <f>VLOOKUP(C388,Customers!A:C,3,FALSE)</f>
        <v>Small Business</v>
      </c>
      <c r="Q388" s="13">
        <f t="shared" si="24"/>
        <v>34</v>
      </c>
      <c r="R388" s="13">
        <f t="shared" si="25"/>
        <v>16</v>
      </c>
      <c r="S388" s="13">
        <f t="shared" si="26"/>
        <v>18</v>
      </c>
      <c r="T388" s="14">
        <f t="shared" si="27"/>
        <v>0.52941176470588236</v>
      </c>
    </row>
    <row r="389" spans="1:20">
      <c r="A389" t="s">
        <v>1093</v>
      </c>
      <c r="B389" s="8">
        <v>46016</v>
      </c>
      <c r="C389" t="s">
        <v>675</v>
      </c>
      <c r="D389" t="s">
        <v>52</v>
      </c>
      <c r="E389" t="s">
        <v>715</v>
      </c>
      <c r="F389" t="s">
        <v>702</v>
      </c>
      <c r="G389">
        <v>4</v>
      </c>
      <c r="H389" s="9">
        <v>0.15</v>
      </c>
      <c r="I389" t="s">
        <v>699</v>
      </c>
      <c r="J389">
        <v>4</v>
      </c>
      <c r="K389">
        <v>5</v>
      </c>
      <c r="L389" t="str">
        <f>VLOOKUP(D389,Products!A:E,2,FALSE)</f>
        <v>Mouse</v>
      </c>
      <c r="M389" t="str">
        <f>VLOOKUP(D389,Products!A:E,3,FALSE)</f>
        <v>Technology</v>
      </c>
      <c r="N389">
        <f>VLOOKUP(D389,Products!A:E,4,FALSE)</f>
        <v>42</v>
      </c>
      <c r="O389" s="13">
        <f>VLOOKUP(D389,Products!A:E,5,FALSE)</f>
        <v>19</v>
      </c>
      <c r="P389" s="13" t="str">
        <f>VLOOKUP(C389,Customers!A:C,3,FALSE)</f>
        <v>Corporate</v>
      </c>
      <c r="Q389" s="13">
        <f t="shared" si="24"/>
        <v>142.79999999999998</v>
      </c>
      <c r="R389" s="13">
        <f t="shared" si="25"/>
        <v>76</v>
      </c>
      <c r="S389" s="13">
        <f t="shared" si="26"/>
        <v>66.799999999999983</v>
      </c>
      <c r="T389" s="14">
        <f t="shared" si="27"/>
        <v>0.46778711484593832</v>
      </c>
    </row>
    <row r="390" spans="1:20">
      <c r="A390" t="s">
        <v>1094</v>
      </c>
      <c r="B390" s="8">
        <v>46076</v>
      </c>
      <c r="C390" t="s">
        <v>349</v>
      </c>
      <c r="D390" t="s">
        <v>58</v>
      </c>
      <c r="E390" t="s">
        <v>705</v>
      </c>
      <c r="F390" t="s">
        <v>698</v>
      </c>
      <c r="G390">
        <v>1</v>
      </c>
      <c r="H390" s="9">
        <v>0.05</v>
      </c>
      <c r="I390" t="s">
        <v>699</v>
      </c>
      <c r="J390">
        <v>4</v>
      </c>
      <c r="K390">
        <v>2</v>
      </c>
      <c r="L390" t="str">
        <f>VLOOKUP(D390,Products!A:E,2,FALSE)</f>
        <v>Standing Desk</v>
      </c>
      <c r="M390" t="str">
        <f>VLOOKUP(D390,Products!A:E,3,FALSE)</f>
        <v>Furniture</v>
      </c>
      <c r="N390">
        <f>VLOOKUP(D390,Products!A:E,4,FALSE)</f>
        <v>540</v>
      </c>
      <c r="O390" s="13">
        <f>VLOOKUP(D390,Products!A:E,5,FALSE)</f>
        <v>320</v>
      </c>
      <c r="P390" s="13" t="str">
        <f>VLOOKUP(C390,Customers!A:C,3,FALSE)</f>
        <v>Consumer</v>
      </c>
      <c r="Q390" s="13">
        <f t="shared" si="24"/>
        <v>513</v>
      </c>
      <c r="R390" s="13">
        <f t="shared" si="25"/>
        <v>320</v>
      </c>
      <c r="S390" s="13">
        <f t="shared" si="26"/>
        <v>193</v>
      </c>
      <c r="T390" s="14">
        <f t="shared" si="27"/>
        <v>0.37621832358674462</v>
      </c>
    </row>
    <row r="391" spans="1:20">
      <c r="A391" t="s">
        <v>1095</v>
      </c>
      <c r="B391" s="8">
        <v>45981</v>
      </c>
      <c r="C391" t="s">
        <v>505</v>
      </c>
      <c r="D391" t="s">
        <v>70</v>
      </c>
      <c r="E391" t="s">
        <v>705</v>
      </c>
      <c r="F391" t="s">
        <v>702</v>
      </c>
      <c r="G391">
        <v>3</v>
      </c>
      <c r="H391" s="9">
        <v>0</v>
      </c>
      <c r="I391" t="s">
        <v>699</v>
      </c>
      <c r="J391">
        <v>4</v>
      </c>
      <c r="K391">
        <v>5</v>
      </c>
      <c r="L391" t="str">
        <f>VLOOKUP(D391,Products!A:E,2,FALSE)</f>
        <v>USB-C Hub</v>
      </c>
      <c r="M391" t="str">
        <f>VLOOKUP(D391,Products!A:E,3,FALSE)</f>
        <v>Accessories</v>
      </c>
      <c r="N391">
        <f>VLOOKUP(D391,Products!A:E,4,FALSE)</f>
        <v>68</v>
      </c>
      <c r="O391" s="13">
        <f>VLOOKUP(D391,Products!A:E,5,FALSE)</f>
        <v>31</v>
      </c>
      <c r="P391" s="13" t="str">
        <f>VLOOKUP(C391,Customers!A:C,3,FALSE)</f>
        <v>Small Business</v>
      </c>
      <c r="Q391" s="13">
        <f t="shared" si="24"/>
        <v>204</v>
      </c>
      <c r="R391" s="13">
        <f t="shared" si="25"/>
        <v>93</v>
      </c>
      <c r="S391" s="13">
        <f t="shared" si="26"/>
        <v>111</v>
      </c>
      <c r="T391" s="14">
        <f t="shared" si="27"/>
        <v>0.54411764705882348</v>
      </c>
    </row>
    <row r="392" spans="1:20">
      <c r="A392" t="s">
        <v>1096</v>
      </c>
      <c r="B392" s="8">
        <v>45940</v>
      </c>
      <c r="C392" t="s">
        <v>493</v>
      </c>
      <c r="D392" t="s">
        <v>58</v>
      </c>
      <c r="E392" t="s">
        <v>708</v>
      </c>
      <c r="F392" t="s">
        <v>698</v>
      </c>
      <c r="G392">
        <v>2</v>
      </c>
      <c r="H392" s="9">
        <v>0</v>
      </c>
      <c r="I392" t="s">
        <v>699</v>
      </c>
      <c r="J392">
        <v>4</v>
      </c>
      <c r="K392">
        <v>3</v>
      </c>
      <c r="L392" t="str">
        <f>VLOOKUP(D392,Products!A:E,2,FALSE)</f>
        <v>Standing Desk</v>
      </c>
      <c r="M392" t="str">
        <f>VLOOKUP(D392,Products!A:E,3,FALSE)</f>
        <v>Furniture</v>
      </c>
      <c r="N392">
        <f>VLOOKUP(D392,Products!A:E,4,FALSE)</f>
        <v>540</v>
      </c>
      <c r="O392" s="13">
        <f>VLOOKUP(D392,Products!A:E,5,FALSE)</f>
        <v>320</v>
      </c>
      <c r="P392" s="13" t="str">
        <f>VLOOKUP(C392,Customers!A:C,3,FALSE)</f>
        <v>Consumer</v>
      </c>
      <c r="Q392" s="13">
        <f t="shared" si="24"/>
        <v>1080</v>
      </c>
      <c r="R392" s="13">
        <f t="shared" si="25"/>
        <v>640</v>
      </c>
      <c r="S392" s="13">
        <f t="shared" si="26"/>
        <v>440</v>
      </c>
      <c r="T392" s="14">
        <f t="shared" si="27"/>
        <v>0.40740740740740738</v>
      </c>
    </row>
    <row r="393" spans="1:20">
      <c r="A393" t="s">
        <v>1097</v>
      </c>
      <c r="B393" s="8">
        <v>46249</v>
      </c>
      <c r="C393" t="s">
        <v>439</v>
      </c>
      <c r="D393" t="s">
        <v>72</v>
      </c>
      <c r="E393" t="s">
        <v>701</v>
      </c>
      <c r="F393" t="s">
        <v>706</v>
      </c>
      <c r="G393">
        <v>3</v>
      </c>
      <c r="H393" s="9">
        <v>0.1</v>
      </c>
      <c r="I393" t="s">
        <v>699</v>
      </c>
      <c r="J393">
        <v>5</v>
      </c>
      <c r="K393">
        <v>2</v>
      </c>
      <c r="L393" t="str">
        <f>VLOOKUP(D393,Products!A:E,2,FALSE)</f>
        <v>Phone Charger</v>
      </c>
      <c r="M393" t="str">
        <f>VLOOKUP(D393,Products!A:E,3,FALSE)</f>
        <v>Accessories</v>
      </c>
      <c r="N393">
        <f>VLOOKUP(D393,Products!A:E,4,FALSE)</f>
        <v>32</v>
      </c>
      <c r="O393" s="13">
        <f>VLOOKUP(D393,Products!A:E,5,FALSE)</f>
        <v>13</v>
      </c>
      <c r="P393" s="13" t="str">
        <f>VLOOKUP(C393,Customers!A:C,3,FALSE)</f>
        <v>Consumer</v>
      </c>
      <c r="Q393" s="13">
        <f t="shared" si="24"/>
        <v>86.4</v>
      </c>
      <c r="R393" s="13">
        <f t="shared" si="25"/>
        <v>39</v>
      </c>
      <c r="S393" s="13">
        <f t="shared" si="26"/>
        <v>47.400000000000006</v>
      </c>
      <c r="T393" s="14">
        <f t="shared" si="27"/>
        <v>0.54861111111111116</v>
      </c>
    </row>
    <row r="394" spans="1:20">
      <c r="A394" t="s">
        <v>1098</v>
      </c>
      <c r="B394" s="8">
        <v>45760</v>
      </c>
      <c r="C394" t="s">
        <v>305</v>
      </c>
      <c r="D394" t="s">
        <v>72</v>
      </c>
      <c r="E394" t="s">
        <v>697</v>
      </c>
      <c r="F394" t="s">
        <v>698</v>
      </c>
      <c r="G394">
        <v>3</v>
      </c>
      <c r="H394" s="9">
        <v>0.1</v>
      </c>
      <c r="I394" t="s">
        <v>699</v>
      </c>
      <c r="J394">
        <v>4</v>
      </c>
      <c r="K394">
        <v>1</v>
      </c>
      <c r="L394" t="str">
        <f>VLOOKUP(D394,Products!A:E,2,FALSE)</f>
        <v>Phone Charger</v>
      </c>
      <c r="M394" t="str">
        <f>VLOOKUP(D394,Products!A:E,3,FALSE)</f>
        <v>Accessories</v>
      </c>
      <c r="N394">
        <f>VLOOKUP(D394,Products!A:E,4,FALSE)</f>
        <v>32</v>
      </c>
      <c r="O394" s="13">
        <f>VLOOKUP(D394,Products!A:E,5,FALSE)</f>
        <v>13</v>
      </c>
      <c r="P394" s="13" t="str">
        <f>VLOOKUP(C394,Customers!A:C,3,FALSE)</f>
        <v>Small Business</v>
      </c>
      <c r="Q394" s="13">
        <f t="shared" si="24"/>
        <v>86.4</v>
      </c>
      <c r="R394" s="13">
        <f t="shared" si="25"/>
        <v>39</v>
      </c>
      <c r="S394" s="13">
        <f t="shared" si="26"/>
        <v>47.400000000000006</v>
      </c>
      <c r="T394" s="14">
        <f t="shared" si="27"/>
        <v>0.54861111111111116</v>
      </c>
    </row>
    <row r="395" spans="1:20">
      <c r="A395" t="s">
        <v>1099</v>
      </c>
      <c r="B395" s="8">
        <v>45751</v>
      </c>
      <c r="C395" t="s">
        <v>235</v>
      </c>
      <c r="D395" t="s">
        <v>79</v>
      </c>
      <c r="E395" t="s">
        <v>697</v>
      </c>
      <c r="F395" t="s">
        <v>702</v>
      </c>
      <c r="G395">
        <v>1</v>
      </c>
      <c r="H395" s="9">
        <v>0</v>
      </c>
      <c r="I395" t="s">
        <v>699</v>
      </c>
      <c r="J395">
        <v>1</v>
      </c>
      <c r="K395">
        <v>8</v>
      </c>
      <c r="L395" t="str">
        <f>VLOOKUP(D395,Products!A:E,2,FALSE)</f>
        <v>Desk Organiser</v>
      </c>
      <c r="M395" t="str">
        <f>VLOOKUP(D395,Products!A:E,3,FALSE)</f>
        <v>Office Supplies</v>
      </c>
      <c r="N395">
        <f>VLOOKUP(D395,Products!A:E,4,FALSE)</f>
        <v>28</v>
      </c>
      <c r="O395" s="13">
        <f>VLOOKUP(D395,Products!A:E,5,FALSE)</f>
        <v>12</v>
      </c>
      <c r="P395" s="13" t="str">
        <f>VLOOKUP(C395,Customers!A:C,3,FALSE)</f>
        <v>Corporate</v>
      </c>
      <c r="Q395" s="13">
        <f t="shared" si="24"/>
        <v>28</v>
      </c>
      <c r="R395" s="13">
        <f t="shared" si="25"/>
        <v>12</v>
      </c>
      <c r="S395" s="13">
        <f t="shared" si="26"/>
        <v>16</v>
      </c>
      <c r="T395" s="14">
        <f t="shared" si="27"/>
        <v>0.5714285714285714</v>
      </c>
    </row>
    <row r="396" spans="1:20">
      <c r="A396" t="s">
        <v>1100</v>
      </c>
      <c r="B396" s="8">
        <v>46191</v>
      </c>
      <c r="C396" t="s">
        <v>379</v>
      </c>
      <c r="D396" t="s">
        <v>48</v>
      </c>
      <c r="E396" t="s">
        <v>697</v>
      </c>
      <c r="F396" t="s">
        <v>698</v>
      </c>
      <c r="G396">
        <v>3</v>
      </c>
      <c r="H396" s="9">
        <v>0</v>
      </c>
      <c r="I396" t="s">
        <v>699</v>
      </c>
      <c r="J396">
        <v>5</v>
      </c>
      <c r="K396">
        <v>5</v>
      </c>
      <c r="L396" t="str">
        <f>VLOOKUP(D396,Products!A:E,2,FALSE)</f>
        <v>Monitor</v>
      </c>
      <c r="M396" t="str">
        <f>VLOOKUP(D396,Products!A:E,3,FALSE)</f>
        <v>Technology</v>
      </c>
      <c r="N396">
        <f>VLOOKUP(D396,Products!A:E,4,FALSE)</f>
        <v>310</v>
      </c>
      <c r="O396" s="13">
        <f>VLOOKUP(D396,Products!A:E,5,FALSE)</f>
        <v>190</v>
      </c>
      <c r="P396" s="13" t="str">
        <f>VLOOKUP(C396,Customers!A:C,3,FALSE)</f>
        <v>Corporate</v>
      </c>
      <c r="Q396" s="13">
        <f t="shared" si="24"/>
        <v>930</v>
      </c>
      <c r="R396" s="13">
        <f t="shared" si="25"/>
        <v>570</v>
      </c>
      <c r="S396" s="13">
        <f t="shared" si="26"/>
        <v>360</v>
      </c>
      <c r="T396" s="14">
        <f t="shared" si="27"/>
        <v>0.38709677419354838</v>
      </c>
    </row>
    <row r="397" spans="1:20">
      <c r="A397" t="s">
        <v>1101</v>
      </c>
      <c r="B397" s="8">
        <v>45950</v>
      </c>
      <c r="C397" t="s">
        <v>285</v>
      </c>
      <c r="D397" t="s">
        <v>48</v>
      </c>
      <c r="E397" t="s">
        <v>697</v>
      </c>
      <c r="F397" t="s">
        <v>698</v>
      </c>
      <c r="G397">
        <v>3</v>
      </c>
      <c r="H397" s="9">
        <v>0.05</v>
      </c>
      <c r="I397" t="s">
        <v>699</v>
      </c>
      <c r="J397">
        <v>4</v>
      </c>
      <c r="K397">
        <v>1</v>
      </c>
      <c r="L397" t="str">
        <f>VLOOKUP(D397,Products!A:E,2,FALSE)</f>
        <v>Monitor</v>
      </c>
      <c r="M397" t="str">
        <f>VLOOKUP(D397,Products!A:E,3,FALSE)</f>
        <v>Technology</v>
      </c>
      <c r="N397">
        <f>VLOOKUP(D397,Products!A:E,4,FALSE)</f>
        <v>310</v>
      </c>
      <c r="O397" s="13">
        <f>VLOOKUP(D397,Products!A:E,5,FALSE)</f>
        <v>190</v>
      </c>
      <c r="P397" s="13" t="str">
        <f>VLOOKUP(C397,Customers!A:C,3,FALSE)</f>
        <v>Small Business</v>
      </c>
      <c r="Q397" s="13">
        <f t="shared" si="24"/>
        <v>883.5</v>
      </c>
      <c r="R397" s="13">
        <f t="shared" si="25"/>
        <v>570</v>
      </c>
      <c r="S397" s="13">
        <f t="shared" si="26"/>
        <v>313.5</v>
      </c>
      <c r="T397" s="14">
        <f t="shared" si="27"/>
        <v>0.35483870967741937</v>
      </c>
    </row>
    <row r="398" spans="1:20">
      <c r="A398" t="s">
        <v>1102</v>
      </c>
      <c r="B398" s="8">
        <v>45819</v>
      </c>
      <c r="C398" t="s">
        <v>175</v>
      </c>
      <c r="D398" t="s">
        <v>63</v>
      </c>
      <c r="E398" t="s">
        <v>697</v>
      </c>
      <c r="F398" t="s">
        <v>702</v>
      </c>
      <c r="G398">
        <v>2</v>
      </c>
      <c r="H398" s="9">
        <v>0.05</v>
      </c>
      <c r="I398" t="s">
        <v>699</v>
      </c>
      <c r="J398">
        <v>5</v>
      </c>
      <c r="K398">
        <v>1</v>
      </c>
      <c r="L398" t="str">
        <f>VLOOKUP(D398,Products!A:E,2,FALSE)</f>
        <v>Bookshelf</v>
      </c>
      <c r="M398" t="str">
        <f>VLOOKUP(D398,Products!A:E,3,FALSE)</f>
        <v>Furniture</v>
      </c>
      <c r="N398">
        <f>VLOOKUP(D398,Products!A:E,4,FALSE)</f>
        <v>185</v>
      </c>
      <c r="O398" s="13">
        <f>VLOOKUP(D398,Products!A:E,5,FALSE)</f>
        <v>105</v>
      </c>
      <c r="P398" s="13" t="str">
        <f>VLOOKUP(C398,Customers!A:C,3,FALSE)</f>
        <v>Consumer</v>
      </c>
      <c r="Q398" s="13">
        <f t="shared" si="24"/>
        <v>351.5</v>
      </c>
      <c r="R398" s="13">
        <f t="shared" si="25"/>
        <v>210</v>
      </c>
      <c r="S398" s="13">
        <f t="shared" si="26"/>
        <v>141.5</v>
      </c>
      <c r="T398" s="14">
        <f t="shared" si="27"/>
        <v>0.40256045519203415</v>
      </c>
    </row>
    <row r="399" spans="1:20">
      <c r="A399" t="s">
        <v>1103</v>
      </c>
      <c r="B399" s="8">
        <v>45750</v>
      </c>
      <c r="C399" t="s">
        <v>649</v>
      </c>
      <c r="D399" t="s">
        <v>65</v>
      </c>
      <c r="E399" t="s">
        <v>701</v>
      </c>
      <c r="F399" t="s">
        <v>698</v>
      </c>
      <c r="G399">
        <v>3</v>
      </c>
      <c r="H399" s="9">
        <v>0</v>
      </c>
      <c r="I399" t="s">
        <v>699</v>
      </c>
      <c r="J399">
        <v>3</v>
      </c>
      <c r="K399">
        <v>2</v>
      </c>
      <c r="L399" t="str">
        <f>VLOOKUP(D399,Products!A:E,2,FALSE)</f>
        <v>Laptop Stand</v>
      </c>
      <c r="M399" t="str">
        <f>VLOOKUP(D399,Products!A:E,3,FALSE)</f>
        <v>Accessories</v>
      </c>
      <c r="N399">
        <f>VLOOKUP(D399,Products!A:E,4,FALSE)</f>
        <v>48</v>
      </c>
      <c r="O399" s="13">
        <f>VLOOKUP(D399,Products!A:E,5,FALSE)</f>
        <v>22</v>
      </c>
      <c r="P399" s="13" t="str">
        <f>VLOOKUP(C399,Customers!A:C,3,FALSE)</f>
        <v>Consumer</v>
      </c>
      <c r="Q399" s="13">
        <f t="shared" si="24"/>
        <v>144</v>
      </c>
      <c r="R399" s="13">
        <f t="shared" si="25"/>
        <v>66</v>
      </c>
      <c r="S399" s="13">
        <f t="shared" si="26"/>
        <v>78</v>
      </c>
      <c r="T399" s="14">
        <f t="shared" si="27"/>
        <v>0.54166666666666663</v>
      </c>
    </row>
    <row r="400" spans="1:20">
      <c r="A400" t="s">
        <v>1104</v>
      </c>
      <c r="B400" s="8">
        <v>46123</v>
      </c>
      <c r="C400" t="s">
        <v>499</v>
      </c>
      <c r="D400" t="s">
        <v>45</v>
      </c>
      <c r="E400" t="s">
        <v>708</v>
      </c>
      <c r="F400" t="s">
        <v>702</v>
      </c>
      <c r="G400">
        <v>1</v>
      </c>
      <c r="H400" s="9">
        <v>0</v>
      </c>
      <c r="I400" t="s">
        <v>699</v>
      </c>
      <c r="J400">
        <v>5</v>
      </c>
      <c r="K400">
        <v>5</v>
      </c>
      <c r="L400" t="str">
        <f>VLOOKUP(D400,Products!A:E,2,FALSE)</f>
        <v>Laptop</v>
      </c>
      <c r="M400" t="str">
        <f>VLOOKUP(D400,Products!A:E,3,FALSE)</f>
        <v>Technology</v>
      </c>
      <c r="N400">
        <f>VLOOKUP(D400,Products!A:E,4,FALSE)</f>
        <v>1100</v>
      </c>
      <c r="O400" s="13">
        <f>VLOOKUP(D400,Products!A:E,5,FALSE)</f>
        <v>720</v>
      </c>
      <c r="P400" s="13" t="str">
        <f>VLOOKUP(C400,Customers!A:C,3,FALSE)</f>
        <v>Consumer</v>
      </c>
      <c r="Q400" s="13">
        <f t="shared" si="24"/>
        <v>1100</v>
      </c>
      <c r="R400" s="13">
        <f t="shared" si="25"/>
        <v>720</v>
      </c>
      <c r="S400" s="13">
        <f t="shared" si="26"/>
        <v>380</v>
      </c>
      <c r="T400" s="14">
        <f t="shared" si="27"/>
        <v>0.34545454545454546</v>
      </c>
    </row>
    <row r="401" spans="1:20">
      <c r="A401" t="s">
        <v>1105</v>
      </c>
      <c r="B401" s="8">
        <v>45921</v>
      </c>
      <c r="C401" t="s">
        <v>637</v>
      </c>
      <c r="D401" t="s">
        <v>63</v>
      </c>
      <c r="E401" t="s">
        <v>701</v>
      </c>
      <c r="F401" t="s">
        <v>706</v>
      </c>
      <c r="G401">
        <v>3</v>
      </c>
      <c r="H401" s="9">
        <v>0.1</v>
      </c>
      <c r="I401" t="s">
        <v>699</v>
      </c>
      <c r="J401">
        <v>5</v>
      </c>
      <c r="K401">
        <v>4</v>
      </c>
      <c r="L401" t="str">
        <f>VLOOKUP(D401,Products!A:E,2,FALSE)</f>
        <v>Bookshelf</v>
      </c>
      <c r="M401" t="str">
        <f>VLOOKUP(D401,Products!A:E,3,FALSE)</f>
        <v>Furniture</v>
      </c>
      <c r="N401">
        <f>VLOOKUP(D401,Products!A:E,4,FALSE)</f>
        <v>185</v>
      </c>
      <c r="O401" s="13">
        <f>VLOOKUP(D401,Products!A:E,5,FALSE)</f>
        <v>105</v>
      </c>
      <c r="P401" s="13" t="str">
        <f>VLOOKUP(C401,Customers!A:C,3,FALSE)</f>
        <v>Consumer</v>
      </c>
      <c r="Q401" s="13">
        <f t="shared" si="24"/>
        <v>499.5</v>
      </c>
      <c r="R401" s="13">
        <f t="shared" si="25"/>
        <v>315</v>
      </c>
      <c r="S401" s="13">
        <f t="shared" si="26"/>
        <v>184.5</v>
      </c>
      <c r="T401" s="14">
        <f t="shared" si="27"/>
        <v>0.36936936936936937</v>
      </c>
    </row>
    <row r="402" spans="1:20">
      <c r="A402" t="s">
        <v>1106</v>
      </c>
      <c r="B402" s="8">
        <v>46129</v>
      </c>
      <c r="C402" t="s">
        <v>115</v>
      </c>
      <c r="D402" t="s">
        <v>79</v>
      </c>
      <c r="E402" t="s">
        <v>705</v>
      </c>
      <c r="F402" t="s">
        <v>702</v>
      </c>
      <c r="G402">
        <v>3</v>
      </c>
      <c r="H402" s="9">
        <v>0.2</v>
      </c>
      <c r="I402" t="s">
        <v>699</v>
      </c>
      <c r="J402">
        <v>3</v>
      </c>
      <c r="K402">
        <v>3</v>
      </c>
      <c r="L402" t="str">
        <f>VLOOKUP(D402,Products!A:E,2,FALSE)</f>
        <v>Desk Organiser</v>
      </c>
      <c r="M402" t="str">
        <f>VLOOKUP(D402,Products!A:E,3,FALSE)</f>
        <v>Office Supplies</v>
      </c>
      <c r="N402">
        <f>VLOOKUP(D402,Products!A:E,4,FALSE)</f>
        <v>28</v>
      </c>
      <c r="O402" s="13">
        <f>VLOOKUP(D402,Products!A:E,5,FALSE)</f>
        <v>12</v>
      </c>
      <c r="P402" s="13" t="str">
        <f>VLOOKUP(C402,Customers!A:C,3,FALSE)</f>
        <v>Corporate</v>
      </c>
      <c r="Q402" s="13">
        <f t="shared" si="24"/>
        <v>67.2</v>
      </c>
      <c r="R402" s="13">
        <f t="shared" si="25"/>
        <v>36</v>
      </c>
      <c r="S402" s="13">
        <f t="shared" si="26"/>
        <v>31.200000000000003</v>
      </c>
      <c r="T402" s="14">
        <f t="shared" si="27"/>
        <v>0.4642857142857143</v>
      </c>
    </row>
    <row r="403" spans="1:20">
      <c r="A403" t="s">
        <v>1107</v>
      </c>
      <c r="B403" s="8">
        <v>46080</v>
      </c>
      <c r="C403" t="s">
        <v>447</v>
      </c>
      <c r="D403" t="s">
        <v>45</v>
      </c>
      <c r="E403" t="s">
        <v>701</v>
      </c>
      <c r="F403" t="s">
        <v>702</v>
      </c>
      <c r="G403">
        <v>1</v>
      </c>
      <c r="H403" s="9">
        <v>0</v>
      </c>
      <c r="I403" t="s">
        <v>699</v>
      </c>
      <c r="J403">
        <v>4</v>
      </c>
      <c r="K403">
        <v>5</v>
      </c>
      <c r="L403" t="str">
        <f>VLOOKUP(D403,Products!A:E,2,FALSE)</f>
        <v>Laptop</v>
      </c>
      <c r="M403" t="str">
        <f>VLOOKUP(D403,Products!A:E,3,FALSE)</f>
        <v>Technology</v>
      </c>
      <c r="N403">
        <f>VLOOKUP(D403,Products!A:E,4,FALSE)</f>
        <v>1100</v>
      </c>
      <c r="O403" s="13">
        <f>VLOOKUP(D403,Products!A:E,5,FALSE)</f>
        <v>720</v>
      </c>
      <c r="P403" s="13" t="str">
        <f>VLOOKUP(C403,Customers!A:C,3,FALSE)</f>
        <v>Corporate</v>
      </c>
      <c r="Q403" s="13">
        <f t="shared" si="24"/>
        <v>1100</v>
      </c>
      <c r="R403" s="13">
        <f t="shared" si="25"/>
        <v>720</v>
      </c>
      <c r="S403" s="13">
        <f t="shared" si="26"/>
        <v>380</v>
      </c>
      <c r="T403" s="14">
        <f t="shared" si="27"/>
        <v>0.34545454545454546</v>
      </c>
    </row>
    <row r="404" spans="1:20">
      <c r="A404" t="s">
        <v>1108</v>
      </c>
      <c r="B404" s="8">
        <v>45840</v>
      </c>
      <c r="C404" t="s">
        <v>573</v>
      </c>
      <c r="D404" t="s">
        <v>68</v>
      </c>
      <c r="E404" t="s">
        <v>708</v>
      </c>
      <c r="F404" t="s">
        <v>706</v>
      </c>
      <c r="G404">
        <v>1</v>
      </c>
      <c r="H404" s="9">
        <v>0.2</v>
      </c>
      <c r="I404" t="s">
        <v>699</v>
      </c>
      <c r="J404">
        <v>5</v>
      </c>
      <c r="K404">
        <v>4</v>
      </c>
      <c r="L404" t="str">
        <f>VLOOKUP(D404,Products!A:E,2,FALSE)</f>
        <v>Backpack</v>
      </c>
      <c r="M404" t="str">
        <f>VLOOKUP(D404,Products!A:E,3,FALSE)</f>
        <v>Accessories</v>
      </c>
      <c r="N404">
        <f>VLOOKUP(D404,Products!A:E,4,FALSE)</f>
        <v>85</v>
      </c>
      <c r="O404" s="13">
        <f>VLOOKUP(D404,Products!A:E,5,FALSE)</f>
        <v>39</v>
      </c>
      <c r="P404" s="13" t="str">
        <f>VLOOKUP(C404,Customers!A:C,3,FALSE)</f>
        <v>Small Business</v>
      </c>
      <c r="Q404" s="13">
        <f t="shared" si="24"/>
        <v>68</v>
      </c>
      <c r="R404" s="13">
        <f t="shared" si="25"/>
        <v>39</v>
      </c>
      <c r="S404" s="13">
        <f t="shared" si="26"/>
        <v>29</v>
      </c>
      <c r="T404" s="14">
        <f t="shared" si="27"/>
        <v>0.4264705882352941</v>
      </c>
    </row>
    <row r="405" spans="1:20">
      <c r="A405" t="s">
        <v>1109</v>
      </c>
      <c r="B405" s="8">
        <v>45862</v>
      </c>
      <c r="C405" t="s">
        <v>327</v>
      </c>
      <c r="D405" t="s">
        <v>61</v>
      </c>
      <c r="E405" t="s">
        <v>697</v>
      </c>
      <c r="F405" t="s">
        <v>702</v>
      </c>
      <c r="G405">
        <v>1</v>
      </c>
      <c r="H405" s="9">
        <v>0</v>
      </c>
      <c r="I405" t="s">
        <v>699</v>
      </c>
      <c r="J405">
        <v>3</v>
      </c>
      <c r="K405">
        <v>1</v>
      </c>
      <c r="L405" t="str">
        <f>VLOOKUP(D405,Products!A:E,2,FALSE)</f>
        <v>Office Chair</v>
      </c>
      <c r="M405" t="str">
        <f>VLOOKUP(D405,Products!A:E,3,FALSE)</f>
        <v>Furniture</v>
      </c>
      <c r="N405">
        <f>VLOOKUP(D405,Products!A:E,4,FALSE)</f>
        <v>255</v>
      </c>
      <c r="O405" s="13">
        <f>VLOOKUP(D405,Products!A:E,5,FALSE)</f>
        <v>145</v>
      </c>
      <c r="P405" s="13" t="str">
        <f>VLOOKUP(C405,Customers!A:C,3,FALSE)</f>
        <v>Corporate</v>
      </c>
      <c r="Q405" s="13">
        <f t="shared" si="24"/>
        <v>255</v>
      </c>
      <c r="R405" s="13">
        <f t="shared" si="25"/>
        <v>145</v>
      </c>
      <c r="S405" s="13">
        <f t="shared" si="26"/>
        <v>110</v>
      </c>
      <c r="T405" s="14">
        <f t="shared" si="27"/>
        <v>0.43137254901960786</v>
      </c>
    </row>
    <row r="406" spans="1:20">
      <c r="A406" t="s">
        <v>1110</v>
      </c>
      <c r="B406" s="8">
        <v>45780</v>
      </c>
      <c r="C406" t="s">
        <v>167</v>
      </c>
      <c r="D406" t="s">
        <v>79</v>
      </c>
      <c r="E406" t="s">
        <v>701</v>
      </c>
      <c r="F406" t="s">
        <v>698</v>
      </c>
      <c r="G406">
        <v>2</v>
      </c>
      <c r="H406" s="9">
        <v>0</v>
      </c>
      <c r="I406" t="s">
        <v>699</v>
      </c>
      <c r="J406">
        <v>5</v>
      </c>
      <c r="K406">
        <v>4</v>
      </c>
      <c r="L406" t="str">
        <f>VLOOKUP(D406,Products!A:E,2,FALSE)</f>
        <v>Desk Organiser</v>
      </c>
      <c r="M406" t="str">
        <f>VLOOKUP(D406,Products!A:E,3,FALSE)</f>
        <v>Office Supplies</v>
      </c>
      <c r="N406">
        <f>VLOOKUP(D406,Products!A:E,4,FALSE)</f>
        <v>28</v>
      </c>
      <c r="O406" s="13">
        <f>VLOOKUP(D406,Products!A:E,5,FALSE)</f>
        <v>12</v>
      </c>
      <c r="P406" s="13" t="str">
        <f>VLOOKUP(C406,Customers!A:C,3,FALSE)</f>
        <v>Corporate</v>
      </c>
      <c r="Q406" s="13">
        <f t="shared" si="24"/>
        <v>56</v>
      </c>
      <c r="R406" s="13">
        <f t="shared" si="25"/>
        <v>24</v>
      </c>
      <c r="S406" s="13">
        <f t="shared" si="26"/>
        <v>32</v>
      </c>
      <c r="T406" s="14">
        <f t="shared" si="27"/>
        <v>0.5714285714285714</v>
      </c>
    </row>
    <row r="407" spans="1:20">
      <c r="A407" t="s">
        <v>1111</v>
      </c>
      <c r="B407" s="8">
        <v>46246</v>
      </c>
      <c r="C407" t="s">
        <v>367</v>
      </c>
      <c r="D407" t="s">
        <v>79</v>
      </c>
      <c r="E407" t="s">
        <v>705</v>
      </c>
      <c r="F407" t="s">
        <v>698</v>
      </c>
      <c r="G407">
        <v>2</v>
      </c>
      <c r="H407" s="9">
        <v>0</v>
      </c>
      <c r="I407" t="s">
        <v>699</v>
      </c>
      <c r="J407">
        <v>3</v>
      </c>
      <c r="K407">
        <v>5</v>
      </c>
      <c r="L407" t="str">
        <f>VLOOKUP(D407,Products!A:E,2,FALSE)</f>
        <v>Desk Organiser</v>
      </c>
      <c r="M407" t="str">
        <f>VLOOKUP(D407,Products!A:E,3,FALSE)</f>
        <v>Office Supplies</v>
      </c>
      <c r="N407">
        <f>VLOOKUP(D407,Products!A:E,4,FALSE)</f>
        <v>28</v>
      </c>
      <c r="O407" s="13">
        <f>VLOOKUP(D407,Products!A:E,5,FALSE)</f>
        <v>12</v>
      </c>
      <c r="P407" s="13" t="str">
        <f>VLOOKUP(C407,Customers!A:C,3,FALSE)</f>
        <v>Consumer</v>
      </c>
      <c r="Q407" s="13">
        <f t="shared" si="24"/>
        <v>56</v>
      </c>
      <c r="R407" s="13">
        <f t="shared" si="25"/>
        <v>24</v>
      </c>
      <c r="S407" s="13">
        <f t="shared" si="26"/>
        <v>32</v>
      </c>
      <c r="T407" s="14">
        <f t="shared" si="27"/>
        <v>0.5714285714285714</v>
      </c>
    </row>
    <row r="408" spans="1:20">
      <c r="A408" t="s">
        <v>1112</v>
      </c>
      <c r="B408" s="8">
        <v>46091</v>
      </c>
      <c r="C408" t="s">
        <v>575</v>
      </c>
      <c r="D408" t="s">
        <v>48</v>
      </c>
      <c r="E408" t="s">
        <v>715</v>
      </c>
      <c r="F408" t="s">
        <v>702</v>
      </c>
      <c r="G408">
        <v>3</v>
      </c>
      <c r="H408" s="9">
        <v>0</v>
      </c>
      <c r="I408" t="s">
        <v>703</v>
      </c>
      <c r="J408">
        <v>5</v>
      </c>
      <c r="K408">
        <v>7</v>
      </c>
      <c r="L408" t="str">
        <f>VLOOKUP(D408,Products!A:E,2,FALSE)</f>
        <v>Monitor</v>
      </c>
      <c r="M408" t="str">
        <f>VLOOKUP(D408,Products!A:E,3,FALSE)</f>
        <v>Technology</v>
      </c>
      <c r="N408">
        <f>VLOOKUP(D408,Products!A:E,4,FALSE)</f>
        <v>310</v>
      </c>
      <c r="O408" s="13">
        <f>VLOOKUP(D408,Products!A:E,5,FALSE)</f>
        <v>190</v>
      </c>
      <c r="P408" s="13" t="str">
        <f>VLOOKUP(C408,Customers!A:C,3,FALSE)</f>
        <v>Consumer</v>
      </c>
      <c r="Q408" s="13">
        <f t="shared" si="24"/>
        <v>930</v>
      </c>
      <c r="R408" s="13">
        <f t="shared" si="25"/>
        <v>570</v>
      </c>
      <c r="S408" s="13">
        <f t="shared" si="26"/>
        <v>360</v>
      </c>
      <c r="T408" s="14">
        <f t="shared" si="27"/>
        <v>0.38709677419354838</v>
      </c>
    </row>
    <row r="409" spans="1:20">
      <c r="A409" t="s">
        <v>1113</v>
      </c>
      <c r="B409" s="8">
        <v>45666</v>
      </c>
      <c r="C409" t="s">
        <v>98</v>
      </c>
      <c r="D409" t="s">
        <v>58</v>
      </c>
      <c r="E409" t="s">
        <v>708</v>
      </c>
      <c r="F409" t="s">
        <v>702</v>
      </c>
      <c r="G409">
        <v>2</v>
      </c>
      <c r="H409" s="9">
        <v>0.15</v>
      </c>
      <c r="I409" t="s">
        <v>699</v>
      </c>
      <c r="J409">
        <v>4</v>
      </c>
      <c r="K409">
        <v>3</v>
      </c>
      <c r="L409" t="str">
        <f>VLOOKUP(D409,Products!A:E,2,FALSE)</f>
        <v>Standing Desk</v>
      </c>
      <c r="M409" t="str">
        <f>VLOOKUP(D409,Products!A:E,3,FALSE)</f>
        <v>Furniture</v>
      </c>
      <c r="N409">
        <f>VLOOKUP(D409,Products!A:E,4,FALSE)</f>
        <v>540</v>
      </c>
      <c r="O409" s="13">
        <f>VLOOKUP(D409,Products!A:E,5,FALSE)</f>
        <v>320</v>
      </c>
      <c r="P409" s="13" t="str">
        <f>VLOOKUP(C409,Customers!A:C,3,FALSE)</f>
        <v>Small Business</v>
      </c>
      <c r="Q409" s="13">
        <f t="shared" si="24"/>
        <v>918</v>
      </c>
      <c r="R409" s="13">
        <f t="shared" si="25"/>
        <v>640</v>
      </c>
      <c r="S409" s="13">
        <f t="shared" si="26"/>
        <v>278</v>
      </c>
      <c r="T409" s="14">
        <f t="shared" si="27"/>
        <v>0.30283224400871461</v>
      </c>
    </row>
    <row r="410" spans="1:20">
      <c r="A410" t="s">
        <v>1114</v>
      </c>
      <c r="B410" s="8">
        <v>46140</v>
      </c>
      <c r="C410" t="s">
        <v>437</v>
      </c>
      <c r="D410" t="s">
        <v>70</v>
      </c>
      <c r="E410" t="s">
        <v>705</v>
      </c>
      <c r="F410" t="s">
        <v>702</v>
      </c>
      <c r="G410">
        <v>2</v>
      </c>
      <c r="H410" s="9">
        <v>0.1</v>
      </c>
      <c r="I410" t="s">
        <v>699</v>
      </c>
      <c r="J410">
        <v>4</v>
      </c>
      <c r="K410">
        <v>4</v>
      </c>
      <c r="L410" t="str">
        <f>VLOOKUP(D410,Products!A:E,2,FALSE)</f>
        <v>USB-C Hub</v>
      </c>
      <c r="M410" t="str">
        <f>VLOOKUP(D410,Products!A:E,3,FALSE)</f>
        <v>Accessories</v>
      </c>
      <c r="N410">
        <f>VLOOKUP(D410,Products!A:E,4,FALSE)</f>
        <v>68</v>
      </c>
      <c r="O410" s="13">
        <f>VLOOKUP(D410,Products!A:E,5,FALSE)</f>
        <v>31</v>
      </c>
      <c r="P410" s="13" t="str">
        <f>VLOOKUP(C410,Customers!A:C,3,FALSE)</f>
        <v>Consumer</v>
      </c>
      <c r="Q410" s="13">
        <f t="shared" si="24"/>
        <v>122.4</v>
      </c>
      <c r="R410" s="13">
        <f t="shared" si="25"/>
        <v>62</v>
      </c>
      <c r="S410" s="13">
        <f t="shared" si="26"/>
        <v>60.400000000000006</v>
      </c>
      <c r="T410" s="14">
        <f t="shared" si="27"/>
        <v>0.49346405228758172</v>
      </c>
    </row>
    <row r="411" spans="1:20">
      <c r="A411" t="s">
        <v>1115</v>
      </c>
      <c r="B411" s="8">
        <v>45842</v>
      </c>
      <c r="C411" t="s">
        <v>671</v>
      </c>
      <c r="D411" t="s">
        <v>54</v>
      </c>
      <c r="E411" t="s">
        <v>697</v>
      </c>
      <c r="F411" t="s">
        <v>698</v>
      </c>
      <c r="G411">
        <v>4</v>
      </c>
      <c r="H411" s="9">
        <v>0.1</v>
      </c>
      <c r="I411" t="s">
        <v>699</v>
      </c>
      <c r="J411">
        <v>4</v>
      </c>
      <c r="K411">
        <v>4</v>
      </c>
      <c r="L411" t="str">
        <f>VLOOKUP(D411,Products!A:E,2,FALSE)</f>
        <v>Webcam</v>
      </c>
      <c r="M411" t="str">
        <f>VLOOKUP(D411,Products!A:E,3,FALSE)</f>
        <v>Technology</v>
      </c>
      <c r="N411">
        <f>VLOOKUP(D411,Products!A:E,4,FALSE)</f>
        <v>115</v>
      </c>
      <c r="O411" s="13">
        <f>VLOOKUP(D411,Products!A:E,5,FALSE)</f>
        <v>58</v>
      </c>
      <c r="P411" s="13" t="str">
        <f>VLOOKUP(C411,Customers!A:C,3,FALSE)</f>
        <v>Corporate</v>
      </c>
      <c r="Q411" s="13">
        <f t="shared" si="24"/>
        <v>414</v>
      </c>
      <c r="R411" s="13">
        <f t="shared" si="25"/>
        <v>232</v>
      </c>
      <c r="S411" s="13">
        <f t="shared" si="26"/>
        <v>182</v>
      </c>
      <c r="T411" s="14">
        <f t="shared" si="27"/>
        <v>0.43961352657004832</v>
      </c>
    </row>
    <row r="412" spans="1:20">
      <c r="A412" t="s">
        <v>1116</v>
      </c>
      <c r="B412" s="8">
        <v>45858</v>
      </c>
      <c r="C412" t="s">
        <v>235</v>
      </c>
      <c r="D412" t="s">
        <v>54</v>
      </c>
      <c r="E412" t="s">
        <v>715</v>
      </c>
      <c r="F412" t="s">
        <v>702</v>
      </c>
      <c r="G412">
        <v>2</v>
      </c>
      <c r="H412" s="9">
        <v>0</v>
      </c>
      <c r="I412" t="s">
        <v>699</v>
      </c>
      <c r="J412">
        <v>5</v>
      </c>
      <c r="K412">
        <v>5</v>
      </c>
      <c r="L412" t="str">
        <f>VLOOKUP(D412,Products!A:E,2,FALSE)</f>
        <v>Webcam</v>
      </c>
      <c r="M412" t="str">
        <f>VLOOKUP(D412,Products!A:E,3,FALSE)</f>
        <v>Technology</v>
      </c>
      <c r="N412">
        <f>VLOOKUP(D412,Products!A:E,4,FALSE)</f>
        <v>115</v>
      </c>
      <c r="O412" s="13">
        <f>VLOOKUP(D412,Products!A:E,5,FALSE)</f>
        <v>58</v>
      </c>
      <c r="P412" s="13" t="str">
        <f>VLOOKUP(C412,Customers!A:C,3,FALSE)</f>
        <v>Corporate</v>
      </c>
      <c r="Q412" s="13">
        <f t="shared" si="24"/>
        <v>230</v>
      </c>
      <c r="R412" s="13">
        <f t="shared" si="25"/>
        <v>116</v>
      </c>
      <c r="S412" s="13">
        <f t="shared" si="26"/>
        <v>114</v>
      </c>
      <c r="T412" s="14">
        <f t="shared" si="27"/>
        <v>0.4956521739130435</v>
      </c>
    </row>
    <row r="413" spans="1:20">
      <c r="A413" t="s">
        <v>1117</v>
      </c>
      <c r="B413" s="8">
        <v>45981</v>
      </c>
      <c r="C413" t="s">
        <v>585</v>
      </c>
      <c r="D413" t="s">
        <v>65</v>
      </c>
      <c r="E413" t="s">
        <v>708</v>
      </c>
      <c r="F413" t="s">
        <v>706</v>
      </c>
      <c r="G413">
        <v>1</v>
      </c>
      <c r="H413" s="9">
        <v>0</v>
      </c>
      <c r="I413" t="s">
        <v>699</v>
      </c>
      <c r="J413">
        <v>3</v>
      </c>
      <c r="K413">
        <v>3</v>
      </c>
      <c r="L413" t="str">
        <f>VLOOKUP(D413,Products!A:E,2,FALSE)</f>
        <v>Laptop Stand</v>
      </c>
      <c r="M413" t="str">
        <f>VLOOKUP(D413,Products!A:E,3,FALSE)</f>
        <v>Accessories</v>
      </c>
      <c r="N413">
        <f>VLOOKUP(D413,Products!A:E,4,FALSE)</f>
        <v>48</v>
      </c>
      <c r="O413" s="13">
        <f>VLOOKUP(D413,Products!A:E,5,FALSE)</f>
        <v>22</v>
      </c>
      <c r="P413" s="13" t="str">
        <f>VLOOKUP(C413,Customers!A:C,3,FALSE)</f>
        <v>Consumer</v>
      </c>
      <c r="Q413" s="13">
        <f t="shared" si="24"/>
        <v>48</v>
      </c>
      <c r="R413" s="13">
        <f t="shared" si="25"/>
        <v>22</v>
      </c>
      <c r="S413" s="13">
        <f t="shared" si="26"/>
        <v>26</v>
      </c>
      <c r="T413" s="14">
        <f t="shared" si="27"/>
        <v>0.54166666666666663</v>
      </c>
    </row>
    <row r="414" spans="1:20">
      <c r="A414" t="s">
        <v>1118</v>
      </c>
      <c r="B414" s="8">
        <v>46145</v>
      </c>
      <c r="C414" t="s">
        <v>185</v>
      </c>
      <c r="D414" t="s">
        <v>77</v>
      </c>
      <c r="E414" t="s">
        <v>701</v>
      </c>
      <c r="F414" t="s">
        <v>702</v>
      </c>
      <c r="G414">
        <v>2</v>
      </c>
      <c r="H414" s="9">
        <v>0.05</v>
      </c>
      <c r="I414" t="s">
        <v>699</v>
      </c>
      <c r="J414">
        <v>4</v>
      </c>
      <c r="K414">
        <v>4</v>
      </c>
      <c r="L414" t="str">
        <f>VLOOKUP(D414,Products!A:E,2,FALSE)</f>
        <v>File Folder Pack</v>
      </c>
      <c r="M414" t="str">
        <f>VLOOKUP(D414,Products!A:E,3,FALSE)</f>
        <v>Office Supplies</v>
      </c>
      <c r="N414">
        <f>VLOOKUP(D414,Products!A:E,4,FALSE)</f>
        <v>23</v>
      </c>
      <c r="O414" s="13">
        <f>VLOOKUP(D414,Products!A:E,5,FALSE)</f>
        <v>10</v>
      </c>
      <c r="P414" s="13" t="str">
        <f>VLOOKUP(C414,Customers!A:C,3,FALSE)</f>
        <v>Consumer</v>
      </c>
      <c r="Q414" s="13">
        <f t="shared" si="24"/>
        <v>43.699999999999996</v>
      </c>
      <c r="R414" s="13">
        <f t="shared" si="25"/>
        <v>20</v>
      </c>
      <c r="S414" s="13">
        <f t="shared" si="26"/>
        <v>23.699999999999996</v>
      </c>
      <c r="T414" s="14">
        <f t="shared" si="27"/>
        <v>0.54233409610983974</v>
      </c>
    </row>
    <row r="415" spans="1:20">
      <c r="A415" t="s">
        <v>1119</v>
      </c>
      <c r="B415" s="8">
        <v>45782</v>
      </c>
      <c r="C415" t="s">
        <v>445</v>
      </c>
      <c r="D415" t="s">
        <v>58</v>
      </c>
      <c r="E415" t="s">
        <v>715</v>
      </c>
      <c r="F415" t="s">
        <v>698</v>
      </c>
      <c r="G415">
        <v>2</v>
      </c>
      <c r="H415" s="9">
        <v>0.2</v>
      </c>
      <c r="I415" t="s">
        <v>699</v>
      </c>
      <c r="J415">
        <v>4</v>
      </c>
      <c r="K415">
        <v>5</v>
      </c>
      <c r="L415" t="str">
        <f>VLOOKUP(D415,Products!A:E,2,FALSE)</f>
        <v>Standing Desk</v>
      </c>
      <c r="M415" t="str">
        <f>VLOOKUP(D415,Products!A:E,3,FALSE)</f>
        <v>Furniture</v>
      </c>
      <c r="N415">
        <f>VLOOKUP(D415,Products!A:E,4,FALSE)</f>
        <v>540</v>
      </c>
      <c r="O415" s="13">
        <f>VLOOKUP(D415,Products!A:E,5,FALSE)</f>
        <v>320</v>
      </c>
      <c r="P415" s="13" t="str">
        <f>VLOOKUP(C415,Customers!A:C,3,FALSE)</f>
        <v>Consumer</v>
      </c>
      <c r="Q415" s="13">
        <f t="shared" si="24"/>
        <v>864</v>
      </c>
      <c r="R415" s="13">
        <f t="shared" si="25"/>
        <v>640</v>
      </c>
      <c r="S415" s="13">
        <f t="shared" si="26"/>
        <v>224</v>
      </c>
      <c r="T415" s="14">
        <f t="shared" si="27"/>
        <v>0.25925925925925924</v>
      </c>
    </row>
    <row r="416" spans="1:20">
      <c r="A416" t="s">
        <v>1120</v>
      </c>
      <c r="B416" s="8">
        <v>46157</v>
      </c>
      <c r="C416" t="s">
        <v>543</v>
      </c>
      <c r="D416" t="s">
        <v>50</v>
      </c>
      <c r="E416" t="s">
        <v>708</v>
      </c>
      <c r="F416" t="s">
        <v>702</v>
      </c>
      <c r="G416">
        <v>3</v>
      </c>
      <c r="H416" s="9">
        <v>0</v>
      </c>
      <c r="I416" t="s">
        <v>699</v>
      </c>
      <c r="J416">
        <v>5</v>
      </c>
      <c r="K416">
        <v>3</v>
      </c>
      <c r="L416" t="str">
        <f>VLOOKUP(D416,Products!A:E,2,FALSE)</f>
        <v>Keyboard</v>
      </c>
      <c r="M416" t="str">
        <f>VLOOKUP(D416,Products!A:E,3,FALSE)</f>
        <v>Technology</v>
      </c>
      <c r="N416">
        <f>VLOOKUP(D416,Products!A:E,4,FALSE)</f>
        <v>75</v>
      </c>
      <c r="O416" s="13">
        <f>VLOOKUP(D416,Products!A:E,5,FALSE)</f>
        <v>38</v>
      </c>
      <c r="P416" s="13" t="str">
        <f>VLOOKUP(C416,Customers!A:C,3,FALSE)</f>
        <v>Consumer</v>
      </c>
      <c r="Q416" s="13">
        <f t="shared" si="24"/>
        <v>225</v>
      </c>
      <c r="R416" s="13">
        <f t="shared" si="25"/>
        <v>114</v>
      </c>
      <c r="S416" s="13">
        <f t="shared" si="26"/>
        <v>111</v>
      </c>
      <c r="T416" s="14">
        <f t="shared" si="27"/>
        <v>0.49333333333333335</v>
      </c>
    </row>
    <row r="417" spans="1:20">
      <c r="A417" t="s">
        <v>1121</v>
      </c>
      <c r="B417" s="8">
        <v>46089</v>
      </c>
      <c r="C417" t="s">
        <v>671</v>
      </c>
      <c r="D417" t="s">
        <v>72</v>
      </c>
      <c r="E417" t="s">
        <v>697</v>
      </c>
      <c r="F417" t="s">
        <v>702</v>
      </c>
      <c r="G417">
        <v>1</v>
      </c>
      <c r="H417" s="9">
        <v>0</v>
      </c>
      <c r="I417" t="s">
        <v>699</v>
      </c>
      <c r="J417">
        <v>4</v>
      </c>
      <c r="K417">
        <v>3</v>
      </c>
      <c r="L417" t="str">
        <f>VLOOKUP(D417,Products!A:E,2,FALSE)</f>
        <v>Phone Charger</v>
      </c>
      <c r="M417" t="str">
        <f>VLOOKUP(D417,Products!A:E,3,FALSE)</f>
        <v>Accessories</v>
      </c>
      <c r="N417">
        <f>VLOOKUP(D417,Products!A:E,4,FALSE)</f>
        <v>32</v>
      </c>
      <c r="O417" s="13">
        <f>VLOOKUP(D417,Products!A:E,5,FALSE)</f>
        <v>13</v>
      </c>
      <c r="P417" s="13" t="str">
        <f>VLOOKUP(C417,Customers!A:C,3,FALSE)</f>
        <v>Corporate</v>
      </c>
      <c r="Q417" s="13">
        <f t="shared" si="24"/>
        <v>32</v>
      </c>
      <c r="R417" s="13">
        <f t="shared" si="25"/>
        <v>13</v>
      </c>
      <c r="S417" s="13">
        <f t="shared" si="26"/>
        <v>19</v>
      </c>
      <c r="T417" s="14">
        <f t="shared" si="27"/>
        <v>0.59375</v>
      </c>
    </row>
    <row r="418" spans="1:20">
      <c r="A418" t="s">
        <v>1122</v>
      </c>
      <c r="B418" s="8">
        <v>46062</v>
      </c>
      <c r="C418" t="s">
        <v>363</v>
      </c>
      <c r="D418" t="s">
        <v>77</v>
      </c>
      <c r="E418" t="s">
        <v>697</v>
      </c>
      <c r="F418" t="s">
        <v>706</v>
      </c>
      <c r="G418">
        <v>4</v>
      </c>
      <c r="H418" s="9">
        <v>0.05</v>
      </c>
      <c r="I418" t="s">
        <v>699</v>
      </c>
      <c r="J418">
        <v>3</v>
      </c>
      <c r="K418">
        <v>1</v>
      </c>
      <c r="L418" t="str">
        <f>VLOOKUP(D418,Products!A:E,2,FALSE)</f>
        <v>File Folder Pack</v>
      </c>
      <c r="M418" t="str">
        <f>VLOOKUP(D418,Products!A:E,3,FALSE)</f>
        <v>Office Supplies</v>
      </c>
      <c r="N418">
        <f>VLOOKUP(D418,Products!A:E,4,FALSE)</f>
        <v>23</v>
      </c>
      <c r="O418" s="13">
        <f>VLOOKUP(D418,Products!A:E,5,FALSE)</f>
        <v>10</v>
      </c>
      <c r="P418" s="13" t="str">
        <f>VLOOKUP(C418,Customers!A:C,3,FALSE)</f>
        <v>Corporate</v>
      </c>
      <c r="Q418" s="13">
        <f t="shared" si="24"/>
        <v>87.399999999999991</v>
      </c>
      <c r="R418" s="13">
        <f t="shared" si="25"/>
        <v>40</v>
      </c>
      <c r="S418" s="13">
        <f t="shared" si="26"/>
        <v>47.399999999999991</v>
      </c>
      <c r="T418" s="14">
        <f t="shared" si="27"/>
        <v>0.54233409610983974</v>
      </c>
    </row>
    <row r="419" spans="1:20">
      <c r="A419" t="s">
        <v>1123</v>
      </c>
      <c r="B419" s="8">
        <v>45786</v>
      </c>
      <c r="C419" t="s">
        <v>327</v>
      </c>
      <c r="D419" t="s">
        <v>63</v>
      </c>
      <c r="E419" t="s">
        <v>697</v>
      </c>
      <c r="F419" t="s">
        <v>698</v>
      </c>
      <c r="G419">
        <v>1</v>
      </c>
      <c r="H419" s="9">
        <v>0</v>
      </c>
      <c r="I419" t="s">
        <v>699</v>
      </c>
      <c r="J419">
        <v>2</v>
      </c>
      <c r="K419">
        <v>5</v>
      </c>
      <c r="L419" t="str">
        <f>VLOOKUP(D419,Products!A:E,2,FALSE)</f>
        <v>Bookshelf</v>
      </c>
      <c r="M419" t="str">
        <f>VLOOKUP(D419,Products!A:E,3,FALSE)</f>
        <v>Furniture</v>
      </c>
      <c r="N419">
        <f>VLOOKUP(D419,Products!A:E,4,FALSE)</f>
        <v>185</v>
      </c>
      <c r="O419" s="13">
        <f>VLOOKUP(D419,Products!A:E,5,FALSE)</f>
        <v>105</v>
      </c>
      <c r="P419" s="13" t="str">
        <f>VLOOKUP(C419,Customers!A:C,3,FALSE)</f>
        <v>Corporate</v>
      </c>
      <c r="Q419" s="13">
        <f t="shared" si="24"/>
        <v>185</v>
      </c>
      <c r="R419" s="13">
        <f t="shared" si="25"/>
        <v>105</v>
      </c>
      <c r="S419" s="13">
        <f t="shared" si="26"/>
        <v>80</v>
      </c>
      <c r="T419" s="14">
        <f t="shared" si="27"/>
        <v>0.43243243243243246</v>
      </c>
    </row>
    <row r="420" spans="1:20">
      <c r="A420" t="s">
        <v>1124</v>
      </c>
      <c r="B420" s="8">
        <v>45684</v>
      </c>
      <c r="C420" t="s">
        <v>493</v>
      </c>
      <c r="D420" t="s">
        <v>50</v>
      </c>
      <c r="E420" t="s">
        <v>705</v>
      </c>
      <c r="F420" t="s">
        <v>698</v>
      </c>
      <c r="G420">
        <v>1</v>
      </c>
      <c r="H420" s="9">
        <v>0.15</v>
      </c>
      <c r="I420" t="s">
        <v>699</v>
      </c>
      <c r="J420">
        <v>3</v>
      </c>
      <c r="K420">
        <v>3</v>
      </c>
      <c r="L420" t="str">
        <f>VLOOKUP(D420,Products!A:E,2,FALSE)</f>
        <v>Keyboard</v>
      </c>
      <c r="M420" t="str">
        <f>VLOOKUP(D420,Products!A:E,3,FALSE)</f>
        <v>Technology</v>
      </c>
      <c r="N420">
        <f>VLOOKUP(D420,Products!A:E,4,FALSE)</f>
        <v>75</v>
      </c>
      <c r="O420" s="13">
        <f>VLOOKUP(D420,Products!A:E,5,FALSE)</f>
        <v>38</v>
      </c>
      <c r="P420" s="13" t="str">
        <f>VLOOKUP(C420,Customers!A:C,3,FALSE)</f>
        <v>Consumer</v>
      </c>
      <c r="Q420" s="13">
        <f t="shared" si="24"/>
        <v>63.75</v>
      </c>
      <c r="R420" s="13">
        <f t="shared" si="25"/>
        <v>38</v>
      </c>
      <c r="S420" s="13">
        <f t="shared" si="26"/>
        <v>25.75</v>
      </c>
      <c r="T420" s="14">
        <f t="shared" si="27"/>
        <v>0.40392156862745099</v>
      </c>
    </row>
    <row r="421" spans="1:20">
      <c r="A421" t="s">
        <v>1125</v>
      </c>
      <c r="B421" s="8">
        <v>46111</v>
      </c>
      <c r="C421" t="s">
        <v>215</v>
      </c>
      <c r="D421" t="s">
        <v>54</v>
      </c>
      <c r="E421" t="s">
        <v>715</v>
      </c>
      <c r="F421" t="s">
        <v>702</v>
      </c>
      <c r="G421">
        <v>1</v>
      </c>
      <c r="H421" s="9">
        <v>0</v>
      </c>
      <c r="I421" t="s">
        <v>703</v>
      </c>
      <c r="J421">
        <v>5</v>
      </c>
      <c r="K421">
        <v>7</v>
      </c>
      <c r="L421" t="str">
        <f>VLOOKUP(D421,Products!A:E,2,FALSE)</f>
        <v>Webcam</v>
      </c>
      <c r="M421" t="str">
        <f>VLOOKUP(D421,Products!A:E,3,FALSE)</f>
        <v>Technology</v>
      </c>
      <c r="N421">
        <f>VLOOKUP(D421,Products!A:E,4,FALSE)</f>
        <v>115</v>
      </c>
      <c r="O421" s="13">
        <f>VLOOKUP(D421,Products!A:E,5,FALSE)</f>
        <v>58</v>
      </c>
      <c r="P421" s="13" t="str">
        <f>VLOOKUP(C421,Customers!A:C,3,FALSE)</f>
        <v>Small Business</v>
      </c>
      <c r="Q421" s="13">
        <f t="shared" si="24"/>
        <v>115</v>
      </c>
      <c r="R421" s="13">
        <f t="shared" si="25"/>
        <v>58</v>
      </c>
      <c r="S421" s="13">
        <f t="shared" si="26"/>
        <v>57</v>
      </c>
      <c r="T421" s="14">
        <f t="shared" si="27"/>
        <v>0.4956521739130435</v>
      </c>
    </row>
    <row r="422" spans="1:20">
      <c r="A422" t="s">
        <v>1126</v>
      </c>
      <c r="B422" s="8">
        <v>46219</v>
      </c>
      <c r="C422" t="s">
        <v>541</v>
      </c>
      <c r="D422" t="s">
        <v>54</v>
      </c>
      <c r="E422" t="s">
        <v>697</v>
      </c>
      <c r="F422" t="s">
        <v>698</v>
      </c>
      <c r="G422">
        <v>1</v>
      </c>
      <c r="H422" s="9">
        <v>0.05</v>
      </c>
      <c r="I422" t="s">
        <v>699</v>
      </c>
      <c r="J422">
        <v>5</v>
      </c>
      <c r="K422">
        <v>5</v>
      </c>
      <c r="L422" t="str">
        <f>VLOOKUP(D422,Products!A:E,2,FALSE)</f>
        <v>Webcam</v>
      </c>
      <c r="M422" t="str">
        <f>VLOOKUP(D422,Products!A:E,3,FALSE)</f>
        <v>Technology</v>
      </c>
      <c r="N422">
        <f>VLOOKUP(D422,Products!A:E,4,FALSE)</f>
        <v>115</v>
      </c>
      <c r="O422" s="13">
        <f>VLOOKUP(D422,Products!A:E,5,FALSE)</f>
        <v>58</v>
      </c>
      <c r="P422" s="13" t="str">
        <f>VLOOKUP(C422,Customers!A:C,3,FALSE)</f>
        <v>Small Business</v>
      </c>
      <c r="Q422" s="13">
        <f t="shared" si="24"/>
        <v>109.25</v>
      </c>
      <c r="R422" s="13">
        <f t="shared" si="25"/>
        <v>58</v>
      </c>
      <c r="S422" s="13">
        <f t="shared" si="26"/>
        <v>51.25</v>
      </c>
      <c r="T422" s="14">
        <f t="shared" si="27"/>
        <v>0.46910755148741418</v>
      </c>
    </row>
    <row r="423" spans="1:20">
      <c r="A423" t="s">
        <v>1127</v>
      </c>
      <c r="B423" s="8">
        <v>46103</v>
      </c>
      <c r="C423" t="s">
        <v>623</v>
      </c>
      <c r="D423" t="s">
        <v>65</v>
      </c>
      <c r="E423" t="s">
        <v>697</v>
      </c>
      <c r="F423" t="s">
        <v>698</v>
      </c>
      <c r="G423">
        <v>1</v>
      </c>
      <c r="H423" s="9">
        <v>0</v>
      </c>
      <c r="I423" t="s">
        <v>699</v>
      </c>
      <c r="J423">
        <v>4</v>
      </c>
      <c r="K423">
        <v>2</v>
      </c>
      <c r="L423" t="str">
        <f>VLOOKUP(D423,Products!A:E,2,FALSE)</f>
        <v>Laptop Stand</v>
      </c>
      <c r="M423" t="str">
        <f>VLOOKUP(D423,Products!A:E,3,FALSE)</f>
        <v>Accessories</v>
      </c>
      <c r="N423">
        <f>VLOOKUP(D423,Products!A:E,4,FALSE)</f>
        <v>48</v>
      </c>
      <c r="O423" s="13">
        <f>VLOOKUP(D423,Products!A:E,5,FALSE)</f>
        <v>22</v>
      </c>
      <c r="P423" s="13" t="str">
        <f>VLOOKUP(C423,Customers!A:C,3,FALSE)</f>
        <v>Corporate</v>
      </c>
      <c r="Q423" s="13">
        <f t="shared" si="24"/>
        <v>48</v>
      </c>
      <c r="R423" s="13">
        <f t="shared" si="25"/>
        <v>22</v>
      </c>
      <c r="S423" s="13">
        <f t="shared" si="26"/>
        <v>26</v>
      </c>
      <c r="T423" s="14">
        <f t="shared" si="27"/>
        <v>0.54166666666666663</v>
      </c>
    </row>
    <row r="424" spans="1:20">
      <c r="A424" t="s">
        <v>1128</v>
      </c>
      <c r="B424" s="8">
        <v>45968</v>
      </c>
      <c r="C424" t="s">
        <v>96</v>
      </c>
      <c r="D424" t="s">
        <v>45</v>
      </c>
      <c r="E424" t="s">
        <v>715</v>
      </c>
      <c r="F424" t="s">
        <v>698</v>
      </c>
      <c r="G424">
        <v>1</v>
      </c>
      <c r="H424" s="9">
        <v>0</v>
      </c>
      <c r="I424" t="s">
        <v>699</v>
      </c>
      <c r="J424">
        <v>5</v>
      </c>
      <c r="K424">
        <v>4</v>
      </c>
      <c r="L424" t="str">
        <f>VLOOKUP(D424,Products!A:E,2,FALSE)</f>
        <v>Laptop</v>
      </c>
      <c r="M424" t="str">
        <f>VLOOKUP(D424,Products!A:E,3,FALSE)</f>
        <v>Technology</v>
      </c>
      <c r="N424">
        <f>VLOOKUP(D424,Products!A:E,4,FALSE)</f>
        <v>1100</v>
      </c>
      <c r="O424" s="13">
        <f>VLOOKUP(D424,Products!A:E,5,FALSE)</f>
        <v>720</v>
      </c>
      <c r="P424" s="13" t="str">
        <f>VLOOKUP(C424,Customers!A:C,3,FALSE)</f>
        <v>Corporate</v>
      </c>
      <c r="Q424" s="13">
        <f t="shared" si="24"/>
        <v>1100</v>
      </c>
      <c r="R424" s="13">
        <f t="shared" si="25"/>
        <v>720</v>
      </c>
      <c r="S424" s="13">
        <f t="shared" si="26"/>
        <v>380</v>
      </c>
      <c r="T424" s="14">
        <f t="shared" si="27"/>
        <v>0.34545454545454546</v>
      </c>
    </row>
    <row r="425" spans="1:20">
      <c r="A425" t="s">
        <v>1129</v>
      </c>
      <c r="B425" s="8">
        <v>46146</v>
      </c>
      <c r="C425" t="s">
        <v>393</v>
      </c>
      <c r="D425" t="s">
        <v>45</v>
      </c>
      <c r="E425" t="s">
        <v>701</v>
      </c>
      <c r="F425" t="s">
        <v>698</v>
      </c>
      <c r="G425">
        <v>3</v>
      </c>
      <c r="H425" s="9">
        <v>0.1</v>
      </c>
      <c r="I425" t="s">
        <v>699</v>
      </c>
      <c r="J425">
        <v>3</v>
      </c>
      <c r="K425">
        <v>5</v>
      </c>
      <c r="L425" t="str">
        <f>VLOOKUP(D425,Products!A:E,2,FALSE)</f>
        <v>Laptop</v>
      </c>
      <c r="M425" t="str">
        <f>VLOOKUP(D425,Products!A:E,3,FALSE)</f>
        <v>Technology</v>
      </c>
      <c r="N425">
        <f>VLOOKUP(D425,Products!A:E,4,FALSE)</f>
        <v>1100</v>
      </c>
      <c r="O425" s="13">
        <f>VLOOKUP(D425,Products!A:E,5,FALSE)</f>
        <v>720</v>
      </c>
      <c r="P425" s="13" t="str">
        <f>VLOOKUP(C425,Customers!A:C,3,FALSE)</f>
        <v>Corporate</v>
      </c>
      <c r="Q425" s="13">
        <f t="shared" si="24"/>
        <v>2970</v>
      </c>
      <c r="R425" s="13">
        <f t="shared" si="25"/>
        <v>2160</v>
      </c>
      <c r="S425" s="13">
        <f t="shared" si="26"/>
        <v>810</v>
      </c>
      <c r="T425" s="14">
        <f t="shared" si="27"/>
        <v>0.27272727272727271</v>
      </c>
    </row>
    <row r="426" spans="1:20">
      <c r="A426" t="s">
        <v>1130</v>
      </c>
      <c r="B426" s="8">
        <v>46105</v>
      </c>
      <c r="C426" t="s">
        <v>491</v>
      </c>
      <c r="D426" t="s">
        <v>61</v>
      </c>
      <c r="E426" t="s">
        <v>705</v>
      </c>
      <c r="F426" t="s">
        <v>698</v>
      </c>
      <c r="G426">
        <v>2</v>
      </c>
      <c r="H426" s="9">
        <v>0</v>
      </c>
      <c r="I426" t="s">
        <v>699</v>
      </c>
      <c r="J426">
        <v>4</v>
      </c>
      <c r="K426">
        <v>2</v>
      </c>
      <c r="L426" t="str">
        <f>VLOOKUP(D426,Products!A:E,2,FALSE)</f>
        <v>Office Chair</v>
      </c>
      <c r="M426" t="str">
        <f>VLOOKUP(D426,Products!A:E,3,FALSE)</f>
        <v>Furniture</v>
      </c>
      <c r="N426">
        <f>VLOOKUP(D426,Products!A:E,4,FALSE)</f>
        <v>255</v>
      </c>
      <c r="O426" s="13">
        <f>VLOOKUP(D426,Products!A:E,5,FALSE)</f>
        <v>145</v>
      </c>
      <c r="P426" s="13" t="str">
        <f>VLOOKUP(C426,Customers!A:C,3,FALSE)</f>
        <v>Small Business</v>
      </c>
      <c r="Q426" s="13">
        <f t="shared" si="24"/>
        <v>510</v>
      </c>
      <c r="R426" s="13">
        <f t="shared" si="25"/>
        <v>290</v>
      </c>
      <c r="S426" s="13">
        <f t="shared" si="26"/>
        <v>220</v>
      </c>
      <c r="T426" s="14">
        <f t="shared" si="27"/>
        <v>0.43137254901960786</v>
      </c>
    </row>
    <row r="427" spans="1:20">
      <c r="A427" t="s">
        <v>1131</v>
      </c>
      <c r="B427" s="8">
        <v>46187</v>
      </c>
      <c r="C427" t="s">
        <v>365</v>
      </c>
      <c r="D427" t="s">
        <v>65</v>
      </c>
      <c r="E427" t="s">
        <v>701</v>
      </c>
      <c r="F427" t="s">
        <v>698</v>
      </c>
      <c r="G427">
        <v>1</v>
      </c>
      <c r="H427" s="9">
        <v>0</v>
      </c>
      <c r="I427" t="s">
        <v>699</v>
      </c>
      <c r="J427">
        <v>3</v>
      </c>
      <c r="K427">
        <v>1</v>
      </c>
      <c r="L427" t="str">
        <f>VLOOKUP(D427,Products!A:E,2,FALSE)</f>
        <v>Laptop Stand</v>
      </c>
      <c r="M427" t="str">
        <f>VLOOKUP(D427,Products!A:E,3,FALSE)</f>
        <v>Accessories</v>
      </c>
      <c r="N427">
        <f>VLOOKUP(D427,Products!A:E,4,FALSE)</f>
        <v>48</v>
      </c>
      <c r="O427" s="13">
        <f>VLOOKUP(D427,Products!A:E,5,FALSE)</f>
        <v>22</v>
      </c>
      <c r="P427" s="13" t="str">
        <f>VLOOKUP(C427,Customers!A:C,3,FALSE)</f>
        <v>Consumer</v>
      </c>
      <c r="Q427" s="13">
        <f t="shared" si="24"/>
        <v>48</v>
      </c>
      <c r="R427" s="13">
        <f t="shared" si="25"/>
        <v>22</v>
      </c>
      <c r="S427" s="13">
        <f t="shared" si="26"/>
        <v>26</v>
      </c>
      <c r="T427" s="14">
        <f t="shared" si="27"/>
        <v>0.54166666666666663</v>
      </c>
    </row>
    <row r="428" spans="1:20">
      <c r="A428" t="s">
        <v>1132</v>
      </c>
      <c r="B428" s="8">
        <v>46124</v>
      </c>
      <c r="C428" t="s">
        <v>549</v>
      </c>
      <c r="D428" t="s">
        <v>63</v>
      </c>
      <c r="E428" t="s">
        <v>701</v>
      </c>
      <c r="F428" t="s">
        <v>698</v>
      </c>
      <c r="G428">
        <v>2</v>
      </c>
      <c r="H428" s="9">
        <v>0</v>
      </c>
      <c r="I428" t="s">
        <v>703</v>
      </c>
      <c r="J428">
        <v>1</v>
      </c>
      <c r="K428">
        <v>4</v>
      </c>
      <c r="L428" t="str">
        <f>VLOOKUP(D428,Products!A:E,2,FALSE)</f>
        <v>Bookshelf</v>
      </c>
      <c r="M428" t="str">
        <f>VLOOKUP(D428,Products!A:E,3,FALSE)</f>
        <v>Furniture</v>
      </c>
      <c r="N428">
        <f>VLOOKUP(D428,Products!A:E,4,FALSE)</f>
        <v>185</v>
      </c>
      <c r="O428" s="13">
        <f>VLOOKUP(D428,Products!A:E,5,FALSE)</f>
        <v>105</v>
      </c>
      <c r="P428" s="13" t="str">
        <f>VLOOKUP(C428,Customers!A:C,3,FALSE)</f>
        <v>Consumer</v>
      </c>
      <c r="Q428" s="13">
        <f t="shared" si="24"/>
        <v>370</v>
      </c>
      <c r="R428" s="13">
        <f t="shared" si="25"/>
        <v>210</v>
      </c>
      <c r="S428" s="13">
        <f t="shared" si="26"/>
        <v>160</v>
      </c>
      <c r="T428" s="14">
        <f t="shared" si="27"/>
        <v>0.43243243243243246</v>
      </c>
    </row>
    <row r="429" spans="1:20">
      <c r="A429" t="s">
        <v>1133</v>
      </c>
      <c r="B429" s="8">
        <v>45933</v>
      </c>
      <c r="C429" t="s">
        <v>215</v>
      </c>
      <c r="D429" t="s">
        <v>77</v>
      </c>
      <c r="E429" t="s">
        <v>701</v>
      </c>
      <c r="F429" t="s">
        <v>702</v>
      </c>
      <c r="G429">
        <v>1</v>
      </c>
      <c r="H429" s="9">
        <v>0.05</v>
      </c>
      <c r="I429" t="s">
        <v>699</v>
      </c>
      <c r="J429">
        <v>4</v>
      </c>
      <c r="K429">
        <v>4</v>
      </c>
      <c r="L429" t="str">
        <f>VLOOKUP(D429,Products!A:E,2,FALSE)</f>
        <v>File Folder Pack</v>
      </c>
      <c r="M429" t="str">
        <f>VLOOKUP(D429,Products!A:E,3,FALSE)</f>
        <v>Office Supplies</v>
      </c>
      <c r="N429">
        <f>VLOOKUP(D429,Products!A:E,4,FALSE)</f>
        <v>23</v>
      </c>
      <c r="O429" s="13">
        <f>VLOOKUP(D429,Products!A:E,5,FALSE)</f>
        <v>10</v>
      </c>
      <c r="P429" s="13" t="str">
        <f>VLOOKUP(C429,Customers!A:C,3,FALSE)</f>
        <v>Small Business</v>
      </c>
      <c r="Q429" s="13">
        <f t="shared" si="24"/>
        <v>21.849999999999998</v>
      </c>
      <c r="R429" s="13">
        <f t="shared" si="25"/>
        <v>10</v>
      </c>
      <c r="S429" s="13">
        <f t="shared" si="26"/>
        <v>11.849999999999998</v>
      </c>
      <c r="T429" s="14">
        <f t="shared" si="27"/>
        <v>0.54233409610983974</v>
      </c>
    </row>
    <row r="430" spans="1:20">
      <c r="A430" t="s">
        <v>1134</v>
      </c>
      <c r="B430" s="8">
        <v>46038</v>
      </c>
      <c r="C430" t="s">
        <v>561</v>
      </c>
      <c r="D430" t="s">
        <v>48</v>
      </c>
      <c r="E430" t="s">
        <v>708</v>
      </c>
      <c r="F430" t="s">
        <v>706</v>
      </c>
      <c r="G430">
        <v>7</v>
      </c>
      <c r="H430" s="9">
        <v>0</v>
      </c>
      <c r="I430" t="s">
        <v>699</v>
      </c>
      <c r="J430">
        <v>2</v>
      </c>
      <c r="K430">
        <v>6</v>
      </c>
      <c r="L430" t="str">
        <f>VLOOKUP(D430,Products!A:E,2,FALSE)</f>
        <v>Monitor</v>
      </c>
      <c r="M430" t="str">
        <f>VLOOKUP(D430,Products!A:E,3,FALSE)</f>
        <v>Technology</v>
      </c>
      <c r="N430">
        <f>VLOOKUP(D430,Products!A:E,4,FALSE)</f>
        <v>310</v>
      </c>
      <c r="O430" s="13">
        <f>VLOOKUP(D430,Products!A:E,5,FALSE)</f>
        <v>190</v>
      </c>
      <c r="P430" s="13" t="str">
        <f>VLOOKUP(C430,Customers!A:C,3,FALSE)</f>
        <v>Consumer</v>
      </c>
      <c r="Q430" s="13">
        <f t="shared" si="24"/>
        <v>2170</v>
      </c>
      <c r="R430" s="13">
        <f t="shared" si="25"/>
        <v>1330</v>
      </c>
      <c r="S430" s="13">
        <f t="shared" si="26"/>
        <v>840</v>
      </c>
      <c r="T430" s="14">
        <f t="shared" si="27"/>
        <v>0.38709677419354838</v>
      </c>
    </row>
    <row r="431" spans="1:20">
      <c r="A431" t="s">
        <v>1135</v>
      </c>
      <c r="B431" s="8">
        <v>45854</v>
      </c>
      <c r="C431" t="s">
        <v>343</v>
      </c>
      <c r="D431" t="s">
        <v>72</v>
      </c>
      <c r="E431" t="s">
        <v>697</v>
      </c>
      <c r="F431" t="s">
        <v>702</v>
      </c>
      <c r="G431">
        <v>4</v>
      </c>
      <c r="H431" s="9">
        <v>0</v>
      </c>
      <c r="I431" t="s">
        <v>699</v>
      </c>
      <c r="J431">
        <v>4</v>
      </c>
      <c r="K431">
        <v>1</v>
      </c>
      <c r="L431" t="str">
        <f>VLOOKUP(D431,Products!A:E,2,FALSE)</f>
        <v>Phone Charger</v>
      </c>
      <c r="M431" t="str">
        <f>VLOOKUP(D431,Products!A:E,3,FALSE)</f>
        <v>Accessories</v>
      </c>
      <c r="N431">
        <f>VLOOKUP(D431,Products!A:E,4,FALSE)</f>
        <v>32</v>
      </c>
      <c r="O431" s="13">
        <f>VLOOKUP(D431,Products!A:E,5,FALSE)</f>
        <v>13</v>
      </c>
      <c r="P431" s="13" t="str">
        <f>VLOOKUP(C431,Customers!A:C,3,FALSE)</f>
        <v>Small Business</v>
      </c>
      <c r="Q431" s="13">
        <f t="shared" si="24"/>
        <v>128</v>
      </c>
      <c r="R431" s="13">
        <f t="shared" si="25"/>
        <v>52</v>
      </c>
      <c r="S431" s="13">
        <f t="shared" si="26"/>
        <v>76</v>
      </c>
      <c r="T431" s="14">
        <f t="shared" si="27"/>
        <v>0.59375</v>
      </c>
    </row>
    <row r="432" spans="1:20">
      <c r="A432" t="s">
        <v>1136</v>
      </c>
      <c r="B432" s="8">
        <v>45861</v>
      </c>
      <c r="C432" t="s">
        <v>557</v>
      </c>
      <c r="D432" t="s">
        <v>52</v>
      </c>
      <c r="E432" t="s">
        <v>715</v>
      </c>
      <c r="F432" t="s">
        <v>706</v>
      </c>
      <c r="G432">
        <v>2</v>
      </c>
      <c r="H432" s="9">
        <v>0.1</v>
      </c>
      <c r="I432" t="s">
        <v>699</v>
      </c>
      <c r="J432">
        <v>4</v>
      </c>
      <c r="K432">
        <v>1</v>
      </c>
      <c r="L432" t="str">
        <f>VLOOKUP(D432,Products!A:E,2,FALSE)</f>
        <v>Mouse</v>
      </c>
      <c r="M432" t="str">
        <f>VLOOKUP(D432,Products!A:E,3,FALSE)</f>
        <v>Technology</v>
      </c>
      <c r="N432">
        <f>VLOOKUP(D432,Products!A:E,4,FALSE)</f>
        <v>42</v>
      </c>
      <c r="O432" s="13">
        <f>VLOOKUP(D432,Products!A:E,5,FALSE)</f>
        <v>19</v>
      </c>
      <c r="P432" s="13" t="str">
        <f>VLOOKUP(C432,Customers!A:C,3,FALSE)</f>
        <v>Consumer</v>
      </c>
      <c r="Q432" s="13">
        <f t="shared" si="24"/>
        <v>75.600000000000009</v>
      </c>
      <c r="R432" s="13">
        <f t="shared" si="25"/>
        <v>38</v>
      </c>
      <c r="S432" s="13">
        <f t="shared" si="26"/>
        <v>37.600000000000009</v>
      </c>
      <c r="T432" s="14">
        <f t="shared" si="27"/>
        <v>0.49735449735449744</v>
      </c>
    </row>
    <row r="433" spans="1:20">
      <c r="A433" t="s">
        <v>1137</v>
      </c>
      <c r="B433" s="8">
        <v>46220</v>
      </c>
      <c r="C433" t="s">
        <v>619</v>
      </c>
      <c r="D433" t="s">
        <v>52</v>
      </c>
      <c r="E433" t="s">
        <v>708</v>
      </c>
      <c r="F433" t="s">
        <v>698</v>
      </c>
      <c r="G433">
        <v>1</v>
      </c>
      <c r="H433" s="9">
        <v>0.15</v>
      </c>
      <c r="I433" t="s">
        <v>699</v>
      </c>
      <c r="J433">
        <v>3</v>
      </c>
      <c r="K433">
        <v>1</v>
      </c>
      <c r="L433" t="str">
        <f>VLOOKUP(D433,Products!A:E,2,FALSE)</f>
        <v>Mouse</v>
      </c>
      <c r="M433" t="str">
        <f>VLOOKUP(D433,Products!A:E,3,FALSE)</f>
        <v>Technology</v>
      </c>
      <c r="N433">
        <f>VLOOKUP(D433,Products!A:E,4,FALSE)</f>
        <v>42</v>
      </c>
      <c r="O433" s="13">
        <f>VLOOKUP(D433,Products!A:E,5,FALSE)</f>
        <v>19</v>
      </c>
      <c r="P433" s="13" t="str">
        <f>VLOOKUP(C433,Customers!A:C,3,FALSE)</f>
        <v>Corporate</v>
      </c>
      <c r="Q433" s="13">
        <f t="shared" si="24"/>
        <v>35.699999999999996</v>
      </c>
      <c r="R433" s="13">
        <f t="shared" si="25"/>
        <v>19</v>
      </c>
      <c r="S433" s="13">
        <f t="shared" si="26"/>
        <v>16.699999999999996</v>
      </c>
      <c r="T433" s="14">
        <f t="shared" si="27"/>
        <v>0.46778711484593832</v>
      </c>
    </row>
    <row r="434" spans="1:20">
      <c r="A434" t="s">
        <v>1138</v>
      </c>
      <c r="B434" s="8">
        <v>45899</v>
      </c>
      <c r="C434" t="s">
        <v>531</v>
      </c>
      <c r="D434" t="s">
        <v>68</v>
      </c>
      <c r="E434" t="s">
        <v>705</v>
      </c>
      <c r="F434" t="s">
        <v>698</v>
      </c>
      <c r="G434">
        <v>3</v>
      </c>
      <c r="H434" s="9">
        <v>0</v>
      </c>
      <c r="I434" t="s">
        <v>699</v>
      </c>
      <c r="J434">
        <v>5</v>
      </c>
      <c r="K434">
        <v>5</v>
      </c>
      <c r="L434" t="str">
        <f>VLOOKUP(D434,Products!A:E,2,FALSE)</f>
        <v>Backpack</v>
      </c>
      <c r="M434" t="str">
        <f>VLOOKUP(D434,Products!A:E,3,FALSE)</f>
        <v>Accessories</v>
      </c>
      <c r="N434">
        <f>VLOOKUP(D434,Products!A:E,4,FALSE)</f>
        <v>85</v>
      </c>
      <c r="O434" s="13">
        <f>VLOOKUP(D434,Products!A:E,5,FALSE)</f>
        <v>39</v>
      </c>
      <c r="P434" s="13" t="str">
        <f>VLOOKUP(C434,Customers!A:C,3,FALSE)</f>
        <v>Corporate</v>
      </c>
      <c r="Q434" s="13">
        <f t="shared" si="24"/>
        <v>255</v>
      </c>
      <c r="R434" s="13">
        <f t="shared" si="25"/>
        <v>117</v>
      </c>
      <c r="S434" s="13">
        <f t="shared" si="26"/>
        <v>138</v>
      </c>
      <c r="T434" s="14">
        <f t="shared" si="27"/>
        <v>0.54117647058823526</v>
      </c>
    </row>
    <row r="435" spans="1:20">
      <c r="A435" t="s">
        <v>1139</v>
      </c>
      <c r="B435" s="8">
        <v>46144</v>
      </c>
      <c r="C435" t="s">
        <v>245</v>
      </c>
      <c r="D435" t="s">
        <v>70</v>
      </c>
      <c r="E435" t="s">
        <v>697</v>
      </c>
      <c r="F435" t="s">
        <v>702</v>
      </c>
      <c r="G435">
        <v>2</v>
      </c>
      <c r="H435" s="9">
        <v>0.1</v>
      </c>
      <c r="I435" t="s">
        <v>699</v>
      </c>
      <c r="J435">
        <v>5</v>
      </c>
      <c r="K435">
        <v>1</v>
      </c>
      <c r="L435" t="str">
        <f>VLOOKUP(D435,Products!A:E,2,FALSE)</f>
        <v>USB-C Hub</v>
      </c>
      <c r="M435" t="str">
        <f>VLOOKUP(D435,Products!A:E,3,FALSE)</f>
        <v>Accessories</v>
      </c>
      <c r="N435">
        <f>VLOOKUP(D435,Products!A:E,4,FALSE)</f>
        <v>68</v>
      </c>
      <c r="O435" s="13">
        <f>VLOOKUP(D435,Products!A:E,5,FALSE)</f>
        <v>31</v>
      </c>
      <c r="P435" s="13" t="str">
        <f>VLOOKUP(C435,Customers!A:C,3,FALSE)</f>
        <v>Consumer</v>
      </c>
      <c r="Q435" s="13">
        <f t="shared" si="24"/>
        <v>122.4</v>
      </c>
      <c r="R435" s="13">
        <f t="shared" si="25"/>
        <v>62</v>
      </c>
      <c r="S435" s="13">
        <f t="shared" si="26"/>
        <v>60.400000000000006</v>
      </c>
      <c r="T435" s="14">
        <f t="shared" si="27"/>
        <v>0.49346405228758172</v>
      </c>
    </row>
    <row r="436" spans="1:20">
      <c r="A436" t="s">
        <v>1140</v>
      </c>
      <c r="B436" s="8">
        <v>45719</v>
      </c>
      <c r="C436" t="s">
        <v>451</v>
      </c>
      <c r="D436" t="s">
        <v>54</v>
      </c>
      <c r="E436" t="s">
        <v>701</v>
      </c>
      <c r="F436" t="s">
        <v>698</v>
      </c>
      <c r="G436">
        <v>1</v>
      </c>
      <c r="H436" s="9">
        <v>0</v>
      </c>
      <c r="I436" t="s">
        <v>703</v>
      </c>
      <c r="J436">
        <v>5</v>
      </c>
      <c r="K436">
        <v>7</v>
      </c>
      <c r="L436" t="str">
        <f>VLOOKUP(D436,Products!A:E,2,FALSE)</f>
        <v>Webcam</v>
      </c>
      <c r="M436" t="str">
        <f>VLOOKUP(D436,Products!A:E,3,FALSE)</f>
        <v>Technology</v>
      </c>
      <c r="N436">
        <f>VLOOKUP(D436,Products!A:E,4,FALSE)</f>
        <v>115</v>
      </c>
      <c r="O436" s="13">
        <f>VLOOKUP(D436,Products!A:E,5,FALSE)</f>
        <v>58</v>
      </c>
      <c r="P436" s="13" t="str">
        <f>VLOOKUP(C436,Customers!A:C,3,FALSE)</f>
        <v>Small Business</v>
      </c>
      <c r="Q436" s="13">
        <f t="shared" si="24"/>
        <v>115</v>
      </c>
      <c r="R436" s="13">
        <f t="shared" si="25"/>
        <v>58</v>
      </c>
      <c r="S436" s="13">
        <f t="shared" si="26"/>
        <v>57</v>
      </c>
      <c r="T436" s="14">
        <f t="shared" si="27"/>
        <v>0.4956521739130435</v>
      </c>
    </row>
    <row r="437" spans="1:20">
      <c r="A437" t="s">
        <v>1141</v>
      </c>
      <c r="B437" s="8">
        <v>45855</v>
      </c>
      <c r="C437" t="s">
        <v>107</v>
      </c>
      <c r="D437" t="s">
        <v>72</v>
      </c>
      <c r="E437" t="s">
        <v>708</v>
      </c>
      <c r="F437" t="s">
        <v>702</v>
      </c>
      <c r="G437">
        <v>6</v>
      </c>
      <c r="H437" s="9">
        <v>0.05</v>
      </c>
      <c r="I437" t="s">
        <v>699</v>
      </c>
      <c r="J437">
        <v>4</v>
      </c>
      <c r="K437">
        <v>4</v>
      </c>
      <c r="L437" t="str">
        <f>VLOOKUP(D437,Products!A:E,2,FALSE)</f>
        <v>Phone Charger</v>
      </c>
      <c r="M437" t="str">
        <f>VLOOKUP(D437,Products!A:E,3,FALSE)</f>
        <v>Accessories</v>
      </c>
      <c r="N437">
        <f>VLOOKUP(D437,Products!A:E,4,FALSE)</f>
        <v>32</v>
      </c>
      <c r="O437" s="13">
        <f>VLOOKUP(D437,Products!A:E,5,FALSE)</f>
        <v>13</v>
      </c>
      <c r="P437" s="13" t="str">
        <f>VLOOKUP(C437,Customers!A:C,3,FALSE)</f>
        <v>Consumer</v>
      </c>
      <c r="Q437" s="13">
        <f t="shared" si="24"/>
        <v>182.39999999999998</v>
      </c>
      <c r="R437" s="13">
        <f t="shared" si="25"/>
        <v>78</v>
      </c>
      <c r="S437" s="13">
        <f t="shared" si="26"/>
        <v>104.39999999999998</v>
      </c>
      <c r="T437" s="14">
        <f t="shared" si="27"/>
        <v>0.57236842105263153</v>
      </c>
    </row>
    <row r="438" spans="1:20">
      <c r="A438" t="s">
        <v>1142</v>
      </c>
      <c r="B438" s="8">
        <v>45852</v>
      </c>
      <c r="C438" t="s">
        <v>667</v>
      </c>
      <c r="D438" t="s">
        <v>56</v>
      </c>
      <c r="E438" t="s">
        <v>715</v>
      </c>
      <c r="F438" t="s">
        <v>702</v>
      </c>
      <c r="G438">
        <v>2</v>
      </c>
      <c r="H438" s="9">
        <v>0.15</v>
      </c>
      <c r="I438" t="s">
        <v>699</v>
      </c>
      <c r="J438">
        <v>5</v>
      </c>
      <c r="K438">
        <v>2</v>
      </c>
      <c r="L438" t="str">
        <f>VLOOKUP(D438,Products!A:E,2,FALSE)</f>
        <v>Headset</v>
      </c>
      <c r="M438" t="str">
        <f>VLOOKUP(D438,Products!A:E,3,FALSE)</f>
        <v>Technology</v>
      </c>
      <c r="N438">
        <f>VLOOKUP(D438,Products!A:E,4,FALSE)</f>
        <v>98</v>
      </c>
      <c r="O438" s="13">
        <f>VLOOKUP(D438,Products!A:E,5,FALSE)</f>
        <v>46</v>
      </c>
      <c r="P438" s="13" t="str">
        <f>VLOOKUP(C438,Customers!A:C,3,FALSE)</f>
        <v>Consumer</v>
      </c>
      <c r="Q438" s="13">
        <f t="shared" si="24"/>
        <v>166.6</v>
      </c>
      <c r="R438" s="13">
        <f t="shared" si="25"/>
        <v>92</v>
      </c>
      <c r="S438" s="13">
        <f t="shared" si="26"/>
        <v>74.599999999999994</v>
      </c>
      <c r="T438" s="14">
        <f t="shared" si="27"/>
        <v>0.44777911164465783</v>
      </c>
    </row>
    <row r="439" spans="1:20">
      <c r="A439" t="s">
        <v>1143</v>
      </c>
      <c r="B439" s="8">
        <v>45728</v>
      </c>
      <c r="C439" t="s">
        <v>629</v>
      </c>
      <c r="D439" t="s">
        <v>54</v>
      </c>
      <c r="E439" t="s">
        <v>715</v>
      </c>
      <c r="F439" t="s">
        <v>698</v>
      </c>
      <c r="G439">
        <v>2</v>
      </c>
      <c r="H439" s="9">
        <v>0</v>
      </c>
      <c r="I439" t="s">
        <v>699</v>
      </c>
      <c r="J439">
        <v>4</v>
      </c>
      <c r="K439">
        <v>2</v>
      </c>
      <c r="L439" t="str">
        <f>VLOOKUP(D439,Products!A:E,2,FALSE)</f>
        <v>Webcam</v>
      </c>
      <c r="M439" t="str">
        <f>VLOOKUP(D439,Products!A:E,3,FALSE)</f>
        <v>Technology</v>
      </c>
      <c r="N439">
        <f>VLOOKUP(D439,Products!A:E,4,FALSE)</f>
        <v>115</v>
      </c>
      <c r="O439" s="13">
        <f>VLOOKUP(D439,Products!A:E,5,FALSE)</f>
        <v>58</v>
      </c>
      <c r="P439" s="13" t="str">
        <f>VLOOKUP(C439,Customers!A:C,3,FALSE)</f>
        <v>Consumer</v>
      </c>
      <c r="Q439" s="13">
        <f t="shared" si="24"/>
        <v>230</v>
      </c>
      <c r="R439" s="13">
        <f t="shared" si="25"/>
        <v>116</v>
      </c>
      <c r="S439" s="13">
        <f t="shared" si="26"/>
        <v>114</v>
      </c>
      <c r="T439" s="14">
        <f t="shared" si="27"/>
        <v>0.4956521739130435</v>
      </c>
    </row>
    <row r="440" spans="1:20">
      <c r="A440" t="s">
        <v>1144</v>
      </c>
      <c r="B440" s="8">
        <v>45677</v>
      </c>
      <c r="C440" t="s">
        <v>459</v>
      </c>
      <c r="D440" t="s">
        <v>61</v>
      </c>
      <c r="E440" t="s">
        <v>708</v>
      </c>
      <c r="F440" t="s">
        <v>702</v>
      </c>
      <c r="G440">
        <v>7</v>
      </c>
      <c r="H440" s="9">
        <v>0.1</v>
      </c>
      <c r="I440" t="s">
        <v>699</v>
      </c>
      <c r="J440">
        <v>5</v>
      </c>
      <c r="K440">
        <v>5</v>
      </c>
      <c r="L440" t="str">
        <f>VLOOKUP(D440,Products!A:E,2,FALSE)</f>
        <v>Office Chair</v>
      </c>
      <c r="M440" t="str">
        <f>VLOOKUP(D440,Products!A:E,3,FALSE)</f>
        <v>Furniture</v>
      </c>
      <c r="N440">
        <f>VLOOKUP(D440,Products!A:E,4,FALSE)</f>
        <v>255</v>
      </c>
      <c r="O440" s="13">
        <f>VLOOKUP(D440,Products!A:E,5,FALSE)</f>
        <v>145</v>
      </c>
      <c r="P440" s="13" t="str">
        <f>VLOOKUP(C440,Customers!A:C,3,FALSE)</f>
        <v>Small Business</v>
      </c>
      <c r="Q440" s="13">
        <f t="shared" si="24"/>
        <v>1606.5</v>
      </c>
      <c r="R440" s="13">
        <f t="shared" si="25"/>
        <v>1015</v>
      </c>
      <c r="S440" s="13">
        <f t="shared" si="26"/>
        <v>591.5</v>
      </c>
      <c r="T440" s="14">
        <f t="shared" si="27"/>
        <v>0.36819172113289761</v>
      </c>
    </row>
    <row r="441" spans="1:20">
      <c r="A441" t="s">
        <v>1145</v>
      </c>
      <c r="B441" s="8">
        <v>45815</v>
      </c>
      <c r="C441" t="s">
        <v>375</v>
      </c>
      <c r="D441" t="s">
        <v>68</v>
      </c>
      <c r="E441" t="s">
        <v>708</v>
      </c>
      <c r="F441" t="s">
        <v>702</v>
      </c>
      <c r="G441">
        <v>1</v>
      </c>
      <c r="H441" s="9">
        <v>0.05</v>
      </c>
      <c r="I441" t="s">
        <v>699</v>
      </c>
      <c r="J441">
        <v>5</v>
      </c>
      <c r="K441">
        <v>2</v>
      </c>
      <c r="L441" t="str">
        <f>VLOOKUP(D441,Products!A:E,2,FALSE)</f>
        <v>Backpack</v>
      </c>
      <c r="M441" t="str">
        <f>VLOOKUP(D441,Products!A:E,3,FALSE)</f>
        <v>Accessories</v>
      </c>
      <c r="N441">
        <f>VLOOKUP(D441,Products!A:E,4,FALSE)</f>
        <v>85</v>
      </c>
      <c r="O441" s="13">
        <f>VLOOKUP(D441,Products!A:E,5,FALSE)</f>
        <v>39</v>
      </c>
      <c r="P441" s="13" t="str">
        <f>VLOOKUP(C441,Customers!A:C,3,FALSE)</f>
        <v>Consumer</v>
      </c>
      <c r="Q441" s="13">
        <f t="shared" si="24"/>
        <v>80.75</v>
      </c>
      <c r="R441" s="13">
        <f t="shared" si="25"/>
        <v>39</v>
      </c>
      <c r="S441" s="13">
        <f t="shared" si="26"/>
        <v>41.75</v>
      </c>
      <c r="T441" s="14">
        <f t="shared" si="27"/>
        <v>0.51702786377708976</v>
      </c>
    </row>
    <row r="442" spans="1:20">
      <c r="A442" t="s">
        <v>1146</v>
      </c>
      <c r="B442" s="8">
        <v>45690</v>
      </c>
      <c r="C442" t="s">
        <v>293</v>
      </c>
      <c r="D442" t="s">
        <v>52</v>
      </c>
      <c r="E442" t="s">
        <v>715</v>
      </c>
      <c r="F442" t="s">
        <v>702</v>
      </c>
      <c r="G442">
        <v>3</v>
      </c>
      <c r="H442" s="9">
        <v>0.15</v>
      </c>
      <c r="I442" t="s">
        <v>699</v>
      </c>
      <c r="J442">
        <v>4</v>
      </c>
      <c r="K442">
        <v>5</v>
      </c>
      <c r="L442" t="str">
        <f>VLOOKUP(D442,Products!A:E,2,FALSE)</f>
        <v>Mouse</v>
      </c>
      <c r="M442" t="str">
        <f>VLOOKUP(D442,Products!A:E,3,FALSE)</f>
        <v>Technology</v>
      </c>
      <c r="N442">
        <f>VLOOKUP(D442,Products!A:E,4,FALSE)</f>
        <v>42</v>
      </c>
      <c r="O442" s="13">
        <f>VLOOKUP(D442,Products!A:E,5,FALSE)</f>
        <v>19</v>
      </c>
      <c r="P442" s="13" t="str">
        <f>VLOOKUP(C442,Customers!A:C,3,FALSE)</f>
        <v>Corporate</v>
      </c>
      <c r="Q442" s="13">
        <f t="shared" si="24"/>
        <v>107.1</v>
      </c>
      <c r="R442" s="13">
        <f t="shared" si="25"/>
        <v>57</v>
      </c>
      <c r="S442" s="13">
        <f t="shared" si="26"/>
        <v>50.099999999999994</v>
      </c>
      <c r="T442" s="14">
        <f t="shared" si="27"/>
        <v>0.46778711484593832</v>
      </c>
    </row>
    <row r="443" spans="1:20">
      <c r="A443" t="s">
        <v>1147</v>
      </c>
      <c r="B443" s="8">
        <v>45920</v>
      </c>
      <c r="C443" t="s">
        <v>137</v>
      </c>
      <c r="D443" t="s">
        <v>70</v>
      </c>
      <c r="E443" t="s">
        <v>708</v>
      </c>
      <c r="F443" t="s">
        <v>698</v>
      </c>
      <c r="G443">
        <v>1</v>
      </c>
      <c r="H443" s="9">
        <v>0.15</v>
      </c>
      <c r="I443" t="s">
        <v>699</v>
      </c>
      <c r="J443">
        <v>5</v>
      </c>
      <c r="K443">
        <v>1</v>
      </c>
      <c r="L443" t="str">
        <f>VLOOKUP(D443,Products!A:E,2,FALSE)</f>
        <v>USB-C Hub</v>
      </c>
      <c r="M443" t="str">
        <f>VLOOKUP(D443,Products!A:E,3,FALSE)</f>
        <v>Accessories</v>
      </c>
      <c r="N443">
        <f>VLOOKUP(D443,Products!A:E,4,FALSE)</f>
        <v>68</v>
      </c>
      <c r="O443" s="13">
        <f>VLOOKUP(D443,Products!A:E,5,FALSE)</f>
        <v>31</v>
      </c>
      <c r="P443" s="13" t="str">
        <f>VLOOKUP(C443,Customers!A:C,3,FALSE)</f>
        <v>Consumer</v>
      </c>
      <c r="Q443" s="13">
        <f t="shared" si="24"/>
        <v>57.8</v>
      </c>
      <c r="R443" s="13">
        <f t="shared" si="25"/>
        <v>31</v>
      </c>
      <c r="S443" s="13">
        <f t="shared" si="26"/>
        <v>26.799999999999997</v>
      </c>
      <c r="T443" s="14">
        <f t="shared" si="27"/>
        <v>0.46366782006920415</v>
      </c>
    </row>
    <row r="444" spans="1:20">
      <c r="A444" t="s">
        <v>1148</v>
      </c>
      <c r="B444" s="8">
        <v>46137</v>
      </c>
      <c r="C444" t="s">
        <v>149</v>
      </c>
      <c r="D444" t="s">
        <v>70</v>
      </c>
      <c r="E444" t="s">
        <v>715</v>
      </c>
      <c r="F444" t="s">
        <v>706</v>
      </c>
      <c r="G444">
        <v>2</v>
      </c>
      <c r="H444" s="9">
        <v>0</v>
      </c>
      <c r="I444" t="s">
        <v>699</v>
      </c>
      <c r="J444">
        <v>5</v>
      </c>
      <c r="K444">
        <v>3</v>
      </c>
      <c r="L444" t="str">
        <f>VLOOKUP(D444,Products!A:E,2,FALSE)</f>
        <v>USB-C Hub</v>
      </c>
      <c r="M444" t="str">
        <f>VLOOKUP(D444,Products!A:E,3,FALSE)</f>
        <v>Accessories</v>
      </c>
      <c r="N444">
        <f>VLOOKUP(D444,Products!A:E,4,FALSE)</f>
        <v>68</v>
      </c>
      <c r="O444" s="13">
        <f>VLOOKUP(D444,Products!A:E,5,FALSE)</f>
        <v>31</v>
      </c>
      <c r="P444" s="13" t="str">
        <f>VLOOKUP(C444,Customers!A:C,3,FALSE)</f>
        <v>Corporate</v>
      </c>
      <c r="Q444" s="13">
        <f t="shared" si="24"/>
        <v>136</v>
      </c>
      <c r="R444" s="13">
        <f t="shared" si="25"/>
        <v>62</v>
      </c>
      <c r="S444" s="13">
        <f t="shared" si="26"/>
        <v>74</v>
      </c>
      <c r="T444" s="14">
        <f t="shared" si="27"/>
        <v>0.54411764705882348</v>
      </c>
    </row>
    <row r="445" spans="1:20">
      <c r="A445" t="s">
        <v>1149</v>
      </c>
      <c r="B445" s="8">
        <v>46199</v>
      </c>
      <c r="C445" t="s">
        <v>127</v>
      </c>
      <c r="D445" t="s">
        <v>50</v>
      </c>
      <c r="E445" t="s">
        <v>697</v>
      </c>
      <c r="F445" t="s">
        <v>702</v>
      </c>
      <c r="G445">
        <v>1</v>
      </c>
      <c r="H445" s="9">
        <v>0.05</v>
      </c>
      <c r="I445" t="s">
        <v>699</v>
      </c>
      <c r="J445">
        <v>3</v>
      </c>
      <c r="K445">
        <v>4</v>
      </c>
      <c r="L445" t="str">
        <f>VLOOKUP(D445,Products!A:E,2,FALSE)</f>
        <v>Keyboard</v>
      </c>
      <c r="M445" t="str">
        <f>VLOOKUP(D445,Products!A:E,3,FALSE)</f>
        <v>Technology</v>
      </c>
      <c r="N445">
        <f>VLOOKUP(D445,Products!A:E,4,FALSE)</f>
        <v>75</v>
      </c>
      <c r="O445" s="13">
        <f>VLOOKUP(D445,Products!A:E,5,FALSE)</f>
        <v>38</v>
      </c>
      <c r="P445" s="13" t="str">
        <f>VLOOKUP(C445,Customers!A:C,3,FALSE)</f>
        <v>Small Business</v>
      </c>
      <c r="Q445" s="13">
        <f t="shared" si="24"/>
        <v>71.25</v>
      </c>
      <c r="R445" s="13">
        <f t="shared" si="25"/>
        <v>38</v>
      </c>
      <c r="S445" s="13">
        <f t="shared" si="26"/>
        <v>33.25</v>
      </c>
      <c r="T445" s="14">
        <f t="shared" si="27"/>
        <v>0.46666666666666667</v>
      </c>
    </row>
    <row r="446" spans="1:20">
      <c r="A446" t="s">
        <v>1150</v>
      </c>
      <c r="B446" s="8">
        <v>45852</v>
      </c>
      <c r="C446" t="s">
        <v>283</v>
      </c>
      <c r="D446" t="s">
        <v>61</v>
      </c>
      <c r="E446" t="s">
        <v>715</v>
      </c>
      <c r="F446" t="s">
        <v>706</v>
      </c>
      <c r="G446">
        <v>3</v>
      </c>
      <c r="H446" s="9">
        <v>0.05</v>
      </c>
      <c r="I446" t="s">
        <v>699</v>
      </c>
      <c r="J446">
        <v>5</v>
      </c>
      <c r="K446">
        <v>5</v>
      </c>
      <c r="L446" t="str">
        <f>VLOOKUP(D446,Products!A:E,2,FALSE)</f>
        <v>Office Chair</v>
      </c>
      <c r="M446" t="str">
        <f>VLOOKUP(D446,Products!A:E,3,FALSE)</f>
        <v>Furniture</v>
      </c>
      <c r="N446">
        <f>VLOOKUP(D446,Products!A:E,4,FALSE)</f>
        <v>255</v>
      </c>
      <c r="O446" s="13">
        <f>VLOOKUP(D446,Products!A:E,5,FALSE)</f>
        <v>145</v>
      </c>
      <c r="P446" s="13" t="str">
        <f>VLOOKUP(C446,Customers!A:C,3,FALSE)</f>
        <v>Small Business</v>
      </c>
      <c r="Q446" s="13">
        <f t="shared" si="24"/>
        <v>726.75</v>
      </c>
      <c r="R446" s="13">
        <f t="shared" si="25"/>
        <v>435</v>
      </c>
      <c r="S446" s="13">
        <f t="shared" si="26"/>
        <v>291.75</v>
      </c>
      <c r="T446" s="14">
        <f t="shared" si="27"/>
        <v>0.40144478844169246</v>
      </c>
    </row>
    <row r="447" spans="1:20">
      <c r="A447" t="s">
        <v>1151</v>
      </c>
      <c r="B447" s="8">
        <v>46024</v>
      </c>
      <c r="C447" t="s">
        <v>555</v>
      </c>
      <c r="D447" t="s">
        <v>74</v>
      </c>
      <c r="E447" t="s">
        <v>697</v>
      </c>
      <c r="F447" t="s">
        <v>702</v>
      </c>
      <c r="G447">
        <v>1</v>
      </c>
      <c r="H447" s="9">
        <v>0</v>
      </c>
      <c r="I447" t="s">
        <v>699</v>
      </c>
      <c r="J447">
        <v>3</v>
      </c>
      <c r="K447">
        <v>5</v>
      </c>
      <c r="L447" t="str">
        <f>VLOOKUP(D447,Products!A:E,2,FALSE)</f>
        <v>Printer Paper</v>
      </c>
      <c r="M447" t="str">
        <f>VLOOKUP(D447,Products!A:E,3,FALSE)</f>
        <v>Office Supplies</v>
      </c>
      <c r="N447">
        <f>VLOOKUP(D447,Products!A:E,4,FALSE)</f>
        <v>17</v>
      </c>
      <c r="O447" s="13">
        <f>VLOOKUP(D447,Products!A:E,5,FALSE)</f>
        <v>8</v>
      </c>
      <c r="P447" s="13" t="str">
        <f>VLOOKUP(C447,Customers!A:C,3,FALSE)</f>
        <v>Consumer</v>
      </c>
      <c r="Q447" s="13">
        <f t="shared" si="24"/>
        <v>17</v>
      </c>
      <c r="R447" s="13">
        <f t="shared" si="25"/>
        <v>8</v>
      </c>
      <c r="S447" s="13">
        <f t="shared" si="26"/>
        <v>9</v>
      </c>
      <c r="T447" s="14">
        <f t="shared" si="27"/>
        <v>0.52941176470588236</v>
      </c>
    </row>
    <row r="448" spans="1:20">
      <c r="A448" t="s">
        <v>1152</v>
      </c>
      <c r="B448" s="8">
        <v>46111</v>
      </c>
      <c r="C448" t="s">
        <v>447</v>
      </c>
      <c r="D448" t="s">
        <v>68</v>
      </c>
      <c r="E448" t="s">
        <v>715</v>
      </c>
      <c r="F448" t="s">
        <v>706</v>
      </c>
      <c r="G448">
        <v>5</v>
      </c>
      <c r="H448" s="9">
        <v>0</v>
      </c>
      <c r="I448" t="s">
        <v>699</v>
      </c>
      <c r="J448">
        <v>5</v>
      </c>
      <c r="K448">
        <v>3</v>
      </c>
      <c r="L448" t="str">
        <f>VLOOKUP(D448,Products!A:E,2,FALSE)</f>
        <v>Backpack</v>
      </c>
      <c r="M448" t="str">
        <f>VLOOKUP(D448,Products!A:E,3,FALSE)</f>
        <v>Accessories</v>
      </c>
      <c r="N448">
        <f>VLOOKUP(D448,Products!A:E,4,FALSE)</f>
        <v>85</v>
      </c>
      <c r="O448" s="13">
        <f>VLOOKUP(D448,Products!A:E,5,FALSE)</f>
        <v>39</v>
      </c>
      <c r="P448" s="13" t="str">
        <f>VLOOKUP(C448,Customers!A:C,3,FALSE)</f>
        <v>Corporate</v>
      </c>
      <c r="Q448" s="13">
        <f t="shared" si="24"/>
        <v>425</v>
      </c>
      <c r="R448" s="13">
        <f t="shared" si="25"/>
        <v>195</v>
      </c>
      <c r="S448" s="13">
        <f t="shared" si="26"/>
        <v>230</v>
      </c>
      <c r="T448" s="14">
        <f t="shared" si="27"/>
        <v>0.54117647058823526</v>
      </c>
    </row>
    <row r="449" spans="1:20">
      <c r="A449" t="s">
        <v>1153</v>
      </c>
      <c r="B449" s="8">
        <v>45904</v>
      </c>
      <c r="C449" t="s">
        <v>663</v>
      </c>
      <c r="D449" t="s">
        <v>58</v>
      </c>
      <c r="E449" t="s">
        <v>708</v>
      </c>
      <c r="F449" t="s">
        <v>698</v>
      </c>
      <c r="G449">
        <v>4</v>
      </c>
      <c r="H449" s="9">
        <v>0</v>
      </c>
      <c r="I449" t="s">
        <v>699</v>
      </c>
      <c r="J449">
        <v>5</v>
      </c>
      <c r="K449">
        <v>1</v>
      </c>
      <c r="L449" t="str">
        <f>VLOOKUP(D449,Products!A:E,2,FALSE)</f>
        <v>Standing Desk</v>
      </c>
      <c r="M449" t="str">
        <f>VLOOKUP(D449,Products!A:E,3,FALSE)</f>
        <v>Furniture</v>
      </c>
      <c r="N449">
        <f>VLOOKUP(D449,Products!A:E,4,FALSE)</f>
        <v>540</v>
      </c>
      <c r="O449" s="13">
        <f>VLOOKUP(D449,Products!A:E,5,FALSE)</f>
        <v>320</v>
      </c>
      <c r="P449" s="13" t="str">
        <f>VLOOKUP(C449,Customers!A:C,3,FALSE)</f>
        <v>Consumer</v>
      </c>
      <c r="Q449" s="13">
        <f t="shared" si="24"/>
        <v>2160</v>
      </c>
      <c r="R449" s="13">
        <f t="shared" si="25"/>
        <v>1280</v>
      </c>
      <c r="S449" s="13">
        <f t="shared" si="26"/>
        <v>880</v>
      </c>
      <c r="T449" s="14">
        <f t="shared" si="27"/>
        <v>0.40740740740740738</v>
      </c>
    </row>
    <row r="450" spans="1:20">
      <c r="A450" t="s">
        <v>1154</v>
      </c>
      <c r="B450" s="8">
        <v>45693</v>
      </c>
      <c r="C450" t="s">
        <v>377</v>
      </c>
      <c r="D450" t="s">
        <v>45</v>
      </c>
      <c r="E450" t="s">
        <v>715</v>
      </c>
      <c r="F450" t="s">
        <v>706</v>
      </c>
      <c r="G450">
        <v>1</v>
      </c>
      <c r="H450" s="9">
        <v>0</v>
      </c>
      <c r="I450" t="s">
        <v>699</v>
      </c>
      <c r="J450">
        <v>5</v>
      </c>
      <c r="K450">
        <v>1</v>
      </c>
      <c r="L450" t="str">
        <f>VLOOKUP(D450,Products!A:E,2,FALSE)</f>
        <v>Laptop</v>
      </c>
      <c r="M450" t="str">
        <f>VLOOKUP(D450,Products!A:E,3,FALSE)</f>
        <v>Technology</v>
      </c>
      <c r="N450">
        <f>VLOOKUP(D450,Products!A:E,4,FALSE)</f>
        <v>1100</v>
      </c>
      <c r="O450" s="13">
        <f>VLOOKUP(D450,Products!A:E,5,FALSE)</f>
        <v>720</v>
      </c>
      <c r="P450" s="13" t="str">
        <f>VLOOKUP(C450,Customers!A:C,3,FALSE)</f>
        <v>Consumer</v>
      </c>
      <c r="Q450" s="13">
        <f t="shared" ref="Q450:Q513" si="28">G450*N450*(1-H450)</f>
        <v>1100</v>
      </c>
      <c r="R450" s="13">
        <f t="shared" ref="R450:R513" si="29">G450*O450</f>
        <v>720</v>
      </c>
      <c r="S450" s="13">
        <f t="shared" ref="S450:S513" si="30">Q450-R450</f>
        <v>380</v>
      </c>
      <c r="T450" s="14">
        <f t="shared" ref="T450:T513" si="31">IFERROR(S450/Q450,0)</f>
        <v>0.34545454545454546</v>
      </c>
    </row>
    <row r="451" spans="1:20">
      <c r="A451" t="s">
        <v>1155</v>
      </c>
      <c r="B451" s="8">
        <v>45940</v>
      </c>
      <c r="C451" t="s">
        <v>653</v>
      </c>
      <c r="D451" t="s">
        <v>54</v>
      </c>
      <c r="E451" t="s">
        <v>705</v>
      </c>
      <c r="F451" t="s">
        <v>702</v>
      </c>
      <c r="G451">
        <v>1</v>
      </c>
      <c r="H451" s="9">
        <v>0</v>
      </c>
      <c r="I451" t="s">
        <v>699</v>
      </c>
      <c r="J451">
        <v>3</v>
      </c>
      <c r="K451">
        <v>3</v>
      </c>
      <c r="L451" t="str">
        <f>VLOOKUP(D451,Products!A:E,2,FALSE)</f>
        <v>Webcam</v>
      </c>
      <c r="M451" t="str">
        <f>VLOOKUP(D451,Products!A:E,3,FALSE)</f>
        <v>Technology</v>
      </c>
      <c r="N451">
        <f>VLOOKUP(D451,Products!A:E,4,FALSE)</f>
        <v>115</v>
      </c>
      <c r="O451" s="13">
        <f>VLOOKUP(D451,Products!A:E,5,FALSE)</f>
        <v>58</v>
      </c>
      <c r="P451" s="13" t="str">
        <f>VLOOKUP(C451,Customers!A:C,3,FALSE)</f>
        <v>Consumer</v>
      </c>
      <c r="Q451" s="13">
        <f t="shared" si="28"/>
        <v>115</v>
      </c>
      <c r="R451" s="13">
        <f t="shared" si="29"/>
        <v>58</v>
      </c>
      <c r="S451" s="13">
        <f t="shared" si="30"/>
        <v>57</v>
      </c>
      <c r="T451" s="14">
        <f t="shared" si="31"/>
        <v>0.4956521739130435</v>
      </c>
    </row>
    <row r="452" spans="1:20">
      <c r="A452" t="s">
        <v>1156</v>
      </c>
      <c r="B452" s="8">
        <v>45965</v>
      </c>
      <c r="C452" t="s">
        <v>181</v>
      </c>
      <c r="D452" t="s">
        <v>72</v>
      </c>
      <c r="E452" t="s">
        <v>715</v>
      </c>
      <c r="F452" t="s">
        <v>702</v>
      </c>
      <c r="G452">
        <v>1</v>
      </c>
      <c r="H452" s="9">
        <v>0</v>
      </c>
      <c r="I452" t="s">
        <v>699</v>
      </c>
      <c r="J452">
        <v>4</v>
      </c>
      <c r="K452">
        <v>5</v>
      </c>
      <c r="L452" t="str">
        <f>VLOOKUP(D452,Products!A:E,2,FALSE)</f>
        <v>Phone Charger</v>
      </c>
      <c r="M452" t="str">
        <f>VLOOKUP(D452,Products!A:E,3,FALSE)</f>
        <v>Accessories</v>
      </c>
      <c r="N452">
        <f>VLOOKUP(D452,Products!A:E,4,FALSE)</f>
        <v>32</v>
      </c>
      <c r="O452" s="13">
        <f>VLOOKUP(D452,Products!A:E,5,FALSE)</f>
        <v>13</v>
      </c>
      <c r="P452" s="13" t="str">
        <f>VLOOKUP(C452,Customers!A:C,3,FALSE)</f>
        <v>Consumer</v>
      </c>
      <c r="Q452" s="13">
        <f t="shared" si="28"/>
        <v>32</v>
      </c>
      <c r="R452" s="13">
        <f t="shared" si="29"/>
        <v>13</v>
      </c>
      <c r="S452" s="13">
        <f t="shared" si="30"/>
        <v>19</v>
      </c>
      <c r="T452" s="14">
        <f t="shared" si="31"/>
        <v>0.59375</v>
      </c>
    </row>
    <row r="453" spans="1:20">
      <c r="A453" t="s">
        <v>1157</v>
      </c>
      <c r="B453" s="8">
        <v>45755</v>
      </c>
      <c r="C453" t="s">
        <v>393</v>
      </c>
      <c r="D453" t="s">
        <v>48</v>
      </c>
      <c r="E453" t="s">
        <v>701</v>
      </c>
      <c r="F453" t="s">
        <v>698</v>
      </c>
      <c r="G453">
        <v>1</v>
      </c>
      <c r="H453" s="9">
        <v>0</v>
      </c>
      <c r="I453" t="s">
        <v>699</v>
      </c>
      <c r="J453">
        <v>4</v>
      </c>
      <c r="K453">
        <v>4</v>
      </c>
      <c r="L453" t="str">
        <f>VLOOKUP(D453,Products!A:E,2,FALSE)</f>
        <v>Monitor</v>
      </c>
      <c r="M453" t="str">
        <f>VLOOKUP(D453,Products!A:E,3,FALSE)</f>
        <v>Technology</v>
      </c>
      <c r="N453">
        <f>VLOOKUP(D453,Products!A:E,4,FALSE)</f>
        <v>310</v>
      </c>
      <c r="O453" s="13">
        <f>VLOOKUP(D453,Products!A:E,5,FALSE)</f>
        <v>190</v>
      </c>
      <c r="P453" s="13" t="str">
        <f>VLOOKUP(C453,Customers!A:C,3,FALSE)</f>
        <v>Corporate</v>
      </c>
      <c r="Q453" s="13">
        <f t="shared" si="28"/>
        <v>310</v>
      </c>
      <c r="R453" s="13">
        <f t="shared" si="29"/>
        <v>190</v>
      </c>
      <c r="S453" s="13">
        <f t="shared" si="30"/>
        <v>120</v>
      </c>
      <c r="T453" s="14">
        <f t="shared" si="31"/>
        <v>0.38709677419354838</v>
      </c>
    </row>
    <row r="454" spans="1:20">
      <c r="A454" t="s">
        <v>1158</v>
      </c>
      <c r="B454" s="8">
        <v>46084</v>
      </c>
      <c r="C454" t="s">
        <v>209</v>
      </c>
      <c r="D454" t="s">
        <v>61</v>
      </c>
      <c r="E454" t="s">
        <v>701</v>
      </c>
      <c r="F454" t="s">
        <v>706</v>
      </c>
      <c r="G454">
        <v>6</v>
      </c>
      <c r="H454" s="9">
        <v>0.05</v>
      </c>
      <c r="I454" t="s">
        <v>699</v>
      </c>
      <c r="J454">
        <v>2</v>
      </c>
      <c r="K454">
        <v>6</v>
      </c>
      <c r="L454" t="str">
        <f>VLOOKUP(D454,Products!A:E,2,FALSE)</f>
        <v>Office Chair</v>
      </c>
      <c r="M454" t="str">
        <f>VLOOKUP(D454,Products!A:E,3,FALSE)</f>
        <v>Furniture</v>
      </c>
      <c r="N454">
        <f>VLOOKUP(D454,Products!A:E,4,FALSE)</f>
        <v>255</v>
      </c>
      <c r="O454" s="13">
        <f>VLOOKUP(D454,Products!A:E,5,FALSE)</f>
        <v>145</v>
      </c>
      <c r="P454" s="13" t="str">
        <f>VLOOKUP(C454,Customers!A:C,3,FALSE)</f>
        <v>Corporate</v>
      </c>
      <c r="Q454" s="13">
        <f t="shared" si="28"/>
        <v>1453.5</v>
      </c>
      <c r="R454" s="13">
        <f t="shared" si="29"/>
        <v>870</v>
      </c>
      <c r="S454" s="13">
        <f t="shared" si="30"/>
        <v>583.5</v>
      </c>
      <c r="T454" s="14">
        <f t="shared" si="31"/>
        <v>0.40144478844169246</v>
      </c>
    </row>
    <row r="455" spans="1:20">
      <c r="A455" t="s">
        <v>1159</v>
      </c>
      <c r="B455" s="8">
        <v>45984</v>
      </c>
      <c r="C455" t="s">
        <v>639</v>
      </c>
      <c r="D455" t="s">
        <v>54</v>
      </c>
      <c r="E455" t="s">
        <v>708</v>
      </c>
      <c r="F455" t="s">
        <v>698</v>
      </c>
      <c r="G455">
        <v>1</v>
      </c>
      <c r="H455" s="9">
        <v>0.1</v>
      </c>
      <c r="I455" t="s">
        <v>703</v>
      </c>
      <c r="J455">
        <v>5</v>
      </c>
      <c r="K455">
        <v>6</v>
      </c>
      <c r="L455" t="str">
        <f>VLOOKUP(D455,Products!A:E,2,FALSE)</f>
        <v>Webcam</v>
      </c>
      <c r="M455" t="str">
        <f>VLOOKUP(D455,Products!A:E,3,FALSE)</f>
        <v>Technology</v>
      </c>
      <c r="N455">
        <f>VLOOKUP(D455,Products!A:E,4,FALSE)</f>
        <v>115</v>
      </c>
      <c r="O455" s="13">
        <f>VLOOKUP(D455,Products!A:E,5,FALSE)</f>
        <v>58</v>
      </c>
      <c r="P455" s="13" t="str">
        <f>VLOOKUP(C455,Customers!A:C,3,FALSE)</f>
        <v>Consumer</v>
      </c>
      <c r="Q455" s="13">
        <f t="shared" si="28"/>
        <v>103.5</v>
      </c>
      <c r="R455" s="13">
        <f t="shared" si="29"/>
        <v>58</v>
      </c>
      <c r="S455" s="13">
        <f t="shared" si="30"/>
        <v>45.5</v>
      </c>
      <c r="T455" s="14">
        <f t="shared" si="31"/>
        <v>0.43961352657004832</v>
      </c>
    </row>
    <row r="456" spans="1:20">
      <c r="A456" t="s">
        <v>1160</v>
      </c>
      <c r="B456" s="8">
        <v>45885</v>
      </c>
      <c r="C456" t="s">
        <v>529</v>
      </c>
      <c r="D456" t="s">
        <v>65</v>
      </c>
      <c r="E456" t="s">
        <v>697</v>
      </c>
      <c r="F456" t="s">
        <v>702</v>
      </c>
      <c r="G456">
        <v>2</v>
      </c>
      <c r="H456" s="9">
        <v>0.05</v>
      </c>
      <c r="I456" t="s">
        <v>699</v>
      </c>
      <c r="J456">
        <v>4</v>
      </c>
      <c r="K456">
        <v>3</v>
      </c>
      <c r="L456" t="str">
        <f>VLOOKUP(D456,Products!A:E,2,FALSE)</f>
        <v>Laptop Stand</v>
      </c>
      <c r="M456" t="str">
        <f>VLOOKUP(D456,Products!A:E,3,FALSE)</f>
        <v>Accessories</v>
      </c>
      <c r="N456">
        <f>VLOOKUP(D456,Products!A:E,4,FALSE)</f>
        <v>48</v>
      </c>
      <c r="O456" s="13">
        <f>VLOOKUP(D456,Products!A:E,5,FALSE)</f>
        <v>22</v>
      </c>
      <c r="P456" s="13" t="str">
        <f>VLOOKUP(C456,Customers!A:C,3,FALSE)</f>
        <v>Corporate</v>
      </c>
      <c r="Q456" s="13">
        <f t="shared" si="28"/>
        <v>91.199999999999989</v>
      </c>
      <c r="R456" s="13">
        <f t="shared" si="29"/>
        <v>44</v>
      </c>
      <c r="S456" s="13">
        <f t="shared" si="30"/>
        <v>47.199999999999989</v>
      </c>
      <c r="T456" s="14">
        <f t="shared" si="31"/>
        <v>0.51754385964912275</v>
      </c>
    </row>
    <row r="457" spans="1:20">
      <c r="A457" t="s">
        <v>1161</v>
      </c>
      <c r="B457" s="8">
        <v>45745</v>
      </c>
      <c r="C457" t="s">
        <v>495</v>
      </c>
      <c r="D457" t="s">
        <v>74</v>
      </c>
      <c r="E457" t="s">
        <v>697</v>
      </c>
      <c r="F457" t="s">
        <v>702</v>
      </c>
      <c r="G457">
        <v>1</v>
      </c>
      <c r="H457" s="9">
        <v>0.05</v>
      </c>
      <c r="I457" t="s">
        <v>699</v>
      </c>
      <c r="J457">
        <v>5</v>
      </c>
      <c r="K457">
        <v>2</v>
      </c>
      <c r="L457" t="str">
        <f>VLOOKUP(D457,Products!A:E,2,FALSE)</f>
        <v>Printer Paper</v>
      </c>
      <c r="M457" t="str">
        <f>VLOOKUP(D457,Products!A:E,3,FALSE)</f>
        <v>Office Supplies</v>
      </c>
      <c r="N457">
        <f>VLOOKUP(D457,Products!A:E,4,FALSE)</f>
        <v>17</v>
      </c>
      <c r="O457" s="13">
        <f>VLOOKUP(D457,Products!A:E,5,FALSE)</f>
        <v>8</v>
      </c>
      <c r="P457" s="13" t="str">
        <f>VLOOKUP(C457,Customers!A:C,3,FALSE)</f>
        <v>Consumer</v>
      </c>
      <c r="Q457" s="13">
        <f t="shared" si="28"/>
        <v>16.149999999999999</v>
      </c>
      <c r="R457" s="13">
        <f t="shared" si="29"/>
        <v>8</v>
      </c>
      <c r="S457" s="13">
        <f t="shared" si="30"/>
        <v>8.1499999999999986</v>
      </c>
      <c r="T457" s="14">
        <f t="shared" si="31"/>
        <v>0.50464396284829716</v>
      </c>
    </row>
    <row r="458" spans="1:20">
      <c r="A458" t="s">
        <v>1162</v>
      </c>
      <c r="B458" s="8">
        <v>46232</v>
      </c>
      <c r="C458" t="s">
        <v>623</v>
      </c>
      <c r="D458" t="s">
        <v>61</v>
      </c>
      <c r="E458" t="s">
        <v>708</v>
      </c>
      <c r="F458" t="s">
        <v>702</v>
      </c>
      <c r="G458">
        <v>2</v>
      </c>
      <c r="H458" s="9">
        <v>0.1</v>
      </c>
      <c r="I458" t="s">
        <v>699</v>
      </c>
      <c r="J458">
        <v>3</v>
      </c>
      <c r="K458">
        <v>4</v>
      </c>
      <c r="L458" t="str">
        <f>VLOOKUP(D458,Products!A:E,2,FALSE)</f>
        <v>Office Chair</v>
      </c>
      <c r="M458" t="str">
        <f>VLOOKUP(D458,Products!A:E,3,FALSE)</f>
        <v>Furniture</v>
      </c>
      <c r="N458">
        <f>VLOOKUP(D458,Products!A:E,4,FALSE)</f>
        <v>255</v>
      </c>
      <c r="O458" s="13">
        <f>VLOOKUP(D458,Products!A:E,5,FALSE)</f>
        <v>145</v>
      </c>
      <c r="P458" s="13" t="str">
        <f>VLOOKUP(C458,Customers!A:C,3,FALSE)</f>
        <v>Corporate</v>
      </c>
      <c r="Q458" s="13">
        <f t="shared" si="28"/>
        <v>459</v>
      </c>
      <c r="R458" s="13">
        <f t="shared" si="29"/>
        <v>290</v>
      </c>
      <c r="S458" s="13">
        <f t="shared" si="30"/>
        <v>169</v>
      </c>
      <c r="T458" s="14">
        <f t="shared" si="31"/>
        <v>0.36819172113289761</v>
      </c>
    </row>
    <row r="459" spans="1:20">
      <c r="A459" t="s">
        <v>1163</v>
      </c>
      <c r="B459" s="8">
        <v>46091</v>
      </c>
      <c r="C459" t="s">
        <v>461</v>
      </c>
      <c r="D459" t="s">
        <v>70</v>
      </c>
      <c r="E459" t="s">
        <v>705</v>
      </c>
      <c r="F459" t="s">
        <v>702</v>
      </c>
      <c r="G459">
        <v>3</v>
      </c>
      <c r="H459" s="9">
        <v>0.1</v>
      </c>
      <c r="I459" t="s">
        <v>699</v>
      </c>
      <c r="J459">
        <v>4</v>
      </c>
      <c r="K459">
        <v>4</v>
      </c>
      <c r="L459" t="str">
        <f>VLOOKUP(D459,Products!A:E,2,FALSE)</f>
        <v>USB-C Hub</v>
      </c>
      <c r="M459" t="str">
        <f>VLOOKUP(D459,Products!A:E,3,FALSE)</f>
        <v>Accessories</v>
      </c>
      <c r="N459">
        <f>VLOOKUP(D459,Products!A:E,4,FALSE)</f>
        <v>68</v>
      </c>
      <c r="O459" s="13">
        <f>VLOOKUP(D459,Products!A:E,5,FALSE)</f>
        <v>31</v>
      </c>
      <c r="P459" s="13" t="str">
        <f>VLOOKUP(C459,Customers!A:C,3,FALSE)</f>
        <v>Consumer</v>
      </c>
      <c r="Q459" s="13">
        <f t="shared" si="28"/>
        <v>183.6</v>
      </c>
      <c r="R459" s="13">
        <f t="shared" si="29"/>
        <v>93</v>
      </c>
      <c r="S459" s="13">
        <f t="shared" si="30"/>
        <v>90.6</v>
      </c>
      <c r="T459" s="14">
        <f t="shared" si="31"/>
        <v>0.49346405228758167</v>
      </c>
    </row>
    <row r="460" spans="1:20">
      <c r="A460" t="s">
        <v>1164</v>
      </c>
      <c r="B460" s="8">
        <v>45807</v>
      </c>
      <c r="C460" t="s">
        <v>537</v>
      </c>
      <c r="D460" t="s">
        <v>48</v>
      </c>
      <c r="E460" t="s">
        <v>697</v>
      </c>
      <c r="F460" t="s">
        <v>702</v>
      </c>
      <c r="G460">
        <v>3</v>
      </c>
      <c r="H460" s="9">
        <v>0</v>
      </c>
      <c r="I460" t="s">
        <v>699</v>
      </c>
      <c r="J460">
        <v>2</v>
      </c>
      <c r="K460">
        <v>3</v>
      </c>
      <c r="L460" t="str">
        <f>VLOOKUP(D460,Products!A:E,2,FALSE)</f>
        <v>Monitor</v>
      </c>
      <c r="M460" t="str">
        <f>VLOOKUP(D460,Products!A:E,3,FALSE)</f>
        <v>Technology</v>
      </c>
      <c r="N460">
        <f>VLOOKUP(D460,Products!A:E,4,FALSE)</f>
        <v>310</v>
      </c>
      <c r="O460" s="13">
        <f>VLOOKUP(D460,Products!A:E,5,FALSE)</f>
        <v>190</v>
      </c>
      <c r="P460" s="13" t="str">
        <f>VLOOKUP(C460,Customers!A:C,3,FALSE)</f>
        <v>Corporate</v>
      </c>
      <c r="Q460" s="13">
        <f t="shared" si="28"/>
        <v>930</v>
      </c>
      <c r="R460" s="13">
        <f t="shared" si="29"/>
        <v>570</v>
      </c>
      <c r="S460" s="13">
        <f t="shared" si="30"/>
        <v>360</v>
      </c>
      <c r="T460" s="14">
        <f t="shared" si="31"/>
        <v>0.38709677419354838</v>
      </c>
    </row>
    <row r="461" spans="1:20">
      <c r="A461" t="s">
        <v>1165</v>
      </c>
      <c r="B461" s="8">
        <v>45809</v>
      </c>
      <c r="C461" t="s">
        <v>381</v>
      </c>
      <c r="D461" t="s">
        <v>45</v>
      </c>
      <c r="E461" t="s">
        <v>708</v>
      </c>
      <c r="F461" t="s">
        <v>698</v>
      </c>
      <c r="G461">
        <v>1</v>
      </c>
      <c r="H461" s="9">
        <v>0.05</v>
      </c>
      <c r="I461" t="s">
        <v>699</v>
      </c>
      <c r="J461">
        <v>5</v>
      </c>
      <c r="K461">
        <v>2</v>
      </c>
      <c r="L461" t="str">
        <f>VLOOKUP(D461,Products!A:E,2,FALSE)</f>
        <v>Laptop</v>
      </c>
      <c r="M461" t="str">
        <f>VLOOKUP(D461,Products!A:E,3,FALSE)</f>
        <v>Technology</v>
      </c>
      <c r="N461">
        <f>VLOOKUP(D461,Products!A:E,4,FALSE)</f>
        <v>1100</v>
      </c>
      <c r="O461" s="13">
        <f>VLOOKUP(D461,Products!A:E,5,FALSE)</f>
        <v>720</v>
      </c>
      <c r="P461" s="13" t="str">
        <f>VLOOKUP(C461,Customers!A:C,3,FALSE)</f>
        <v>Corporate</v>
      </c>
      <c r="Q461" s="13">
        <f t="shared" si="28"/>
        <v>1045</v>
      </c>
      <c r="R461" s="13">
        <f t="shared" si="29"/>
        <v>720</v>
      </c>
      <c r="S461" s="13">
        <f t="shared" si="30"/>
        <v>325</v>
      </c>
      <c r="T461" s="14">
        <f t="shared" si="31"/>
        <v>0.31100478468899523</v>
      </c>
    </row>
    <row r="462" spans="1:20">
      <c r="A462" t="s">
        <v>1166</v>
      </c>
      <c r="B462" s="8">
        <v>45866</v>
      </c>
      <c r="C462" t="s">
        <v>645</v>
      </c>
      <c r="D462" t="s">
        <v>63</v>
      </c>
      <c r="E462" t="s">
        <v>715</v>
      </c>
      <c r="F462" t="s">
        <v>698</v>
      </c>
      <c r="G462">
        <v>8</v>
      </c>
      <c r="H462" s="9">
        <v>0.1</v>
      </c>
      <c r="I462" t="s">
        <v>699</v>
      </c>
      <c r="J462">
        <v>4</v>
      </c>
      <c r="K462">
        <v>5</v>
      </c>
      <c r="L462" t="str">
        <f>VLOOKUP(D462,Products!A:E,2,FALSE)</f>
        <v>Bookshelf</v>
      </c>
      <c r="M462" t="str">
        <f>VLOOKUP(D462,Products!A:E,3,FALSE)</f>
        <v>Furniture</v>
      </c>
      <c r="N462">
        <f>VLOOKUP(D462,Products!A:E,4,FALSE)</f>
        <v>185</v>
      </c>
      <c r="O462" s="13">
        <f>VLOOKUP(D462,Products!A:E,5,FALSE)</f>
        <v>105</v>
      </c>
      <c r="P462" s="13" t="str">
        <f>VLOOKUP(C462,Customers!A:C,3,FALSE)</f>
        <v>Corporate</v>
      </c>
      <c r="Q462" s="13">
        <f t="shared" si="28"/>
        <v>1332</v>
      </c>
      <c r="R462" s="13">
        <f t="shared" si="29"/>
        <v>840</v>
      </c>
      <c r="S462" s="13">
        <f t="shared" si="30"/>
        <v>492</v>
      </c>
      <c r="T462" s="14">
        <f t="shared" si="31"/>
        <v>0.36936936936936937</v>
      </c>
    </row>
    <row r="463" spans="1:20">
      <c r="A463" t="s">
        <v>1167</v>
      </c>
      <c r="B463" s="8">
        <v>45702</v>
      </c>
      <c r="C463" t="s">
        <v>347</v>
      </c>
      <c r="D463" t="s">
        <v>56</v>
      </c>
      <c r="E463" t="s">
        <v>705</v>
      </c>
      <c r="F463" t="s">
        <v>702</v>
      </c>
      <c r="G463">
        <v>3</v>
      </c>
      <c r="H463" s="9">
        <v>0</v>
      </c>
      <c r="I463" t="s">
        <v>699</v>
      </c>
      <c r="J463">
        <v>5</v>
      </c>
      <c r="K463">
        <v>1</v>
      </c>
      <c r="L463" t="str">
        <f>VLOOKUP(D463,Products!A:E,2,FALSE)</f>
        <v>Headset</v>
      </c>
      <c r="M463" t="str">
        <f>VLOOKUP(D463,Products!A:E,3,FALSE)</f>
        <v>Technology</v>
      </c>
      <c r="N463">
        <f>VLOOKUP(D463,Products!A:E,4,FALSE)</f>
        <v>98</v>
      </c>
      <c r="O463" s="13">
        <f>VLOOKUP(D463,Products!A:E,5,FALSE)</f>
        <v>46</v>
      </c>
      <c r="P463" s="13" t="str">
        <f>VLOOKUP(C463,Customers!A:C,3,FALSE)</f>
        <v>Consumer</v>
      </c>
      <c r="Q463" s="13">
        <f t="shared" si="28"/>
        <v>294</v>
      </c>
      <c r="R463" s="13">
        <f t="shared" si="29"/>
        <v>138</v>
      </c>
      <c r="S463" s="13">
        <f t="shared" si="30"/>
        <v>156</v>
      </c>
      <c r="T463" s="14">
        <f t="shared" si="31"/>
        <v>0.53061224489795922</v>
      </c>
    </row>
    <row r="464" spans="1:20">
      <c r="A464" t="s">
        <v>1168</v>
      </c>
      <c r="B464" s="8">
        <v>46055</v>
      </c>
      <c r="C464" t="s">
        <v>363</v>
      </c>
      <c r="D464" t="s">
        <v>70</v>
      </c>
      <c r="E464" t="s">
        <v>697</v>
      </c>
      <c r="F464" t="s">
        <v>702</v>
      </c>
      <c r="G464">
        <v>5</v>
      </c>
      <c r="H464" s="9">
        <v>0.05</v>
      </c>
      <c r="I464" t="s">
        <v>699</v>
      </c>
      <c r="J464">
        <v>4</v>
      </c>
      <c r="K464">
        <v>1</v>
      </c>
      <c r="L464" t="str">
        <f>VLOOKUP(D464,Products!A:E,2,FALSE)</f>
        <v>USB-C Hub</v>
      </c>
      <c r="M464" t="str">
        <f>VLOOKUP(D464,Products!A:E,3,FALSE)</f>
        <v>Accessories</v>
      </c>
      <c r="N464">
        <f>VLOOKUP(D464,Products!A:E,4,FALSE)</f>
        <v>68</v>
      </c>
      <c r="O464" s="13">
        <f>VLOOKUP(D464,Products!A:E,5,FALSE)</f>
        <v>31</v>
      </c>
      <c r="P464" s="13" t="str">
        <f>VLOOKUP(C464,Customers!A:C,3,FALSE)</f>
        <v>Corporate</v>
      </c>
      <c r="Q464" s="13">
        <f t="shared" si="28"/>
        <v>323</v>
      </c>
      <c r="R464" s="13">
        <f t="shared" si="29"/>
        <v>155</v>
      </c>
      <c r="S464" s="13">
        <f t="shared" si="30"/>
        <v>168</v>
      </c>
      <c r="T464" s="14">
        <f t="shared" si="31"/>
        <v>0.52012383900928794</v>
      </c>
    </row>
    <row r="465" spans="1:20">
      <c r="A465" t="s">
        <v>1169</v>
      </c>
      <c r="B465" s="8">
        <v>45981</v>
      </c>
      <c r="C465" t="s">
        <v>583</v>
      </c>
      <c r="D465" t="s">
        <v>50</v>
      </c>
      <c r="E465" t="s">
        <v>705</v>
      </c>
      <c r="F465" t="s">
        <v>698</v>
      </c>
      <c r="G465">
        <v>2</v>
      </c>
      <c r="H465" s="9">
        <v>0.15</v>
      </c>
      <c r="I465" t="s">
        <v>699</v>
      </c>
      <c r="J465">
        <v>3</v>
      </c>
      <c r="K465">
        <v>5</v>
      </c>
      <c r="L465" t="str">
        <f>VLOOKUP(D465,Products!A:E,2,FALSE)</f>
        <v>Keyboard</v>
      </c>
      <c r="M465" t="str">
        <f>VLOOKUP(D465,Products!A:E,3,FALSE)</f>
        <v>Technology</v>
      </c>
      <c r="N465">
        <f>VLOOKUP(D465,Products!A:E,4,FALSE)</f>
        <v>75</v>
      </c>
      <c r="O465" s="13">
        <f>VLOOKUP(D465,Products!A:E,5,FALSE)</f>
        <v>38</v>
      </c>
      <c r="P465" s="13" t="str">
        <f>VLOOKUP(C465,Customers!A:C,3,FALSE)</f>
        <v>Corporate</v>
      </c>
      <c r="Q465" s="13">
        <f t="shared" si="28"/>
        <v>127.5</v>
      </c>
      <c r="R465" s="13">
        <f t="shared" si="29"/>
        <v>76</v>
      </c>
      <c r="S465" s="13">
        <f t="shared" si="30"/>
        <v>51.5</v>
      </c>
      <c r="T465" s="14">
        <f t="shared" si="31"/>
        <v>0.40392156862745099</v>
      </c>
    </row>
    <row r="466" spans="1:20">
      <c r="A466" t="s">
        <v>1170</v>
      </c>
      <c r="B466" s="8">
        <v>45970</v>
      </c>
      <c r="C466" t="s">
        <v>427</v>
      </c>
      <c r="D466" t="s">
        <v>79</v>
      </c>
      <c r="E466" t="s">
        <v>708</v>
      </c>
      <c r="F466" t="s">
        <v>702</v>
      </c>
      <c r="G466">
        <v>2</v>
      </c>
      <c r="H466" s="9">
        <v>0</v>
      </c>
      <c r="I466" t="s">
        <v>699</v>
      </c>
      <c r="J466">
        <v>3</v>
      </c>
      <c r="K466">
        <v>5</v>
      </c>
      <c r="L466" t="str">
        <f>VLOOKUP(D466,Products!A:E,2,FALSE)</f>
        <v>Desk Organiser</v>
      </c>
      <c r="M466" t="str">
        <f>VLOOKUP(D466,Products!A:E,3,FALSE)</f>
        <v>Office Supplies</v>
      </c>
      <c r="N466">
        <f>VLOOKUP(D466,Products!A:E,4,FALSE)</f>
        <v>28</v>
      </c>
      <c r="O466" s="13">
        <f>VLOOKUP(D466,Products!A:E,5,FALSE)</f>
        <v>12</v>
      </c>
      <c r="P466" s="13" t="str">
        <f>VLOOKUP(C466,Customers!A:C,3,FALSE)</f>
        <v>Small Business</v>
      </c>
      <c r="Q466" s="13">
        <f t="shared" si="28"/>
        <v>56</v>
      </c>
      <c r="R466" s="13">
        <f t="shared" si="29"/>
        <v>24</v>
      </c>
      <c r="S466" s="13">
        <f t="shared" si="30"/>
        <v>32</v>
      </c>
      <c r="T466" s="14">
        <f t="shared" si="31"/>
        <v>0.5714285714285714</v>
      </c>
    </row>
    <row r="467" spans="1:20">
      <c r="A467" t="s">
        <v>1171</v>
      </c>
      <c r="B467" s="8">
        <v>45940</v>
      </c>
      <c r="C467" t="s">
        <v>149</v>
      </c>
      <c r="D467" t="s">
        <v>63</v>
      </c>
      <c r="E467" t="s">
        <v>697</v>
      </c>
      <c r="F467" t="s">
        <v>706</v>
      </c>
      <c r="G467">
        <v>4</v>
      </c>
      <c r="H467" s="9">
        <v>0</v>
      </c>
      <c r="I467" t="s">
        <v>699</v>
      </c>
      <c r="J467">
        <v>4</v>
      </c>
      <c r="K467">
        <v>2</v>
      </c>
      <c r="L467" t="str">
        <f>VLOOKUP(D467,Products!A:E,2,FALSE)</f>
        <v>Bookshelf</v>
      </c>
      <c r="M467" t="str">
        <f>VLOOKUP(D467,Products!A:E,3,FALSE)</f>
        <v>Furniture</v>
      </c>
      <c r="N467">
        <f>VLOOKUP(D467,Products!A:E,4,FALSE)</f>
        <v>185</v>
      </c>
      <c r="O467" s="13">
        <f>VLOOKUP(D467,Products!A:E,5,FALSE)</f>
        <v>105</v>
      </c>
      <c r="P467" s="13" t="str">
        <f>VLOOKUP(C467,Customers!A:C,3,FALSE)</f>
        <v>Corporate</v>
      </c>
      <c r="Q467" s="13">
        <f t="shared" si="28"/>
        <v>740</v>
      </c>
      <c r="R467" s="13">
        <f t="shared" si="29"/>
        <v>420</v>
      </c>
      <c r="S467" s="13">
        <f t="shared" si="30"/>
        <v>320</v>
      </c>
      <c r="T467" s="14">
        <f t="shared" si="31"/>
        <v>0.43243243243243246</v>
      </c>
    </row>
    <row r="468" spans="1:20">
      <c r="A468" t="s">
        <v>1172</v>
      </c>
      <c r="B468" s="8">
        <v>46007</v>
      </c>
      <c r="C468" t="s">
        <v>489</v>
      </c>
      <c r="D468" t="s">
        <v>54</v>
      </c>
      <c r="E468" t="s">
        <v>705</v>
      </c>
      <c r="F468" t="s">
        <v>702</v>
      </c>
      <c r="G468">
        <v>7</v>
      </c>
      <c r="H468" s="9">
        <v>0.05</v>
      </c>
      <c r="I468" t="s">
        <v>699</v>
      </c>
      <c r="J468">
        <v>3</v>
      </c>
      <c r="K468">
        <v>2</v>
      </c>
      <c r="L468" t="str">
        <f>VLOOKUP(D468,Products!A:E,2,FALSE)</f>
        <v>Webcam</v>
      </c>
      <c r="M468" t="str">
        <f>VLOOKUP(D468,Products!A:E,3,FALSE)</f>
        <v>Technology</v>
      </c>
      <c r="N468">
        <f>VLOOKUP(D468,Products!A:E,4,FALSE)</f>
        <v>115</v>
      </c>
      <c r="O468" s="13">
        <f>VLOOKUP(D468,Products!A:E,5,FALSE)</f>
        <v>58</v>
      </c>
      <c r="P468" s="13" t="str">
        <f>VLOOKUP(C468,Customers!A:C,3,FALSE)</f>
        <v>Small Business</v>
      </c>
      <c r="Q468" s="13">
        <f t="shared" si="28"/>
        <v>764.75</v>
      </c>
      <c r="R468" s="13">
        <f t="shared" si="29"/>
        <v>406</v>
      </c>
      <c r="S468" s="13">
        <f t="shared" si="30"/>
        <v>358.75</v>
      </c>
      <c r="T468" s="14">
        <f t="shared" si="31"/>
        <v>0.46910755148741418</v>
      </c>
    </row>
    <row r="469" spans="1:20">
      <c r="A469" t="s">
        <v>1173</v>
      </c>
      <c r="B469" s="8">
        <v>46244</v>
      </c>
      <c r="C469" t="s">
        <v>243</v>
      </c>
      <c r="D469" t="s">
        <v>74</v>
      </c>
      <c r="E469" t="s">
        <v>697</v>
      </c>
      <c r="F469" t="s">
        <v>706</v>
      </c>
      <c r="G469">
        <v>2</v>
      </c>
      <c r="H469" s="9">
        <v>0.05</v>
      </c>
      <c r="I469" t="s">
        <v>699</v>
      </c>
      <c r="J469">
        <v>3</v>
      </c>
      <c r="K469">
        <v>5</v>
      </c>
      <c r="L469" t="str">
        <f>VLOOKUP(D469,Products!A:E,2,FALSE)</f>
        <v>Printer Paper</v>
      </c>
      <c r="M469" t="str">
        <f>VLOOKUP(D469,Products!A:E,3,FALSE)</f>
        <v>Office Supplies</v>
      </c>
      <c r="N469">
        <f>VLOOKUP(D469,Products!A:E,4,FALSE)</f>
        <v>17</v>
      </c>
      <c r="O469" s="13">
        <f>VLOOKUP(D469,Products!A:E,5,FALSE)</f>
        <v>8</v>
      </c>
      <c r="P469" s="13" t="str">
        <f>VLOOKUP(C469,Customers!A:C,3,FALSE)</f>
        <v>Consumer</v>
      </c>
      <c r="Q469" s="13">
        <f t="shared" si="28"/>
        <v>32.299999999999997</v>
      </c>
      <c r="R469" s="13">
        <f t="shared" si="29"/>
        <v>16</v>
      </c>
      <c r="S469" s="13">
        <f t="shared" si="30"/>
        <v>16.299999999999997</v>
      </c>
      <c r="T469" s="14">
        <f t="shared" si="31"/>
        <v>0.50464396284829716</v>
      </c>
    </row>
    <row r="470" spans="1:20">
      <c r="A470" t="s">
        <v>1174</v>
      </c>
      <c r="B470" s="8">
        <v>45865</v>
      </c>
      <c r="C470" t="s">
        <v>227</v>
      </c>
      <c r="D470" t="s">
        <v>65</v>
      </c>
      <c r="E470" t="s">
        <v>701</v>
      </c>
      <c r="F470" t="s">
        <v>706</v>
      </c>
      <c r="G470">
        <v>6</v>
      </c>
      <c r="H470" s="9">
        <v>0</v>
      </c>
      <c r="I470" t="s">
        <v>699</v>
      </c>
      <c r="J470">
        <v>5</v>
      </c>
      <c r="K470">
        <v>5</v>
      </c>
      <c r="L470" t="str">
        <f>VLOOKUP(D470,Products!A:E,2,FALSE)</f>
        <v>Laptop Stand</v>
      </c>
      <c r="M470" t="str">
        <f>VLOOKUP(D470,Products!A:E,3,FALSE)</f>
        <v>Accessories</v>
      </c>
      <c r="N470">
        <f>VLOOKUP(D470,Products!A:E,4,FALSE)</f>
        <v>48</v>
      </c>
      <c r="O470" s="13">
        <f>VLOOKUP(D470,Products!A:E,5,FALSE)</f>
        <v>22</v>
      </c>
      <c r="P470" s="13" t="str">
        <f>VLOOKUP(C470,Customers!A:C,3,FALSE)</f>
        <v>Consumer</v>
      </c>
      <c r="Q470" s="13">
        <f t="shared" si="28"/>
        <v>288</v>
      </c>
      <c r="R470" s="13">
        <f t="shared" si="29"/>
        <v>132</v>
      </c>
      <c r="S470" s="13">
        <f t="shared" si="30"/>
        <v>156</v>
      </c>
      <c r="T470" s="14">
        <f t="shared" si="31"/>
        <v>0.54166666666666663</v>
      </c>
    </row>
    <row r="471" spans="1:20">
      <c r="A471" t="s">
        <v>1175</v>
      </c>
      <c r="B471" s="8">
        <v>45819</v>
      </c>
      <c r="C471" t="s">
        <v>411</v>
      </c>
      <c r="D471" t="s">
        <v>50</v>
      </c>
      <c r="E471" t="s">
        <v>715</v>
      </c>
      <c r="F471" t="s">
        <v>706</v>
      </c>
      <c r="G471">
        <v>1</v>
      </c>
      <c r="H471" s="9">
        <v>0</v>
      </c>
      <c r="I471" t="s">
        <v>699</v>
      </c>
      <c r="J471">
        <v>5</v>
      </c>
      <c r="K471">
        <v>3</v>
      </c>
      <c r="L471" t="str">
        <f>VLOOKUP(D471,Products!A:E,2,FALSE)</f>
        <v>Keyboard</v>
      </c>
      <c r="M471" t="str">
        <f>VLOOKUP(D471,Products!A:E,3,FALSE)</f>
        <v>Technology</v>
      </c>
      <c r="N471">
        <f>VLOOKUP(D471,Products!A:E,4,FALSE)</f>
        <v>75</v>
      </c>
      <c r="O471" s="13">
        <f>VLOOKUP(D471,Products!A:E,5,FALSE)</f>
        <v>38</v>
      </c>
      <c r="P471" s="13" t="str">
        <f>VLOOKUP(C471,Customers!A:C,3,FALSE)</f>
        <v>Consumer</v>
      </c>
      <c r="Q471" s="13">
        <f t="shared" si="28"/>
        <v>75</v>
      </c>
      <c r="R471" s="13">
        <f t="shared" si="29"/>
        <v>38</v>
      </c>
      <c r="S471" s="13">
        <f t="shared" si="30"/>
        <v>37</v>
      </c>
      <c r="T471" s="14">
        <f t="shared" si="31"/>
        <v>0.49333333333333335</v>
      </c>
    </row>
    <row r="472" spans="1:20">
      <c r="A472" t="s">
        <v>1176</v>
      </c>
      <c r="B472" s="8">
        <v>46081</v>
      </c>
      <c r="C472" t="s">
        <v>507</v>
      </c>
      <c r="D472" t="s">
        <v>65</v>
      </c>
      <c r="E472" t="s">
        <v>715</v>
      </c>
      <c r="F472" t="s">
        <v>706</v>
      </c>
      <c r="G472">
        <v>6</v>
      </c>
      <c r="H472" s="9">
        <v>0.15</v>
      </c>
      <c r="I472" t="s">
        <v>699</v>
      </c>
      <c r="J472">
        <v>5</v>
      </c>
      <c r="K472">
        <v>1</v>
      </c>
      <c r="L472" t="str">
        <f>VLOOKUP(D472,Products!A:E,2,FALSE)</f>
        <v>Laptop Stand</v>
      </c>
      <c r="M472" t="str">
        <f>VLOOKUP(D472,Products!A:E,3,FALSE)</f>
        <v>Accessories</v>
      </c>
      <c r="N472">
        <f>VLOOKUP(D472,Products!A:E,4,FALSE)</f>
        <v>48</v>
      </c>
      <c r="O472" s="13">
        <f>VLOOKUP(D472,Products!A:E,5,FALSE)</f>
        <v>22</v>
      </c>
      <c r="P472" s="13" t="str">
        <f>VLOOKUP(C472,Customers!A:C,3,FALSE)</f>
        <v>Consumer</v>
      </c>
      <c r="Q472" s="13">
        <f t="shared" si="28"/>
        <v>244.79999999999998</v>
      </c>
      <c r="R472" s="13">
        <f t="shared" si="29"/>
        <v>132</v>
      </c>
      <c r="S472" s="13">
        <f t="shared" si="30"/>
        <v>112.79999999999998</v>
      </c>
      <c r="T472" s="14">
        <f t="shared" si="31"/>
        <v>0.46078431372549017</v>
      </c>
    </row>
    <row r="473" spans="1:20">
      <c r="A473" t="s">
        <v>1177</v>
      </c>
      <c r="B473" s="8">
        <v>45792</v>
      </c>
      <c r="C473" t="s">
        <v>275</v>
      </c>
      <c r="D473" t="s">
        <v>45</v>
      </c>
      <c r="E473" t="s">
        <v>701</v>
      </c>
      <c r="F473" t="s">
        <v>698</v>
      </c>
      <c r="G473">
        <v>1</v>
      </c>
      <c r="H473" s="9">
        <v>0.05</v>
      </c>
      <c r="I473" t="s">
        <v>699</v>
      </c>
      <c r="J473">
        <v>3</v>
      </c>
      <c r="K473">
        <v>1</v>
      </c>
      <c r="L473" t="str">
        <f>VLOOKUP(D473,Products!A:E,2,FALSE)</f>
        <v>Laptop</v>
      </c>
      <c r="M473" t="str">
        <f>VLOOKUP(D473,Products!A:E,3,FALSE)</f>
        <v>Technology</v>
      </c>
      <c r="N473">
        <f>VLOOKUP(D473,Products!A:E,4,FALSE)</f>
        <v>1100</v>
      </c>
      <c r="O473" s="13">
        <f>VLOOKUP(D473,Products!A:E,5,FALSE)</f>
        <v>720</v>
      </c>
      <c r="P473" s="13" t="str">
        <f>VLOOKUP(C473,Customers!A:C,3,FALSE)</f>
        <v>Consumer</v>
      </c>
      <c r="Q473" s="13">
        <f t="shared" si="28"/>
        <v>1045</v>
      </c>
      <c r="R473" s="13">
        <f t="shared" si="29"/>
        <v>720</v>
      </c>
      <c r="S473" s="13">
        <f t="shared" si="30"/>
        <v>325</v>
      </c>
      <c r="T473" s="14">
        <f t="shared" si="31"/>
        <v>0.31100478468899523</v>
      </c>
    </row>
    <row r="474" spans="1:20">
      <c r="A474" t="s">
        <v>1178</v>
      </c>
      <c r="B474" s="8">
        <v>46025</v>
      </c>
      <c r="C474" t="s">
        <v>167</v>
      </c>
      <c r="D474" t="s">
        <v>79</v>
      </c>
      <c r="E474" t="s">
        <v>705</v>
      </c>
      <c r="F474" t="s">
        <v>706</v>
      </c>
      <c r="G474">
        <v>2</v>
      </c>
      <c r="H474" s="9">
        <v>0.05</v>
      </c>
      <c r="I474" t="s">
        <v>699</v>
      </c>
      <c r="J474">
        <v>4</v>
      </c>
      <c r="K474">
        <v>4</v>
      </c>
      <c r="L474" t="str">
        <f>VLOOKUP(D474,Products!A:E,2,FALSE)</f>
        <v>Desk Organiser</v>
      </c>
      <c r="M474" t="str">
        <f>VLOOKUP(D474,Products!A:E,3,FALSE)</f>
        <v>Office Supplies</v>
      </c>
      <c r="N474">
        <f>VLOOKUP(D474,Products!A:E,4,FALSE)</f>
        <v>28</v>
      </c>
      <c r="O474" s="13">
        <f>VLOOKUP(D474,Products!A:E,5,FALSE)</f>
        <v>12</v>
      </c>
      <c r="P474" s="13" t="str">
        <f>VLOOKUP(C474,Customers!A:C,3,FALSE)</f>
        <v>Corporate</v>
      </c>
      <c r="Q474" s="13">
        <f t="shared" si="28"/>
        <v>53.199999999999996</v>
      </c>
      <c r="R474" s="13">
        <f t="shared" si="29"/>
        <v>24</v>
      </c>
      <c r="S474" s="13">
        <f t="shared" si="30"/>
        <v>29.199999999999996</v>
      </c>
      <c r="T474" s="14">
        <f t="shared" si="31"/>
        <v>0.54887218045112773</v>
      </c>
    </row>
    <row r="475" spans="1:20">
      <c r="A475" t="s">
        <v>1179</v>
      </c>
      <c r="B475" s="8">
        <v>45798</v>
      </c>
      <c r="C475" t="s">
        <v>253</v>
      </c>
      <c r="D475" t="s">
        <v>58</v>
      </c>
      <c r="E475" t="s">
        <v>708</v>
      </c>
      <c r="F475" t="s">
        <v>702</v>
      </c>
      <c r="G475">
        <v>7</v>
      </c>
      <c r="H475" s="9">
        <v>0.15</v>
      </c>
      <c r="I475" t="s">
        <v>703</v>
      </c>
      <c r="J475">
        <v>3</v>
      </c>
      <c r="K475">
        <v>4</v>
      </c>
      <c r="L475" t="str">
        <f>VLOOKUP(D475,Products!A:E,2,FALSE)</f>
        <v>Standing Desk</v>
      </c>
      <c r="M475" t="str">
        <f>VLOOKUP(D475,Products!A:E,3,FALSE)</f>
        <v>Furniture</v>
      </c>
      <c r="N475">
        <f>VLOOKUP(D475,Products!A:E,4,FALSE)</f>
        <v>540</v>
      </c>
      <c r="O475" s="13">
        <f>VLOOKUP(D475,Products!A:E,5,FALSE)</f>
        <v>320</v>
      </c>
      <c r="P475" s="13" t="str">
        <f>VLOOKUP(C475,Customers!A:C,3,FALSE)</f>
        <v>Small Business</v>
      </c>
      <c r="Q475" s="13">
        <f t="shared" si="28"/>
        <v>3213</v>
      </c>
      <c r="R475" s="13">
        <f t="shared" si="29"/>
        <v>2240</v>
      </c>
      <c r="S475" s="13">
        <f t="shared" si="30"/>
        <v>973</v>
      </c>
      <c r="T475" s="14">
        <f t="shared" si="31"/>
        <v>0.30283224400871461</v>
      </c>
    </row>
    <row r="476" spans="1:20">
      <c r="A476" t="s">
        <v>1180</v>
      </c>
      <c r="B476" s="8">
        <v>45725</v>
      </c>
      <c r="C476" t="s">
        <v>267</v>
      </c>
      <c r="D476" t="s">
        <v>77</v>
      </c>
      <c r="E476" t="s">
        <v>697</v>
      </c>
      <c r="F476" t="s">
        <v>698</v>
      </c>
      <c r="G476">
        <v>2</v>
      </c>
      <c r="H476" s="9">
        <v>0</v>
      </c>
      <c r="I476" t="s">
        <v>699</v>
      </c>
      <c r="J476">
        <v>4</v>
      </c>
      <c r="K476">
        <v>1</v>
      </c>
      <c r="L476" t="str">
        <f>VLOOKUP(D476,Products!A:E,2,FALSE)</f>
        <v>File Folder Pack</v>
      </c>
      <c r="M476" t="str">
        <f>VLOOKUP(D476,Products!A:E,3,FALSE)</f>
        <v>Office Supplies</v>
      </c>
      <c r="N476">
        <f>VLOOKUP(D476,Products!A:E,4,FALSE)</f>
        <v>23</v>
      </c>
      <c r="O476" s="13">
        <f>VLOOKUP(D476,Products!A:E,5,FALSE)</f>
        <v>10</v>
      </c>
      <c r="P476" s="13" t="str">
        <f>VLOOKUP(C476,Customers!A:C,3,FALSE)</f>
        <v>Consumer</v>
      </c>
      <c r="Q476" s="13">
        <f t="shared" si="28"/>
        <v>46</v>
      </c>
      <c r="R476" s="13">
        <f t="shared" si="29"/>
        <v>20</v>
      </c>
      <c r="S476" s="13">
        <f t="shared" si="30"/>
        <v>26</v>
      </c>
      <c r="T476" s="14">
        <f t="shared" si="31"/>
        <v>0.56521739130434778</v>
      </c>
    </row>
    <row r="477" spans="1:20">
      <c r="A477" t="s">
        <v>1181</v>
      </c>
      <c r="B477" s="8">
        <v>46047</v>
      </c>
      <c r="C477" t="s">
        <v>407</v>
      </c>
      <c r="D477" t="s">
        <v>72</v>
      </c>
      <c r="E477" t="s">
        <v>701</v>
      </c>
      <c r="F477" t="s">
        <v>698</v>
      </c>
      <c r="G477">
        <v>3</v>
      </c>
      <c r="H477" s="9">
        <v>0.05</v>
      </c>
      <c r="I477" t="s">
        <v>699</v>
      </c>
      <c r="J477">
        <v>5</v>
      </c>
      <c r="K477">
        <v>5</v>
      </c>
      <c r="L477" t="str">
        <f>VLOOKUP(D477,Products!A:E,2,FALSE)</f>
        <v>Phone Charger</v>
      </c>
      <c r="M477" t="str">
        <f>VLOOKUP(D477,Products!A:E,3,FALSE)</f>
        <v>Accessories</v>
      </c>
      <c r="N477">
        <f>VLOOKUP(D477,Products!A:E,4,FALSE)</f>
        <v>32</v>
      </c>
      <c r="O477" s="13">
        <f>VLOOKUP(D477,Products!A:E,5,FALSE)</f>
        <v>13</v>
      </c>
      <c r="P477" s="13" t="str">
        <f>VLOOKUP(C477,Customers!A:C,3,FALSE)</f>
        <v>Consumer</v>
      </c>
      <c r="Q477" s="13">
        <f t="shared" si="28"/>
        <v>91.199999999999989</v>
      </c>
      <c r="R477" s="13">
        <f t="shared" si="29"/>
        <v>39</v>
      </c>
      <c r="S477" s="13">
        <f t="shared" si="30"/>
        <v>52.199999999999989</v>
      </c>
      <c r="T477" s="14">
        <f t="shared" si="31"/>
        <v>0.57236842105263153</v>
      </c>
    </row>
    <row r="478" spans="1:20">
      <c r="A478" t="s">
        <v>1182</v>
      </c>
      <c r="B478" s="8">
        <v>45769</v>
      </c>
      <c r="C478" t="s">
        <v>549</v>
      </c>
      <c r="D478" t="s">
        <v>77</v>
      </c>
      <c r="E478" t="s">
        <v>697</v>
      </c>
      <c r="F478" t="s">
        <v>702</v>
      </c>
      <c r="G478">
        <v>8</v>
      </c>
      <c r="H478" s="9">
        <v>0.05</v>
      </c>
      <c r="I478" t="s">
        <v>699</v>
      </c>
      <c r="J478">
        <v>5</v>
      </c>
      <c r="K478">
        <v>5</v>
      </c>
      <c r="L478" t="str">
        <f>VLOOKUP(D478,Products!A:E,2,FALSE)</f>
        <v>File Folder Pack</v>
      </c>
      <c r="M478" t="str">
        <f>VLOOKUP(D478,Products!A:E,3,FALSE)</f>
        <v>Office Supplies</v>
      </c>
      <c r="N478">
        <f>VLOOKUP(D478,Products!A:E,4,FALSE)</f>
        <v>23</v>
      </c>
      <c r="O478" s="13">
        <f>VLOOKUP(D478,Products!A:E,5,FALSE)</f>
        <v>10</v>
      </c>
      <c r="P478" s="13" t="str">
        <f>VLOOKUP(C478,Customers!A:C,3,FALSE)</f>
        <v>Consumer</v>
      </c>
      <c r="Q478" s="13">
        <f t="shared" si="28"/>
        <v>174.79999999999998</v>
      </c>
      <c r="R478" s="13">
        <f t="shared" si="29"/>
        <v>80</v>
      </c>
      <c r="S478" s="13">
        <f t="shared" si="30"/>
        <v>94.799999999999983</v>
      </c>
      <c r="T478" s="14">
        <f t="shared" si="31"/>
        <v>0.54233409610983974</v>
      </c>
    </row>
    <row r="479" spans="1:20">
      <c r="A479" t="s">
        <v>1183</v>
      </c>
      <c r="B479" s="8">
        <v>46054</v>
      </c>
      <c r="C479" t="s">
        <v>615</v>
      </c>
      <c r="D479" t="s">
        <v>48</v>
      </c>
      <c r="E479" t="s">
        <v>705</v>
      </c>
      <c r="F479" t="s">
        <v>702</v>
      </c>
      <c r="G479">
        <v>5</v>
      </c>
      <c r="H479" s="9">
        <v>0.1</v>
      </c>
      <c r="I479" t="s">
        <v>699</v>
      </c>
      <c r="J479">
        <v>3</v>
      </c>
      <c r="K479">
        <v>3</v>
      </c>
      <c r="L479" t="str">
        <f>VLOOKUP(D479,Products!A:E,2,FALSE)</f>
        <v>Monitor</v>
      </c>
      <c r="M479" t="str">
        <f>VLOOKUP(D479,Products!A:E,3,FALSE)</f>
        <v>Technology</v>
      </c>
      <c r="N479">
        <f>VLOOKUP(D479,Products!A:E,4,FALSE)</f>
        <v>310</v>
      </c>
      <c r="O479" s="13">
        <f>VLOOKUP(D479,Products!A:E,5,FALSE)</f>
        <v>190</v>
      </c>
      <c r="P479" s="13" t="str">
        <f>VLOOKUP(C479,Customers!A:C,3,FALSE)</f>
        <v>Small Business</v>
      </c>
      <c r="Q479" s="13">
        <f t="shared" si="28"/>
        <v>1395</v>
      </c>
      <c r="R479" s="13">
        <f t="shared" si="29"/>
        <v>950</v>
      </c>
      <c r="S479" s="13">
        <f t="shared" si="30"/>
        <v>445</v>
      </c>
      <c r="T479" s="14">
        <f t="shared" si="31"/>
        <v>0.31899641577060933</v>
      </c>
    </row>
    <row r="480" spans="1:20">
      <c r="A480" t="s">
        <v>1184</v>
      </c>
      <c r="B480" s="8">
        <v>45713</v>
      </c>
      <c r="C480" t="s">
        <v>615</v>
      </c>
      <c r="D480" t="s">
        <v>54</v>
      </c>
      <c r="E480" t="s">
        <v>715</v>
      </c>
      <c r="F480" t="s">
        <v>698</v>
      </c>
      <c r="G480">
        <v>1</v>
      </c>
      <c r="H480" s="9">
        <v>0.05</v>
      </c>
      <c r="I480" t="s">
        <v>699</v>
      </c>
      <c r="J480">
        <v>4</v>
      </c>
      <c r="K480">
        <v>5</v>
      </c>
      <c r="L480" t="str">
        <f>VLOOKUP(D480,Products!A:E,2,FALSE)</f>
        <v>Webcam</v>
      </c>
      <c r="M480" t="str">
        <f>VLOOKUP(D480,Products!A:E,3,FALSE)</f>
        <v>Technology</v>
      </c>
      <c r="N480">
        <f>VLOOKUP(D480,Products!A:E,4,FALSE)</f>
        <v>115</v>
      </c>
      <c r="O480" s="13">
        <f>VLOOKUP(D480,Products!A:E,5,FALSE)</f>
        <v>58</v>
      </c>
      <c r="P480" s="13" t="str">
        <f>VLOOKUP(C480,Customers!A:C,3,FALSE)</f>
        <v>Small Business</v>
      </c>
      <c r="Q480" s="13">
        <f t="shared" si="28"/>
        <v>109.25</v>
      </c>
      <c r="R480" s="13">
        <f t="shared" si="29"/>
        <v>58</v>
      </c>
      <c r="S480" s="13">
        <f t="shared" si="30"/>
        <v>51.25</v>
      </c>
      <c r="T480" s="14">
        <f t="shared" si="31"/>
        <v>0.46910755148741418</v>
      </c>
    </row>
    <row r="481" spans="1:20">
      <c r="A481" t="s">
        <v>1185</v>
      </c>
      <c r="B481" s="8">
        <v>45796</v>
      </c>
      <c r="C481" t="s">
        <v>489</v>
      </c>
      <c r="D481" t="s">
        <v>74</v>
      </c>
      <c r="E481" t="s">
        <v>708</v>
      </c>
      <c r="F481" t="s">
        <v>702</v>
      </c>
      <c r="G481">
        <v>2</v>
      </c>
      <c r="H481" s="9">
        <v>0.15</v>
      </c>
      <c r="I481" t="s">
        <v>699</v>
      </c>
      <c r="J481">
        <v>5</v>
      </c>
      <c r="K481">
        <v>1</v>
      </c>
      <c r="L481" t="str">
        <f>VLOOKUP(D481,Products!A:E,2,FALSE)</f>
        <v>Printer Paper</v>
      </c>
      <c r="M481" t="str">
        <f>VLOOKUP(D481,Products!A:E,3,FALSE)</f>
        <v>Office Supplies</v>
      </c>
      <c r="N481">
        <f>VLOOKUP(D481,Products!A:E,4,FALSE)</f>
        <v>17</v>
      </c>
      <c r="O481" s="13">
        <f>VLOOKUP(D481,Products!A:E,5,FALSE)</f>
        <v>8</v>
      </c>
      <c r="P481" s="13" t="str">
        <f>VLOOKUP(C481,Customers!A:C,3,FALSE)</f>
        <v>Small Business</v>
      </c>
      <c r="Q481" s="13">
        <f t="shared" si="28"/>
        <v>28.9</v>
      </c>
      <c r="R481" s="13">
        <f t="shared" si="29"/>
        <v>16</v>
      </c>
      <c r="S481" s="13">
        <f t="shared" si="30"/>
        <v>12.899999999999999</v>
      </c>
      <c r="T481" s="14">
        <f t="shared" si="31"/>
        <v>0.44636678200692037</v>
      </c>
    </row>
    <row r="482" spans="1:20">
      <c r="A482" t="s">
        <v>1186</v>
      </c>
      <c r="B482" s="8">
        <v>45914</v>
      </c>
      <c r="C482" t="s">
        <v>417</v>
      </c>
      <c r="D482" t="s">
        <v>56</v>
      </c>
      <c r="E482" t="s">
        <v>701</v>
      </c>
      <c r="F482" t="s">
        <v>702</v>
      </c>
      <c r="G482">
        <v>1</v>
      </c>
      <c r="H482" s="9">
        <v>0</v>
      </c>
      <c r="I482" t="s">
        <v>699</v>
      </c>
      <c r="J482">
        <v>4</v>
      </c>
      <c r="K482">
        <v>4</v>
      </c>
      <c r="L482" t="str">
        <f>VLOOKUP(D482,Products!A:E,2,FALSE)</f>
        <v>Headset</v>
      </c>
      <c r="M482" t="str">
        <f>VLOOKUP(D482,Products!A:E,3,FALSE)</f>
        <v>Technology</v>
      </c>
      <c r="N482">
        <f>VLOOKUP(D482,Products!A:E,4,FALSE)</f>
        <v>98</v>
      </c>
      <c r="O482" s="13">
        <f>VLOOKUP(D482,Products!A:E,5,FALSE)</f>
        <v>46</v>
      </c>
      <c r="P482" s="13" t="str">
        <f>VLOOKUP(C482,Customers!A:C,3,FALSE)</f>
        <v>Consumer</v>
      </c>
      <c r="Q482" s="13">
        <f t="shared" si="28"/>
        <v>98</v>
      </c>
      <c r="R482" s="13">
        <f t="shared" si="29"/>
        <v>46</v>
      </c>
      <c r="S482" s="13">
        <f t="shared" si="30"/>
        <v>52</v>
      </c>
      <c r="T482" s="14">
        <f t="shared" si="31"/>
        <v>0.53061224489795922</v>
      </c>
    </row>
    <row r="483" spans="1:20">
      <c r="A483" t="s">
        <v>1187</v>
      </c>
      <c r="B483" s="8">
        <v>46181</v>
      </c>
      <c r="C483" t="s">
        <v>249</v>
      </c>
      <c r="D483" t="s">
        <v>72</v>
      </c>
      <c r="E483" t="s">
        <v>715</v>
      </c>
      <c r="F483" t="s">
        <v>702</v>
      </c>
      <c r="G483">
        <v>1</v>
      </c>
      <c r="H483" s="9">
        <v>0</v>
      </c>
      <c r="I483" t="s">
        <v>699</v>
      </c>
      <c r="J483">
        <v>5</v>
      </c>
      <c r="K483">
        <v>2</v>
      </c>
      <c r="L483" t="str">
        <f>VLOOKUP(D483,Products!A:E,2,FALSE)</f>
        <v>Phone Charger</v>
      </c>
      <c r="M483" t="str">
        <f>VLOOKUP(D483,Products!A:E,3,FALSE)</f>
        <v>Accessories</v>
      </c>
      <c r="N483">
        <f>VLOOKUP(D483,Products!A:E,4,FALSE)</f>
        <v>32</v>
      </c>
      <c r="O483" s="13">
        <f>VLOOKUP(D483,Products!A:E,5,FALSE)</f>
        <v>13</v>
      </c>
      <c r="P483" s="13" t="str">
        <f>VLOOKUP(C483,Customers!A:C,3,FALSE)</f>
        <v>Consumer</v>
      </c>
      <c r="Q483" s="13">
        <f t="shared" si="28"/>
        <v>32</v>
      </c>
      <c r="R483" s="13">
        <f t="shared" si="29"/>
        <v>13</v>
      </c>
      <c r="S483" s="13">
        <f t="shared" si="30"/>
        <v>19</v>
      </c>
      <c r="T483" s="14">
        <f t="shared" si="31"/>
        <v>0.59375</v>
      </c>
    </row>
    <row r="484" spans="1:20">
      <c r="A484" t="s">
        <v>1188</v>
      </c>
      <c r="B484" s="8">
        <v>45806</v>
      </c>
      <c r="C484" t="s">
        <v>269</v>
      </c>
      <c r="D484" t="s">
        <v>48</v>
      </c>
      <c r="E484" t="s">
        <v>708</v>
      </c>
      <c r="F484" t="s">
        <v>702</v>
      </c>
      <c r="G484">
        <v>4</v>
      </c>
      <c r="H484" s="9">
        <v>0</v>
      </c>
      <c r="I484" t="s">
        <v>699</v>
      </c>
      <c r="J484">
        <v>3</v>
      </c>
      <c r="K484">
        <v>2</v>
      </c>
      <c r="L484" t="str">
        <f>VLOOKUP(D484,Products!A:E,2,FALSE)</f>
        <v>Monitor</v>
      </c>
      <c r="M484" t="str">
        <f>VLOOKUP(D484,Products!A:E,3,FALSE)</f>
        <v>Technology</v>
      </c>
      <c r="N484">
        <f>VLOOKUP(D484,Products!A:E,4,FALSE)</f>
        <v>310</v>
      </c>
      <c r="O484" s="13">
        <f>VLOOKUP(D484,Products!A:E,5,FALSE)</f>
        <v>190</v>
      </c>
      <c r="P484" s="13" t="str">
        <f>VLOOKUP(C484,Customers!A:C,3,FALSE)</f>
        <v>Corporate</v>
      </c>
      <c r="Q484" s="13">
        <f t="shared" si="28"/>
        <v>1240</v>
      </c>
      <c r="R484" s="13">
        <f t="shared" si="29"/>
        <v>760</v>
      </c>
      <c r="S484" s="13">
        <f t="shared" si="30"/>
        <v>480</v>
      </c>
      <c r="T484" s="14">
        <f t="shared" si="31"/>
        <v>0.38709677419354838</v>
      </c>
    </row>
    <row r="485" spans="1:20">
      <c r="A485" t="s">
        <v>1189</v>
      </c>
      <c r="B485" s="8">
        <v>45865</v>
      </c>
      <c r="C485" t="s">
        <v>87</v>
      </c>
      <c r="D485" t="s">
        <v>63</v>
      </c>
      <c r="E485" t="s">
        <v>705</v>
      </c>
      <c r="F485" t="s">
        <v>698</v>
      </c>
      <c r="G485">
        <v>2</v>
      </c>
      <c r="H485" s="9">
        <v>0.1</v>
      </c>
      <c r="I485" t="s">
        <v>699</v>
      </c>
      <c r="J485">
        <v>4</v>
      </c>
      <c r="K485">
        <v>2</v>
      </c>
      <c r="L485" t="str">
        <f>VLOOKUP(D485,Products!A:E,2,FALSE)</f>
        <v>Bookshelf</v>
      </c>
      <c r="M485" t="str">
        <f>VLOOKUP(D485,Products!A:E,3,FALSE)</f>
        <v>Furniture</v>
      </c>
      <c r="N485">
        <f>VLOOKUP(D485,Products!A:E,4,FALSE)</f>
        <v>185</v>
      </c>
      <c r="O485" s="13">
        <f>VLOOKUP(D485,Products!A:E,5,FALSE)</f>
        <v>105</v>
      </c>
      <c r="P485" s="13" t="str">
        <f>VLOOKUP(C485,Customers!A:C,3,FALSE)</f>
        <v>Consumer</v>
      </c>
      <c r="Q485" s="13">
        <f t="shared" si="28"/>
        <v>333</v>
      </c>
      <c r="R485" s="13">
        <f t="shared" si="29"/>
        <v>210</v>
      </c>
      <c r="S485" s="13">
        <f t="shared" si="30"/>
        <v>123</v>
      </c>
      <c r="T485" s="14">
        <f t="shared" si="31"/>
        <v>0.36936936936936937</v>
      </c>
    </row>
    <row r="486" spans="1:20">
      <c r="A486" t="s">
        <v>1190</v>
      </c>
      <c r="B486" s="8">
        <v>46260</v>
      </c>
      <c r="C486" t="s">
        <v>573</v>
      </c>
      <c r="D486" t="s">
        <v>77</v>
      </c>
      <c r="E486" t="s">
        <v>708</v>
      </c>
      <c r="F486" t="s">
        <v>702</v>
      </c>
      <c r="G486">
        <v>3</v>
      </c>
      <c r="H486" s="9">
        <v>0</v>
      </c>
      <c r="I486" t="s">
        <v>699</v>
      </c>
      <c r="J486">
        <v>5</v>
      </c>
      <c r="K486">
        <v>5</v>
      </c>
      <c r="L486" t="str">
        <f>VLOOKUP(D486,Products!A:E,2,FALSE)</f>
        <v>File Folder Pack</v>
      </c>
      <c r="M486" t="str">
        <f>VLOOKUP(D486,Products!A:E,3,FALSE)</f>
        <v>Office Supplies</v>
      </c>
      <c r="N486">
        <f>VLOOKUP(D486,Products!A:E,4,FALSE)</f>
        <v>23</v>
      </c>
      <c r="O486" s="13">
        <f>VLOOKUP(D486,Products!A:E,5,FALSE)</f>
        <v>10</v>
      </c>
      <c r="P486" s="13" t="str">
        <f>VLOOKUP(C486,Customers!A:C,3,FALSE)</f>
        <v>Small Business</v>
      </c>
      <c r="Q486" s="13">
        <f t="shared" si="28"/>
        <v>69</v>
      </c>
      <c r="R486" s="13">
        <f t="shared" si="29"/>
        <v>30</v>
      </c>
      <c r="S486" s="13">
        <f t="shared" si="30"/>
        <v>39</v>
      </c>
      <c r="T486" s="14">
        <f t="shared" si="31"/>
        <v>0.56521739130434778</v>
      </c>
    </row>
    <row r="487" spans="1:20">
      <c r="A487" t="s">
        <v>1191</v>
      </c>
      <c r="B487" s="8">
        <v>45870</v>
      </c>
      <c r="C487" t="s">
        <v>137</v>
      </c>
      <c r="D487" t="s">
        <v>56</v>
      </c>
      <c r="E487" t="s">
        <v>705</v>
      </c>
      <c r="F487" t="s">
        <v>698</v>
      </c>
      <c r="G487">
        <v>1</v>
      </c>
      <c r="H487" s="9">
        <v>0.15</v>
      </c>
      <c r="I487" t="s">
        <v>699</v>
      </c>
      <c r="J487">
        <v>5</v>
      </c>
      <c r="K487">
        <v>3</v>
      </c>
      <c r="L487" t="str">
        <f>VLOOKUP(D487,Products!A:E,2,FALSE)</f>
        <v>Headset</v>
      </c>
      <c r="M487" t="str">
        <f>VLOOKUP(D487,Products!A:E,3,FALSE)</f>
        <v>Technology</v>
      </c>
      <c r="N487">
        <f>VLOOKUP(D487,Products!A:E,4,FALSE)</f>
        <v>98</v>
      </c>
      <c r="O487" s="13">
        <f>VLOOKUP(D487,Products!A:E,5,FALSE)</f>
        <v>46</v>
      </c>
      <c r="P487" s="13" t="str">
        <f>VLOOKUP(C487,Customers!A:C,3,FALSE)</f>
        <v>Consumer</v>
      </c>
      <c r="Q487" s="13">
        <f t="shared" si="28"/>
        <v>83.3</v>
      </c>
      <c r="R487" s="13">
        <f t="shared" si="29"/>
        <v>46</v>
      </c>
      <c r="S487" s="13">
        <f t="shared" si="30"/>
        <v>37.299999999999997</v>
      </c>
      <c r="T487" s="14">
        <f t="shared" si="31"/>
        <v>0.44777911164465783</v>
      </c>
    </row>
    <row r="488" spans="1:20">
      <c r="A488" t="s">
        <v>1192</v>
      </c>
      <c r="B488" s="8">
        <v>45997</v>
      </c>
      <c r="C488" t="s">
        <v>175</v>
      </c>
      <c r="D488" t="s">
        <v>48</v>
      </c>
      <c r="E488" t="s">
        <v>705</v>
      </c>
      <c r="F488" t="s">
        <v>706</v>
      </c>
      <c r="G488">
        <v>1</v>
      </c>
      <c r="H488" s="9">
        <v>0</v>
      </c>
      <c r="I488" t="s">
        <v>699</v>
      </c>
      <c r="J488">
        <v>5</v>
      </c>
      <c r="K488">
        <v>5</v>
      </c>
      <c r="L488" t="str">
        <f>VLOOKUP(D488,Products!A:E,2,FALSE)</f>
        <v>Monitor</v>
      </c>
      <c r="M488" t="str">
        <f>VLOOKUP(D488,Products!A:E,3,FALSE)</f>
        <v>Technology</v>
      </c>
      <c r="N488">
        <f>VLOOKUP(D488,Products!A:E,4,FALSE)</f>
        <v>310</v>
      </c>
      <c r="O488" s="13">
        <f>VLOOKUP(D488,Products!A:E,5,FALSE)</f>
        <v>190</v>
      </c>
      <c r="P488" s="13" t="str">
        <f>VLOOKUP(C488,Customers!A:C,3,FALSE)</f>
        <v>Consumer</v>
      </c>
      <c r="Q488" s="13">
        <f t="shared" si="28"/>
        <v>310</v>
      </c>
      <c r="R488" s="13">
        <f t="shared" si="29"/>
        <v>190</v>
      </c>
      <c r="S488" s="13">
        <f t="shared" si="30"/>
        <v>120</v>
      </c>
      <c r="T488" s="14">
        <f t="shared" si="31"/>
        <v>0.38709677419354838</v>
      </c>
    </row>
    <row r="489" spans="1:20">
      <c r="A489" t="s">
        <v>1193</v>
      </c>
      <c r="B489" s="8">
        <v>46233</v>
      </c>
      <c r="C489" t="s">
        <v>267</v>
      </c>
      <c r="D489" t="s">
        <v>77</v>
      </c>
      <c r="E489" t="s">
        <v>701</v>
      </c>
      <c r="F489" t="s">
        <v>702</v>
      </c>
      <c r="G489">
        <v>1</v>
      </c>
      <c r="H489" s="9">
        <v>0.1</v>
      </c>
      <c r="I489" t="s">
        <v>699</v>
      </c>
      <c r="J489">
        <v>5</v>
      </c>
      <c r="K489">
        <v>1</v>
      </c>
      <c r="L489" t="str">
        <f>VLOOKUP(D489,Products!A:E,2,FALSE)</f>
        <v>File Folder Pack</v>
      </c>
      <c r="M489" t="str">
        <f>VLOOKUP(D489,Products!A:E,3,FALSE)</f>
        <v>Office Supplies</v>
      </c>
      <c r="N489">
        <f>VLOOKUP(D489,Products!A:E,4,FALSE)</f>
        <v>23</v>
      </c>
      <c r="O489" s="13">
        <f>VLOOKUP(D489,Products!A:E,5,FALSE)</f>
        <v>10</v>
      </c>
      <c r="P489" s="13" t="str">
        <f>VLOOKUP(C489,Customers!A:C,3,FALSE)</f>
        <v>Consumer</v>
      </c>
      <c r="Q489" s="13">
        <f t="shared" si="28"/>
        <v>20.7</v>
      </c>
      <c r="R489" s="13">
        <f t="shared" si="29"/>
        <v>10</v>
      </c>
      <c r="S489" s="13">
        <f t="shared" si="30"/>
        <v>10.7</v>
      </c>
      <c r="T489" s="14">
        <f t="shared" si="31"/>
        <v>0.51690821256038644</v>
      </c>
    </row>
    <row r="490" spans="1:20">
      <c r="A490" t="s">
        <v>1194</v>
      </c>
      <c r="B490" s="8">
        <v>46095</v>
      </c>
      <c r="C490" t="s">
        <v>649</v>
      </c>
      <c r="D490" t="s">
        <v>50</v>
      </c>
      <c r="E490" t="s">
        <v>708</v>
      </c>
      <c r="F490" t="s">
        <v>702</v>
      </c>
      <c r="G490">
        <v>3</v>
      </c>
      <c r="H490" s="9">
        <v>0</v>
      </c>
      <c r="I490" t="s">
        <v>699</v>
      </c>
      <c r="J490">
        <v>4</v>
      </c>
      <c r="K490">
        <v>2</v>
      </c>
      <c r="L490" t="str">
        <f>VLOOKUP(D490,Products!A:E,2,FALSE)</f>
        <v>Keyboard</v>
      </c>
      <c r="M490" t="str">
        <f>VLOOKUP(D490,Products!A:E,3,FALSE)</f>
        <v>Technology</v>
      </c>
      <c r="N490">
        <f>VLOOKUP(D490,Products!A:E,4,FALSE)</f>
        <v>75</v>
      </c>
      <c r="O490" s="13">
        <f>VLOOKUP(D490,Products!A:E,5,FALSE)</f>
        <v>38</v>
      </c>
      <c r="P490" s="13" t="str">
        <f>VLOOKUP(C490,Customers!A:C,3,FALSE)</f>
        <v>Consumer</v>
      </c>
      <c r="Q490" s="13">
        <f t="shared" si="28"/>
        <v>225</v>
      </c>
      <c r="R490" s="13">
        <f t="shared" si="29"/>
        <v>114</v>
      </c>
      <c r="S490" s="13">
        <f t="shared" si="30"/>
        <v>111</v>
      </c>
      <c r="T490" s="14">
        <f t="shared" si="31"/>
        <v>0.49333333333333335</v>
      </c>
    </row>
    <row r="491" spans="1:20">
      <c r="A491" t="s">
        <v>1195</v>
      </c>
      <c r="B491" s="8">
        <v>45717</v>
      </c>
      <c r="C491" t="s">
        <v>197</v>
      </c>
      <c r="D491" t="s">
        <v>50</v>
      </c>
      <c r="E491" t="s">
        <v>715</v>
      </c>
      <c r="F491" t="s">
        <v>698</v>
      </c>
      <c r="G491">
        <v>6</v>
      </c>
      <c r="H491" s="9">
        <v>0.2</v>
      </c>
      <c r="I491" t="s">
        <v>699</v>
      </c>
      <c r="J491">
        <v>4</v>
      </c>
      <c r="K491">
        <v>3</v>
      </c>
      <c r="L491" t="str">
        <f>VLOOKUP(D491,Products!A:E,2,FALSE)</f>
        <v>Keyboard</v>
      </c>
      <c r="M491" t="str">
        <f>VLOOKUP(D491,Products!A:E,3,FALSE)</f>
        <v>Technology</v>
      </c>
      <c r="N491">
        <f>VLOOKUP(D491,Products!A:E,4,FALSE)</f>
        <v>75</v>
      </c>
      <c r="O491" s="13">
        <f>VLOOKUP(D491,Products!A:E,5,FALSE)</f>
        <v>38</v>
      </c>
      <c r="P491" s="13" t="str">
        <f>VLOOKUP(C491,Customers!A:C,3,FALSE)</f>
        <v>Corporate</v>
      </c>
      <c r="Q491" s="13">
        <f t="shared" si="28"/>
        <v>360</v>
      </c>
      <c r="R491" s="13">
        <f t="shared" si="29"/>
        <v>228</v>
      </c>
      <c r="S491" s="13">
        <f t="shared" si="30"/>
        <v>132</v>
      </c>
      <c r="T491" s="14">
        <f t="shared" si="31"/>
        <v>0.36666666666666664</v>
      </c>
    </row>
    <row r="492" spans="1:20">
      <c r="A492" t="s">
        <v>1196</v>
      </c>
      <c r="B492" s="8">
        <v>45923</v>
      </c>
      <c r="C492" t="s">
        <v>625</v>
      </c>
      <c r="D492" t="s">
        <v>70</v>
      </c>
      <c r="E492" t="s">
        <v>697</v>
      </c>
      <c r="F492" t="s">
        <v>698</v>
      </c>
      <c r="G492">
        <v>2</v>
      </c>
      <c r="H492" s="9">
        <v>0.1</v>
      </c>
      <c r="I492" t="s">
        <v>699</v>
      </c>
      <c r="J492">
        <v>5</v>
      </c>
      <c r="K492">
        <v>5</v>
      </c>
      <c r="L492" t="str">
        <f>VLOOKUP(D492,Products!A:E,2,FALSE)</f>
        <v>USB-C Hub</v>
      </c>
      <c r="M492" t="str">
        <f>VLOOKUP(D492,Products!A:E,3,FALSE)</f>
        <v>Accessories</v>
      </c>
      <c r="N492">
        <f>VLOOKUP(D492,Products!A:E,4,FALSE)</f>
        <v>68</v>
      </c>
      <c r="O492" s="13">
        <f>VLOOKUP(D492,Products!A:E,5,FALSE)</f>
        <v>31</v>
      </c>
      <c r="P492" s="13" t="str">
        <f>VLOOKUP(C492,Customers!A:C,3,FALSE)</f>
        <v>Consumer</v>
      </c>
      <c r="Q492" s="13">
        <f t="shared" si="28"/>
        <v>122.4</v>
      </c>
      <c r="R492" s="13">
        <f t="shared" si="29"/>
        <v>62</v>
      </c>
      <c r="S492" s="13">
        <f t="shared" si="30"/>
        <v>60.400000000000006</v>
      </c>
      <c r="T492" s="14">
        <f t="shared" si="31"/>
        <v>0.49346405228758172</v>
      </c>
    </row>
    <row r="493" spans="1:20">
      <c r="A493" t="s">
        <v>1197</v>
      </c>
      <c r="B493" s="8">
        <v>45896</v>
      </c>
      <c r="C493" t="s">
        <v>383</v>
      </c>
      <c r="D493" t="s">
        <v>58</v>
      </c>
      <c r="E493" t="s">
        <v>705</v>
      </c>
      <c r="F493" t="s">
        <v>702</v>
      </c>
      <c r="G493">
        <v>3</v>
      </c>
      <c r="H493" s="9">
        <v>0</v>
      </c>
      <c r="I493" t="s">
        <v>699</v>
      </c>
      <c r="J493">
        <v>5</v>
      </c>
      <c r="K493">
        <v>4</v>
      </c>
      <c r="L493" t="str">
        <f>VLOOKUP(D493,Products!A:E,2,FALSE)</f>
        <v>Standing Desk</v>
      </c>
      <c r="M493" t="str">
        <f>VLOOKUP(D493,Products!A:E,3,FALSE)</f>
        <v>Furniture</v>
      </c>
      <c r="N493">
        <f>VLOOKUP(D493,Products!A:E,4,FALSE)</f>
        <v>540</v>
      </c>
      <c r="O493" s="13">
        <f>VLOOKUP(D493,Products!A:E,5,FALSE)</f>
        <v>320</v>
      </c>
      <c r="P493" s="13" t="str">
        <f>VLOOKUP(C493,Customers!A:C,3,FALSE)</f>
        <v>Consumer</v>
      </c>
      <c r="Q493" s="13">
        <f t="shared" si="28"/>
        <v>1620</v>
      </c>
      <c r="R493" s="13">
        <f t="shared" si="29"/>
        <v>960</v>
      </c>
      <c r="S493" s="13">
        <f t="shared" si="30"/>
        <v>660</v>
      </c>
      <c r="T493" s="14">
        <f t="shared" si="31"/>
        <v>0.40740740740740738</v>
      </c>
    </row>
    <row r="494" spans="1:20">
      <c r="A494" t="s">
        <v>1198</v>
      </c>
      <c r="B494" s="8">
        <v>46081</v>
      </c>
      <c r="C494" t="s">
        <v>133</v>
      </c>
      <c r="D494" t="s">
        <v>68</v>
      </c>
      <c r="E494" t="s">
        <v>708</v>
      </c>
      <c r="F494" t="s">
        <v>698</v>
      </c>
      <c r="G494">
        <v>1</v>
      </c>
      <c r="H494" s="9">
        <v>0.05</v>
      </c>
      <c r="I494" t="s">
        <v>699</v>
      </c>
      <c r="J494">
        <v>4</v>
      </c>
      <c r="K494">
        <v>1</v>
      </c>
      <c r="L494" t="str">
        <f>VLOOKUP(D494,Products!A:E,2,FALSE)</f>
        <v>Backpack</v>
      </c>
      <c r="M494" t="str">
        <f>VLOOKUP(D494,Products!A:E,3,FALSE)</f>
        <v>Accessories</v>
      </c>
      <c r="N494">
        <f>VLOOKUP(D494,Products!A:E,4,FALSE)</f>
        <v>85</v>
      </c>
      <c r="O494" s="13">
        <f>VLOOKUP(D494,Products!A:E,5,FALSE)</f>
        <v>39</v>
      </c>
      <c r="P494" s="13" t="str">
        <f>VLOOKUP(C494,Customers!A:C,3,FALSE)</f>
        <v>Consumer</v>
      </c>
      <c r="Q494" s="13">
        <f t="shared" si="28"/>
        <v>80.75</v>
      </c>
      <c r="R494" s="13">
        <f t="shared" si="29"/>
        <v>39</v>
      </c>
      <c r="S494" s="13">
        <f t="shared" si="30"/>
        <v>41.75</v>
      </c>
      <c r="T494" s="14">
        <f t="shared" si="31"/>
        <v>0.51702786377708976</v>
      </c>
    </row>
    <row r="495" spans="1:20">
      <c r="A495" t="s">
        <v>1199</v>
      </c>
      <c r="B495" s="8">
        <v>45973</v>
      </c>
      <c r="C495" t="s">
        <v>393</v>
      </c>
      <c r="D495" t="s">
        <v>68</v>
      </c>
      <c r="E495" t="s">
        <v>701</v>
      </c>
      <c r="F495" t="s">
        <v>702</v>
      </c>
      <c r="G495">
        <v>2</v>
      </c>
      <c r="H495" s="9">
        <v>0</v>
      </c>
      <c r="I495" t="s">
        <v>699</v>
      </c>
      <c r="J495">
        <v>5</v>
      </c>
      <c r="K495">
        <v>2</v>
      </c>
      <c r="L495" t="str">
        <f>VLOOKUP(D495,Products!A:E,2,FALSE)</f>
        <v>Backpack</v>
      </c>
      <c r="M495" t="str">
        <f>VLOOKUP(D495,Products!A:E,3,FALSE)</f>
        <v>Accessories</v>
      </c>
      <c r="N495">
        <f>VLOOKUP(D495,Products!A:E,4,FALSE)</f>
        <v>85</v>
      </c>
      <c r="O495" s="13">
        <f>VLOOKUP(D495,Products!A:E,5,FALSE)</f>
        <v>39</v>
      </c>
      <c r="P495" s="13" t="str">
        <f>VLOOKUP(C495,Customers!A:C,3,FALSE)</f>
        <v>Corporate</v>
      </c>
      <c r="Q495" s="13">
        <f t="shared" si="28"/>
        <v>170</v>
      </c>
      <c r="R495" s="13">
        <f t="shared" si="29"/>
        <v>78</v>
      </c>
      <c r="S495" s="13">
        <f t="shared" si="30"/>
        <v>92</v>
      </c>
      <c r="T495" s="14">
        <f t="shared" si="31"/>
        <v>0.54117647058823526</v>
      </c>
    </row>
    <row r="496" spans="1:20">
      <c r="A496" t="s">
        <v>1200</v>
      </c>
      <c r="B496" s="8">
        <v>45856</v>
      </c>
      <c r="C496" t="s">
        <v>425</v>
      </c>
      <c r="D496" t="s">
        <v>68</v>
      </c>
      <c r="E496" t="s">
        <v>697</v>
      </c>
      <c r="F496" t="s">
        <v>702</v>
      </c>
      <c r="G496">
        <v>2</v>
      </c>
      <c r="H496" s="9">
        <v>0</v>
      </c>
      <c r="I496" t="s">
        <v>699</v>
      </c>
      <c r="J496">
        <v>3</v>
      </c>
      <c r="K496">
        <v>4</v>
      </c>
      <c r="L496" t="str">
        <f>VLOOKUP(D496,Products!A:E,2,FALSE)</f>
        <v>Backpack</v>
      </c>
      <c r="M496" t="str">
        <f>VLOOKUP(D496,Products!A:E,3,FALSE)</f>
        <v>Accessories</v>
      </c>
      <c r="N496">
        <f>VLOOKUP(D496,Products!A:E,4,FALSE)</f>
        <v>85</v>
      </c>
      <c r="O496" s="13">
        <f>VLOOKUP(D496,Products!A:E,5,FALSE)</f>
        <v>39</v>
      </c>
      <c r="P496" s="13" t="str">
        <f>VLOOKUP(C496,Customers!A:C,3,FALSE)</f>
        <v>Consumer</v>
      </c>
      <c r="Q496" s="13">
        <f t="shared" si="28"/>
        <v>170</v>
      </c>
      <c r="R496" s="13">
        <f t="shared" si="29"/>
        <v>78</v>
      </c>
      <c r="S496" s="13">
        <f t="shared" si="30"/>
        <v>92</v>
      </c>
      <c r="T496" s="14">
        <f t="shared" si="31"/>
        <v>0.54117647058823526</v>
      </c>
    </row>
    <row r="497" spans="1:20">
      <c r="A497" t="s">
        <v>1201</v>
      </c>
      <c r="B497" s="8">
        <v>46207</v>
      </c>
      <c r="C497" t="s">
        <v>429</v>
      </c>
      <c r="D497" t="s">
        <v>77</v>
      </c>
      <c r="E497" t="s">
        <v>697</v>
      </c>
      <c r="F497" t="s">
        <v>702</v>
      </c>
      <c r="G497">
        <v>4</v>
      </c>
      <c r="H497" s="9">
        <v>0.15</v>
      </c>
      <c r="I497" t="s">
        <v>699</v>
      </c>
      <c r="J497">
        <v>5</v>
      </c>
      <c r="K497">
        <v>3</v>
      </c>
      <c r="L497" t="str">
        <f>VLOOKUP(D497,Products!A:E,2,FALSE)</f>
        <v>File Folder Pack</v>
      </c>
      <c r="M497" t="str">
        <f>VLOOKUP(D497,Products!A:E,3,FALSE)</f>
        <v>Office Supplies</v>
      </c>
      <c r="N497">
        <f>VLOOKUP(D497,Products!A:E,4,FALSE)</f>
        <v>23</v>
      </c>
      <c r="O497" s="13">
        <f>VLOOKUP(D497,Products!A:E,5,FALSE)</f>
        <v>10</v>
      </c>
      <c r="P497" s="13" t="str">
        <f>VLOOKUP(C497,Customers!A:C,3,FALSE)</f>
        <v>Corporate</v>
      </c>
      <c r="Q497" s="13">
        <f t="shared" si="28"/>
        <v>78.2</v>
      </c>
      <c r="R497" s="13">
        <f t="shared" si="29"/>
        <v>40</v>
      </c>
      <c r="S497" s="13">
        <f t="shared" si="30"/>
        <v>38.200000000000003</v>
      </c>
      <c r="T497" s="14">
        <f t="shared" si="31"/>
        <v>0.48849104859335041</v>
      </c>
    </row>
    <row r="498" spans="1:20">
      <c r="A498" t="s">
        <v>1202</v>
      </c>
      <c r="B498" s="8">
        <v>46226</v>
      </c>
      <c r="C498" t="s">
        <v>635</v>
      </c>
      <c r="D498" t="s">
        <v>45</v>
      </c>
      <c r="E498" t="s">
        <v>705</v>
      </c>
      <c r="F498" t="s">
        <v>698</v>
      </c>
      <c r="G498">
        <v>4</v>
      </c>
      <c r="H498" s="9">
        <v>0.15</v>
      </c>
      <c r="I498" t="s">
        <v>699</v>
      </c>
      <c r="J498">
        <v>5</v>
      </c>
      <c r="K498">
        <v>3</v>
      </c>
      <c r="L498" t="str">
        <f>VLOOKUP(D498,Products!A:E,2,FALSE)</f>
        <v>Laptop</v>
      </c>
      <c r="M498" t="str">
        <f>VLOOKUP(D498,Products!A:E,3,FALSE)</f>
        <v>Technology</v>
      </c>
      <c r="N498">
        <f>VLOOKUP(D498,Products!A:E,4,FALSE)</f>
        <v>1100</v>
      </c>
      <c r="O498" s="13">
        <f>VLOOKUP(D498,Products!A:E,5,FALSE)</f>
        <v>720</v>
      </c>
      <c r="P498" s="13" t="str">
        <f>VLOOKUP(C498,Customers!A:C,3,FALSE)</f>
        <v>Consumer</v>
      </c>
      <c r="Q498" s="13">
        <f t="shared" si="28"/>
        <v>3740</v>
      </c>
      <c r="R498" s="13">
        <f t="shared" si="29"/>
        <v>2880</v>
      </c>
      <c r="S498" s="13">
        <f t="shared" si="30"/>
        <v>860</v>
      </c>
      <c r="T498" s="14">
        <f t="shared" si="31"/>
        <v>0.22994652406417113</v>
      </c>
    </row>
    <row r="499" spans="1:20">
      <c r="A499" t="s">
        <v>1203</v>
      </c>
      <c r="B499" s="8">
        <v>45689</v>
      </c>
      <c r="C499" t="s">
        <v>433</v>
      </c>
      <c r="D499" t="s">
        <v>72</v>
      </c>
      <c r="E499" t="s">
        <v>701</v>
      </c>
      <c r="F499" t="s">
        <v>706</v>
      </c>
      <c r="G499">
        <v>3</v>
      </c>
      <c r="H499" s="9">
        <v>0</v>
      </c>
      <c r="I499" t="s">
        <v>699</v>
      </c>
      <c r="J499">
        <v>5</v>
      </c>
      <c r="K499">
        <v>3</v>
      </c>
      <c r="L499" t="str">
        <f>VLOOKUP(D499,Products!A:E,2,FALSE)</f>
        <v>Phone Charger</v>
      </c>
      <c r="M499" t="str">
        <f>VLOOKUP(D499,Products!A:E,3,FALSE)</f>
        <v>Accessories</v>
      </c>
      <c r="N499">
        <f>VLOOKUP(D499,Products!A:E,4,FALSE)</f>
        <v>32</v>
      </c>
      <c r="O499" s="13">
        <f>VLOOKUP(D499,Products!A:E,5,FALSE)</f>
        <v>13</v>
      </c>
      <c r="P499" s="13" t="str">
        <f>VLOOKUP(C499,Customers!A:C,3,FALSE)</f>
        <v>Corporate</v>
      </c>
      <c r="Q499" s="13">
        <f t="shared" si="28"/>
        <v>96</v>
      </c>
      <c r="R499" s="13">
        <f t="shared" si="29"/>
        <v>39</v>
      </c>
      <c r="S499" s="13">
        <f t="shared" si="30"/>
        <v>57</v>
      </c>
      <c r="T499" s="14">
        <f t="shared" si="31"/>
        <v>0.59375</v>
      </c>
    </row>
    <row r="500" spans="1:20">
      <c r="A500" t="s">
        <v>1204</v>
      </c>
      <c r="B500" s="8">
        <v>45980</v>
      </c>
      <c r="C500" t="s">
        <v>119</v>
      </c>
      <c r="D500" t="s">
        <v>63</v>
      </c>
      <c r="E500" t="s">
        <v>708</v>
      </c>
      <c r="F500" t="s">
        <v>698</v>
      </c>
      <c r="G500">
        <v>1</v>
      </c>
      <c r="H500" s="9">
        <v>0</v>
      </c>
      <c r="I500" t="s">
        <v>703</v>
      </c>
      <c r="J500">
        <v>3</v>
      </c>
      <c r="K500">
        <v>5</v>
      </c>
      <c r="L500" t="str">
        <f>VLOOKUP(D500,Products!A:E,2,FALSE)</f>
        <v>Bookshelf</v>
      </c>
      <c r="M500" t="str">
        <f>VLOOKUP(D500,Products!A:E,3,FALSE)</f>
        <v>Furniture</v>
      </c>
      <c r="N500">
        <f>VLOOKUP(D500,Products!A:E,4,FALSE)</f>
        <v>185</v>
      </c>
      <c r="O500" s="13">
        <f>VLOOKUP(D500,Products!A:E,5,FALSE)</f>
        <v>105</v>
      </c>
      <c r="P500" s="13" t="str">
        <f>VLOOKUP(C500,Customers!A:C,3,FALSE)</f>
        <v>Consumer</v>
      </c>
      <c r="Q500" s="13">
        <f t="shared" si="28"/>
        <v>185</v>
      </c>
      <c r="R500" s="13">
        <f t="shared" si="29"/>
        <v>105</v>
      </c>
      <c r="S500" s="13">
        <f t="shared" si="30"/>
        <v>80</v>
      </c>
      <c r="T500" s="14">
        <f t="shared" si="31"/>
        <v>0.43243243243243246</v>
      </c>
    </row>
    <row r="501" spans="1:20">
      <c r="A501" t="s">
        <v>1205</v>
      </c>
      <c r="B501" s="8">
        <v>45772</v>
      </c>
      <c r="C501" t="s">
        <v>469</v>
      </c>
      <c r="D501" t="s">
        <v>48</v>
      </c>
      <c r="E501" t="s">
        <v>697</v>
      </c>
      <c r="F501" t="s">
        <v>706</v>
      </c>
      <c r="G501">
        <v>2</v>
      </c>
      <c r="H501" s="9">
        <v>0</v>
      </c>
      <c r="I501" t="s">
        <v>699</v>
      </c>
      <c r="J501">
        <v>4</v>
      </c>
      <c r="K501">
        <v>2</v>
      </c>
      <c r="L501" t="str">
        <f>VLOOKUP(D501,Products!A:E,2,FALSE)</f>
        <v>Monitor</v>
      </c>
      <c r="M501" t="str">
        <f>VLOOKUP(D501,Products!A:E,3,FALSE)</f>
        <v>Technology</v>
      </c>
      <c r="N501">
        <f>VLOOKUP(D501,Products!A:E,4,FALSE)</f>
        <v>310</v>
      </c>
      <c r="O501" s="13">
        <f>VLOOKUP(D501,Products!A:E,5,FALSE)</f>
        <v>190</v>
      </c>
      <c r="P501" s="13" t="str">
        <f>VLOOKUP(C501,Customers!A:C,3,FALSE)</f>
        <v>Consumer</v>
      </c>
      <c r="Q501" s="13">
        <f t="shared" si="28"/>
        <v>620</v>
      </c>
      <c r="R501" s="13">
        <f t="shared" si="29"/>
        <v>380</v>
      </c>
      <c r="S501" s="13">
        <f t="shared" si="30"/>
        <v>240</v>
      </c>
      <c r="T501" s="14">
        <f t="shared" si="31"/>
        <v>0.38709677419354838</v>
      </c>
    </row>
    <row r="502" spans="1:20">
      <c r="A502" t="s">
        <v>1206</v>
      </c>
      <c r="B502" s="8">
        <v>46006</v>
      </c>
      <c r="C502" t="s">
        <v>581</v>
      </c>
      <c r="D502" t="s">
        <v>65</v>
      </c>
      <c r="E502" t="s">
        <v>697</v>
      </c>
      <c r="F502" t="s">
        <v>702</v>
      </c>
      <c r="G502">
        <v>5</v>
      </c>
      <c r="H502" s="9">
        <v>0.1</v>
      </c>
      <c r="I502" t="s">
        <v>703</v>
      </c>
      <c r="J502">
        <v>5</v>
      </c>
      <c r="K502">
        <v>4</v>
      </c>
      <c r="L502" t="str">
        <f>VLOOKUP(D502,Products!A:E,2,FALSE)</f>
        <v>Laptop Stand</v>
      </c>
      <c r="M502" t="str">
        <f>VLOOKUP(D502,Products!A:E,3,FALSE)</f>
        <v>Accessories</v>
      </c>
      <c r="N502">
        <f>VLOOKUP(D502,Products!A:E,4,FALSE)</f>
        <v>48</v>
      </c>
      <c r="O502" s="13">
        <f>VLOOKUP(D502,Products!A:E,5,FALSE)</f>
        <v>22</v>
      </c>
      <c r="P502" s="13" t="str">
        <f>VLOOKUP(C502,Customers!A:C,3,FALSE)</f>
        <v>Consumer</v>
      </c>
      <c r="Q502" s="13">
        <f t="shared" si="28"/>
        <v>216</v>
      </c>
      <c r="R502" s="13">
        <f t="shared" si="29"/>
        <v>110</v>
      </c>
      <c r="S502" s="13">
        <f t="shared" si="30"/>
        <v>106</v>
      </c>
      <c r="T502" s="14">
        <f t="shared" si="31"/>
        <v>0.49074074074074076</v>
      </c>
    </row>
    <row r="503" spans="1:20">
      <c r="A503" t="s">
        <v>1207</v>
      </c>
      <c r="B503" s="8">
        <v>45695</v>
      </c>
      <c r="C503" t="s">
        <v>557</v>
      </c>
      <c r="D503" t="s">
        <v>72</v>
      </c>
      <c r="E503" t="s">
        <v>701</v>
      </c>
      <c r="F503" t="s">
        <v>698</v>
      </c>
      <c r="G503">
        <v>1</v>
      </c>
      <c r="H503" s="9">
        <v>0.15</v>
      </c>
      <c r="I503" t="s">
        <v>699</v>
      </c>
      <c r="J503">
        <v>4</v>
      </c>
      <c r="K503">
        <v>1</v>
      </c>
      <c r="L503" t="str">
        <f>VLOOKUP(D503,Products!A:E,2,FALSE)</f>
        <v>Phone Charger</v>
      </c>
      <c r="M503" t="str">
        <f>VLOOKUP(D503,Products!A:E,3,FALSE)</f>
        <v>Accessories</v>
      </c>
      <c r="N503">
        <f>VLOOKUP(D503,Products!A:E,4,FALSE)</f>
        <v>32</v>
      </c>
      <c r="O503" s="13">
        <f>VLOOKUP(D503,Products!A:E,5,FALSE)</f>
        <v>13</v>
      </c>
      <c r="P503" s="13" t="str">
        <f>VLOOKUP(C503,Customers!A:C,3,FALSE)</f>
        <v>Consumer</v>
      </c>
      <c r="Q503" s="13">
        <f t="shared" si="28"/>
        <v>27.2</v>
      </c>
      <c r="R503" s="13">
        <f t="shared" si="29"/>
        <v>13</v>
      </c>
      <c r="S503" s="13">
        <f t="shared" si="30"/>
        <v>14.2</v>
      </c>
      <c r="T503" s="14">
        <f t="shared" si="31"/>
        <v>0.5220588235294118</v>
      </c>
    </row>
    <row r="504" spans="1:20">
      <c r="A504" t="s">
        <v>1208</v>
      </c>
      <c r="B504" s="8">
        <v>45999</v>
      </c>
      <c r="C504" t="s">
        <v>565</v>
      </c>
      <c r="D504" t="s">
        <v>48</v>
      </c>
      <c r="E504" t="s">
        <v>705</v>
      </c>
      <c r="F504" t="s">
        <v>698</v>
      </c>
      <c r="G504">
        <v>4</v>
      </c>
      <c r="H504" s="9">
        <v>0</v>
      </c>
      <c r="I504" t="s">
        <v>699</v>
      </c>
      <c r="J504">
        <v>5</v>
      </c>
      <c r="K504">
        <v>2</v>
      </c>
      <c r="L504" t="str">
        <f>VLOOKUP(D504,Products!A:E,2,FALSE)</f>
        <v>Monitor</v>
      </c>
      <c r="M504" t="str">
        <f>VLOOKUP(D504,Products!A:E,3,FALSE)</f>
        <v>Technology</v>
      </c>
      <c r="N504">
        <f>VLOOKUP(D504,Products!A:E,4,FALSE)</f>
        <v>310</v>
      </c>
      <c r="O504" s="13">
        <f>VLOOKUP(D504,Products!A:E,5,FALSE)</f>
        <v>190</v>
      </c>
      <c r="P504" s="13" t="str">
        <f>VLOOKUP(C504,Customers!A:C,3,FALSE)</f>
        <v>Corporate</v>
      </c>
      <c r="Q504" s="13">
        <f t="shared" si="28"/>
        <v>1240</v>
      </c>
      <c r="R504" s="13">
        <f t="shared" si="29"/>
        <v>760</v>
      </c>
      <c r="S504" s="13">
        <f t="shared" si="30"/>
        <v>480</v>
      </c>
      <c r="T504" s="14">
        <f t="shared" si="31"/>
        <v>0.38709677419354838</v>
      </c>
    </row>
    <row r="505" spans="1:20">
      <c r="A505" t="s">
        <v>1209</v>
      </c>
      <c r="B505" s="8">
        <v>45986</v>
      </c>
      <c r="C505" t="s">
        <v>291</v>
      </c>
      <c r="D505" t="s">
        <v>58</v>
      </c>
      <c r="E505" t="s">
        <v>708</v>
      </c>
      <c r="F505" t="s">
        <v>698</v>
      </c>
      <c r="G505">
        <v>4</v>
      </c>
      <c r="H505" s="9">
        <v>0.1</v>
      </c>
      <c r="I505" t="s">
        <v>699</v>
      </c>
      <c r="J505">
        <v>3</v>
      </c>
      <c r="K505">
        <v>1</v>
      </c>
      <c r="L505" t="str">
        <f>VLOOKUP(D505,Products!A:E,2,FALSE)</f>
        <v>Standing Desk</v>
      </c>
      <c r="M505" t="str">
        <f>VLOOKUP(D505,Products!A:E,3,FALSE)</f>
        <v>Furniture</v>
      </c>
      <c r="N505">
        <f>VLOOKUP(D505,Products!A:E,4,FALSE)</f>
        <v>540</v>
      </c>
      <c r="O505" s="13">
        <f>VLOOKUP(D505,Products!A:E,5,FALSE)</f>
        <v>320</v>
      </c>
      <c r="P505" s="13" t="str">
        <f>VLOOKUP(C505,Customers!A:C,3,FALSE)</f>
        <v>Corporate</v>
      </c>
      <c r="Q505" s="13">
        <f t="shared" si="28"/>
        <v>1944</v>
      </c>
      <c r="R505" s="13">
        <f t="shared" si="29"/>
        <v>1280</v>
      </c>
      <c r="S505" s="13">
        <f t="shared" si="30"/>
        <v>664</v>
      </c>
      <c r="T505" s="14">
        <f t="shared" si="31"/>
        <v>0.34156378600823045</v>
      </c>
    </row>
    <row r="506" spans="1:20">
      <c r="A506" t="s">
        <v>1210</v>
      </c>
      <c r="B506" s="8">
        <v>45673</v>
      </c>
      <c r="C506" t="s">
        <v>659</v>
      </c>
      <c r="D506" t="s">
        <v>52</v>
      </c>
      <c r="E506" t="s">
        <v>705</v>
      </c>
      <c r="F506" t="s">
        <v>702</v>
      </c>
      <c r="G506">
        <v>1</v>
      </c>
      <c r="H506" s="9">
        <v>0</v>
      </c>
      <c r="I506" t="s">
        <v>699</v>
      </c>
      <c r="J506">
        <v>4</v>
      </c>
      <c r="K506">
        <v>2</v>
      </c>
      <c r="L506" t="str">
        <f>VLOOKUP(D506,Products!A:E,2,FALSE)</f>
        <v>Mouse</v>
      </c>
      <c r="M506" t="str">
        <f>VLOOKUP(D506,Products!A:E,3,FALSE)</f>
        <v>Technology</v>
      </c>
      <c r="N506">
        <f>VLOOKUP(D506,Products!A:E,4,FALSE)</f>
        <v>42</v>
      </c>
      <c r="O506" s="13">
        <f>VLOOKUP(D506,Products!A:E,5,FALSE)</f>
        <v>19</v>
      </c>
      <c r="P506" s="13" t="str">
        <f>VLOOKUP(C506,Customers!A:C,3,FALSE)</f>
        <v>Small Business</v>
      </c>
      <c r="Q506" s="13">
        <f t="shared" si="28"/>
        <v>42</v>
      </c>
      <c r="R506" s="13">
        <f t="shared" si="29"/>
        <v>19</v>
      </c>
      <c r="S506" s="13">
        <f t="shared" si="30"/>
        <v>23</v>
      </c>
      <c r="T506" s="14">
        <f t="shared" si="31"/>
        <v>0.54761904761904767</v>
      </c>
    </row>
    <row r="507" spans="1:20">
      <c r="A507" t="s">
        <v>1211</v>
      </c>
      <c r="B507" s="8">
        <v>45833</v>
      </c>
      <c r="C507" t="s">
        <v>159</v>
      </c>
      <c r="D507" t="s">
        <v>65</v>
      </c>
      <c r="E507" t="s">
        <v>701</v>
      </c>
      <c r="F507" t="s">
        <v>702</v>
      </c>
      <c r="G507">
        <v>2</v>
      </c>
      <c r="H507" s="9">
        <v>0</v>
      </c>
      <c r="I507" t="s">
        <v>699</v>
      </c>
      <c r="J507">
        <v>5</v>
      </c>
      <c r="K507">
        <v>1</v>
      </c>
      <c r="L507" t="str">
        <f>VLOOKUP(D507,Products!A:E,2,FALSE)</f>
        <v>Laptop Stand</v>
      </c>
      <c r="M507" t="str">
        <f>VLOOKUP(D507,Products!A:E,3,FALSE)</f>
        <v>Accessories</v>
      </c>
      <c r="N507">
        <f>VLOOKUP(D507,Products!A:E,4,FALSE)</f>
        <v>48</v>
      </c>
      <c r="O507" s="13">
        <f>VLOOKUP(D507,Products!A:E,5,FALSE)</f>
        <v>22</v>
      </c>
      <c r="P507" s="13" t="str">
        <f>VLOOKUP(C507,Customers!A:C,3,FALSE)</f>
        <v>Small Business</v>
      </c>
      <c r="Q507" s="13">
        <f t="shared" si="28"/>
        <v>96</v>
      </c>
      <c r="R507" s="13">
        <f t="shared" si="29"/>
        <v>44</v>
      </c>
      <c r="S507" s="13">
        <f t="shared" si="30"/>
        <v>52</v>
      </c>
      <c r="T507" s="14">
        <f t="shared" si="31"/>
        <v>0.54166666666666663</v>
      </c>
    </row>
    <row r="508" spans="1:20">
      <c r="A508" t="s">
        <v>1212</v>
      </c>
      <c r="B508" s="8">
        <v>46050</v>
      </c>
      <c r="C508" t="s">
        <v>141</v>
      </c>
      <c r="D508" t="s">
        <v>50</v>
      </c>
      <c r="E508" t="s">
        <v>715</v>
      </c>
      <c r="F508" t="s">
        <v>702</v>
      </c>
      <c r="G508">
        <v>3</v>
      </c>
      <c r="H508" s="9">
        <v>0.05</v>
      </c>
      <c r="I508" t="s">
        <v>699</v>
      </c>
      <c r="J508">
        <v>5</v>
      </c>
      <c r="K508">
        <v>5</v>
      </c>
      <c r="L508" t="str">
        <f>VLOOKUP(D508,Products!A:E,2,FALSE)</f>
        <v>Keyboard</v>
      </c>
      <c r="M508" t="str">
        <f>VLOOKUP(D508,Products!A:E,3,FALSE)</f>
        <v>Technology</v>
      </c>
      <c r="N508">
        <f>VLOOKUP(D508,Products!A:E,4,FALSE)</f>
        <v>75</v>
      </c>
      <c r="O508" s="13">
        <f>VLOOKUP(D508,Products!A:E,5,FALSE)</f>
        <v>38</v>
      </c>
      <c r="P508" s="13" t="str">
        <f>VLOOKUP(C508,Customers!A:C,3,FALSE)</f>
        <v>Consumer</v>
      </c>
      <c r="Q508" s="13">
        <f t="shared" si="28"/>
        <v>213.75</v>
      </c>
      <c r="R508" s="13">
        <f t="shared" si="29"/>
        <v>114</v>
      </c>
      <c r="S508" s="13">
        <f t="shared" si="30"/>
        <v>99.75</v>
      </c>
      <c r="T508" s="14">
        <f t="shared" si="31"/>
        <v>0.46666666666666667</v>
      </c>
    </row>
    <row r="509" spans="1:20">
      <c r="A509" t="s">
        <v>1213</v>
      </c>
      <c r="B509" s="8">
        <v>46022</v>
      </c>
      <c r="C509" t="s">
        <v>405</v>
      </c>
      <c r="D509" t="s">
        <v>68</v>
      </c>
      <c r="E509" t="s">
        <v>697</v>
      </c>
      <c r="F509" t="s">
        <v>698</v>
      </c>
      <c r="G509">
        <v>3</v>
      </c>
      <c r="H509" s="9">
        <v>0.05</v>
      </c>
      <c r="I509" t="s">
        <v>703</v>
      </c>
      <c r="J509">
        <v>5</v>
      </c>
      <c r="K509">
        <v>6</v>
      </c>
      <c r="L509" t="str">
        <f>VLOOKUP(D509,Products!A:E,2,FALSE)</f>
        <v>Backpack</v>
      </c>
      <c r="M509" t="str">
        <f>VLOOKUP(D509,Products!A:E,3,FALSE)</f>
        <v>Accessories</v>
      </c>
      <c r="N509">
        <f>VLOOKUP(D509,Products!A:E,4,FALSE)</f>
        <v>85</v>
      </c>
      <c r="O509" s="13">
        <f>VLOOKUP(D509,Products!A:E,5,FALSE)</f>
        <v>39</v>
      </c>
      <c r="P509" s="13" t="str">
        <f>VLOOKUP(C509,Customers!A:C,3,FALSE)</f>
        <v>Consumer</v>
      </c>
      <c r="Q509" s="13">
        <f t="shared" si="28"/>
        <v>242.25</v>
      </c>
      <c r="R509" s="13">
        <f t="shared" si="29"/>
        <v>117</v>
      </c>
      <c r="S509" s="13">
        <f t="shared" si="30"/>
        <v>125.25</v>
      </c>
      <c r="T509" s="14">
        <f t="shared" si="31"/>
        <v>0.51702786377708976</v>
      </c>
    </row>
    <row r="510" spans="1:20">
      <c r="A510" t="s">
        <v>1214</v>
      </c>
      <c r="B510" s="8">
        <v>45753</v>
      </c>
      <c r="C510" t="s">
        <v>565</v>
      </c>
      <c r="D510" t="s">
        <v>52</v>
      </c>
      <c r="E510" t="s">
        <v>715</v>
      </c>
      <c r="F510" t="s">
        <v>698</v>
      </c>
      <c r="G510">
        <v>4</v>
      </c>
      <c r="H510" s="9">
        <v>0.05</v>
      </c>
      <c r="I510" t="s">
        <v>699</v>
      </c>
      <c r="J510">
        <v>3</v>
      </c>
      <c r="K510">
        <v>5</v>
      </c>
      <c r="L510" t="str">
        <f>VLOOKUP(D510,Products!A:E,2,FALSE)</f>
        <v>Mouse</v>
      </c>
      <c r="M510" t="str">
        <f>VLOOKUP(D510,Products!A:E,3,FALSE)</f>
        <v>Technology</v>
      </c>
      <c r="N510">
        <f>VLOOKUP(D510,Products!A:E,4,FALSE)</f>
        <v>42</v>
      </c>
      <c r="O510" s="13">
        <f>VLOOKUP(D510,Products!A:E,5,FALSE)</f>
        <v>19</v>
      </c>
      <c r="P510" s="13" t="str">
        <f>VLOOKUP(C510,Customers!A:C,3,FALSE)</f>
        <v>Corporate</v>
      </c>
      <c r="Q510" s="13">
        <f t="shared" si="28"/>
        <v>159.6</v>
      </c>
      <c r="R510" s="13">
        <f t="shared" si="29"/>
        <v>76</v>
      </c>
      <c r="S510" s="13">
        <f t="shared" si="30"/>
        <v>83.6</v>
      </c>
      <c r="T510" s="14">
        <f t="shared" si="31"/>
        <v>0.52380952380952384</v>
      </c>
    </row>
    <row r="511" spans="1:20">
      <c r="A511" t="s">
        <v>1215</v>
      </c>
      <c r="B511" s="8">
        <v>45922</v>
      </c>
      <c r="C511" t="s">
        <v>459</v>
      </c>
      <c r="D511" t="s">
        <v>72</v>
      </c>
      <c r="E511" t="s">
        <v>705</v>
      </c>
      <c r="F511" t="s">
        <v>706</v>
      </c>
      <c r="G511">
        <v>2</v>
      </c>
      <c r="H511" s="9">
        <v>0.15</v>
      </c>
      <c r="I511" t="s">
        <v>699</v>
      </c>
      <c r="J511">
        <v>4</v>
      </c>
      <c r="K511">
        <v>1</v>
      </c>
      <c r="L511" t="str">
        <f>VLOOKUP(D511,Products!A:E,2,FALSE)</f>
        <v>Phone Charger</v>
      </c>
      <c r="M511" t="str">
        <f>VLOOKUP(D511,Products!A:E,3,FALSE)</f>
        <v>Accessories</v>
      </c>
      <c r="N511">
        <f>VLOOKUP(D511,Products!A:E,4,FALSE)</f>
        <v>32</v>
      </c>
      <c r="O511" s="13">
        <f>VLOOKUP(D511,Products!A:E,5,FALSE)</f>
        <v>13</v>
      </c>
      <c r="P511" s="13" t="str">
        <f>VLOOKUP(C511,Customers!A:C,3,FALSE)</f>
        <v>Small Business</v>
      </c>
      <c r="Q511" s="13">
        <f t="shared" si="28"/>
        <v>54.4</v>
      </c>
      <c r="R511" s="13">
        <f t="shared" si="29"/>
        <v>26</v>
      </c>
      <c r="S511" s="13">
        <f t="shared" si="30"/>
        <v>28.4</v>
      </c>
      <c r="T511" s="14">
        <f t="shared" si="31"/>
        <v>0.5220588235294118</v>
      </c>
    </row>
    <row r="512" spans="1:20">
      <c r="A512" t="s">
        <v>1216</v>
      </c>
      <c r="B512" s="8">
        <v>46144</v>
      </c>
      <c r="C512" t="s">
        <v>201</v>
      </c>
      <c r="D512" t="s">
        <v>70</v>
      </c>
      <c r="E512" t="s">
        <v>715</v>
      </c>
      <c r="F512" t="s">
        <v>706</v>
      </c>
      <c r="G512">
        <v>1</v>
      </c>
      <c r="H512" s="9">
        <v>0</v>
      </c>
      <c r="I512" t="s">
        <v>699</v>
      </c>
      <c r="J512">
        <v>4</v>
      </c>
      <c r="K512">
        <v>4</v>
      </c>
      <c r="L512" t="str">
        <f>VLOOKUP(D512,Products!A:E,2,FALSE)</f>
        <v>USB-C Hub</v>
      </c>
      <c r="M512" t="str">
        <f>VLOOKUP(D512,Products!A:E,3,FALSE)</f>
        <v>Accessories</v>
      </c>
      <c r="N512">
        <f>VLOOKUP(D512,Products!A:E,4,FALSE)</f>
        <v>68</v>
      </c>
      <c r="O512" s="13">
        <f>VLOOKUP(D512,Products!A:E,5,FALSE)</f>
        <v>31</v>
      </c>
      <c r="P512" s="13" t="str">
        <f>VLOOKUP(C512,Customers!A:C,3,FALSE)</f>
        <v>Corporate</v>
      </c>
      <c r="Q512" s="13">
        <f t="shared" si="28"/>
        <v>68</v>
      </c>
      <c r="R512" s="13">
        <f t="shared" si="29"/>
        <v>31</v>
      </c>
      <c r="S512" s="13">
        <f t="shared" si="30"/>
        <v>37</v>
      </c>
      <c r="T512" s="14">
        <f t="shared" si="31"/>
        <v>0.54411764705882348</v>
      </c>
    </row>
    <row r="513" spans="1:20">
      <c r="A513" t="s">
        <v>1217</v>
      </c>
      <c r="B513" s="8">
        <v>45767</v>
      </c>
      <c r="C513" t="s">
        <v>419</v>
      </c>
      <c r="D513" t="s">
        <v>50</v>
      </c>
      <c r="E513" t="s">
        <v>697</v>
      </c>
      <c r="F513" t="s">
        <v>698</v>
      </c>
      <c r="G513">
        <v>2</v>
      </c>
      <c r="H513" s="9">
        <v>0</v>
      </c>
      <c r="I513" t="s">
        <v>699</v>
      </c>
      <c r="J513">
        <v>4</v>
      </c>
      <c r="K513">
        <v>4</v>
      </c>
      <c r="L513" t="str">
        <f>VLOOKUP(D513,Products!A:E,2,FALSE)</f>
        <v>Keyboard</v>
      </c>
      <c r="M513" t="str">
        <f>VLOOKUP(D513,Products!A:E,3,FALSE)</f>
        <v>Technology</v>
      </c>
      <c r="N513">
        <f>VLOOKUP(D513,Products!A:E,4,FALSE)</f>
        <v>75</v>
      </c>
      <c r="O513" s="13">
        <f>VLOOKUP(D513,Products!A:E,5,FALSE)</f>
        <v>38</v>
      </c>
      <c r="P513" s="13" t="str">
        <f>VLOOKUP(C513,Customers!A:C,3,FALSE)</f>
        <v>Consumer</v>
      </c>
      <c r="Q513" s="13">
        <f t="shared" si="28"/>
        <v>150</v>
      </c>
      <c r="R513" s="13">
        <f t="shared" si="29"/>
        <v>76</v>
      </c>
      <c r="S513" s="13">
        <f t="shared" si="30"/>
        <v>74</v>
      </c>
      <c r="T513" s="14">
        <f t="shared" si="31"/>
        <v>0.49333333333333335</v>
      </c>
    </row>
    <row r="514" spans="1:20">
      <c r="A514" t="s">
        <v>1218</v>
      </c>
      <c r="B514" s="8">
        <v>46051</v>
      </c>
      <c r="C514" t="s">
        <v>153</v>
      </c>
      <c r="D514" t="s">
        <v>68</v>
      </c>
      <c r="E514" t="s">
        <v>705</v>
      </c>
      <c r="F514" t="s">
        <v>698</v>
      </c>
      <c r="G514">
        <v>2</v>
      </c>
      <c r="H514" s="9">
        <v>0.2</v>
      </c>
      <c r="I514" t="s">
        <v>699</v>
      </c>
      <c r="J514">
        <v>4</v>
      </c>
      <c r="K514">
        <v>2</v>
      </c>
      <c r="L514" t="str">
        <f>VLOOKUP(D514,Products!A:E,2,FALSE)</f>
        <v>Backpack</v>
      </c>
      <c r="M514" t="str">
        <f>VLOOKUP(D514,Products!A:E,3,FALSE)</f>
        <v>Accessories</v>
      </c>
      <c r="N514">
        <f>VLOOKUP(D514,Products!A:E,4,FALSE)</f>
        <v>85</v>
      </c>
      <c r="O514" s="13">
        <f>VLOOKUP(D514,Products!A:E,5,FALSE)</f>
        <v>39</v>
      </c>
      <c r="P514" s="13" t="str">
        <f>VLOOKUP(C514,Customers!A:C,3,FALSE)</f>
        <v>Small Business</v>
      </c>
      <c r="Q514" s="13">
        <f t="shared" ref="Q514:Q577" si="32">G514*N514*(1-H514)</f>
        <v>136</v>
      </c>
      <c r="R514" s="13">
        <f t="shared" ref="R514:R577" si="33">G514*O514</f>
        <v>78</v>
      </c>
      <c r="S514" s="13">
        <f t="shared" ref="S514:S577" si="34">Q514-R514</f>
        <v>58</v>
      </c>
      <c r="T514" s="14">
        <f t="shared" ref="T514:T577" si="35">IFERROR(S514/Q514,0)</f>
        <v>0.4264705882352941</v>
      </c>
    </row>
    <row r="515" spans="1:20">
      <c r="A515" t="s">
        <v>1219</v>
      </c>
      <c r="B515" s="8">
        <v>45835</v>
      </c>
      <c r="C515" t="s">
        <v>165</v>
      </c>
      <c r="D515" t="s">
        <v>79</v>
      </c>
      <c r="E515" t="s">
        <v>705</v>
      </c>
      <c r="F515" t="s">
        <v>698</v>
      </c>
      <c r="G515">
        <v>2</v>
      </c>
      <c r="H515" s="9">
        <v>0</v>
      </c>
      <c r="I515" t="s">
        <v>699</v>
      </c>
      <c r="J515">
        <v>4</v>
      </c>
      <c r="K515">
        <v>4</v>
      </c>
      <c r="L515" t="str">
        <f>VLOOKUP(D515,Products!A:E,2,FALSE)</f>
        <v>Desk Organiser</v>
      </c>
      <c r="M515" t="str">
        <f>VLOOKUP(D515,Products!A:E,3,FALSE)</f>
        <v>Office Supplies</v>
      </c>
      <c r="N515">
        <f>VLOOKUP(D515,Products!A:E,4,FALSE)</f>
        <v>28</v>
      </c>
      <c r="O515" s="13">
        <f>VLOOKUP(D515,Products!A:E,5,FALSE)</f>
        <v>12</v>
      </c>
      <c r="P515" s="13" t="str">
        <f>VLOOKUP(C515,Customers!A:C,3,FALSE)</f>
        <v>Corporate</v>
      </c>
      <c r="Q515" s="13">
        <f t="shared" si="32"/>
        <v>56</v>
      </c>
      <c r="R515" s="13">
        <f t="shared" si="33"/>
        <v>24</v>
      </c>
      <c r="S515" s="13">
        <f t="shared" si="34"/>
        <v>32</v>
      </c>
      <c r="T515" s="14">
        <f t="shared" si="35"/>
        <v>0.5714285714285714</v>
      </c>
    </row>
    <row r="516" spans="1:20">
      <c r="A516" t="s">
        <v>1220</v>
      </c>
      <c r="B516" s="8">
        <v>45729</v>
      </c>
      <c r="C516" t="s">
        <v>197</v>
      </c>
      <c r="D516" t="s">
        <v>72</v>
      </c>
      <c r="E516" t="s">
        <v>708</v>
      </c>
      <c r="F516" t="s">
        <v>698</v>
      </c>
      <c r="G516">
        <v>1</v>
      </c>
      <c r="H516" s="9">
        <v>0</v>
      </c>
      <c r="I516" t="s">
        <v>699</v>
      </c>
      <c r="J516">
        <v>4</v>
      </c>
      <c r="K516">
        <v>1</v>
      </c>
      <c r="L516" t="str">
        <f>VLOOKUP(D516,Products!A:E,2,FALSE)</f>
        <v>Phone Charger</v>
      </c>
      <c r="M516" t="str">
        <f>VLOOKUP(D516,Products!A:E,3,FALSE)</f>
        <v>Accessories</v>
      </c>
      <c r="N516">
        <f>VLOOKUP(D516,Products!A:E,4,FALSE)</f>
        <v>32</v>
      </c>
      <c r="O516" s="13">
        <f>VLOOKUP(D516,Products!A:E,5,FALSE)</f>
        <v>13</v>
      </c>
      <c r="P516" s="13" t="str">
        <f>VLOOKUP(C516,Customers!A:C,3,FALSE)</f>
        <v>Corporate</v>
      </c>
      <c r="Q516" s="13">
        <f t="shared" si="32"/>
        <v>32</v>
      </c>
      <c r="R516" s="13">
        <f t="shared" si="33"/>
        <v>13</v>
      </c>
      <c r="S516" s="13">
        <f t="shared" si="34"/>
        <v>19</v>
      </c>
      <c r="T516" s="14">
        <f t="shared" si="35"/>
        <v>0.59375</v>
      </c>
    </row>
    <row r="517" spans="1:20">
      <c r="A517" t="s">
        <v>1221</v>
      </c>
      <c r="B517" s="8">
        <v>45808</v>
      </c>
      <c r="C517" t="s">
        <v>239</v>
      </c>
      <c r="D517" t="s">
        <v>77</v>
      </c>
      <c r="E517" t="s">
        <v>715</v>
      </c>
      <c r="F517" t="s">
        <v>702</v>
      </c>
      <c r="G517">
        <v>3</v>
      </c>
      <c r="H517" s="9">
        <v>0</v>
      </c>
      <c r="I517" t="s">
        <v>699</v>
      </c>
      <c r="J517">
        <v>4</v>
      </c>
      <c r="K517">
        <v>5</v>
      </c>
      <c r="L517" t="str">
        <f>VLOOKUP(D517,Products!A:E,2,FALSE)</f>
        <v>File Folder Pack</v>
      </c>
      <c r="M517" t="str">
        <f>VLOOKUP(D517,Products!A:E,3,FALSE)</f>
        <v>Office Supplies</v>
      </c>
      <c r="N517">
        <f>VLOOKUP(D517,Products!A:E,4,FALSE)</f>
        <v>23</v>
      </c>
      <c r="O517" s="13">
        <f>VLOOKUP(D517,Products!A:E,5,FALSE)</f>
        <v>10</v>
      </c>
      <c r="P517" s="13" t="str">
        <f>VLOOKUP(C517,Customers!A:C,3,FALSE)</f>
        <v>Small Business</v>
      </c>
      <c r="Q517" s="13">
        <f t="shared" si="32"/>
        <v>69</v>
      </c>
      <c r="R517" s="13">
        <f t="shared" si="33"/>
        <v>30</v>
      </c>
      <c r="S517" s="13">
        <f t="shared" si="34"/>
        <v>39</v>
      </c>
      <c r="T517" s="14">
        <f t="shared" si="35"/>
        <v>0.56521739130434778</v>
      </c>
    </row>
    <row r="518" spans="1:20">
      <c r="A518" t="s">
        <v>1222</v>
      </c>
      <c r="B518" s="8">
        <v>45969</v>
      </c>
      <c r="C518" t="s">
        <v>531</v>
      </c>
      <c r="D518" t="s">
        <v>70</v>
      </c>
      <c r="E518" t="s">
        <v>697</v>
      </c>
      <c r="F518" t="s">
        <v>698</v>
      </c>
      <c r="G518">
        <v>3</v>
      </c>
      <c r="H518" s="9">
        <v>0.05</v>
      </c>
      <c r="I518" t="s">
        <v>699</v>
      </c>
      <c r="J518">
        <v>5</v>
      </c>
      <c r="K518">
        <v>1</v>
      </c>
      <c r="L518" t="str">
        <f>VLOOKUP(D518,Products!A:E,2,FALSE)</f>
        <v>USB-C Hub</v>
      </c>
      <c r="M518" t="str">
        <f>VLOOKUP(D518,Products!A:E,3,FALSE)</f>
        <v>Accessories</v>
      </c>
      <c r="N518">
        <f>VLOOKUP(D518,Products!A:E,4,FALSE)</f>
        <v>68</v>
      </c>
      <c r="O518" s="13">
        <f>VLOOKUP(D518,Products!A:E,5,FALSE)</f>
        <v>31</v>
      </c>
      <c r="P518" s="13" t="str">
        <f>VLOOKUP(C518,Customers!A:C,3,FALSE)</f>
        <v>Corporate</v>
      </c>
      <c r="Q518" s="13">
        <f t="shared" si="32"/>
        <v>193.79999999999998</v>
      </c>
      <c r="R518" s="13">
        <f t="shared" si="33"/>
        <v>93</v>
      </c>
      <c r="S518" s="13">
        <f t="shared" si="34"/>
        <v>100.79999999999998</v>
      </c>
      <c r="T518" s="14">
        <f t="shared" si="35"/>
        <v>0.52012383900928794</v>
      </c>
    </row>
    <row r="519" spans="1:20">
      <c r="A519" t="s">
        <v>1223</v>
      </c>
      <c r="B519" s="8">
        <v>46036</v>
      </c>
      <c r="C519" t="s">
        <v>649</v>
      </c>
      <c r="D519" t="s">
        <v>48</v>
      </c>
      <c r="E519" t="s">
        <v>705</v>
      </c>
      <c r="F519" t="s">
        <v>698</v>
      </c>
      <c r="G519">
        <v>8</v>
      </c>
      <c r="H519" s="9">
        <v>0</v>
      </c>
      <c r="I519" t="s">
        <v>699</v>
      </c>
      <c r="J519">
        <v>1</v>
      </c>
      <c r="K519">
        <v>8</v>
      </c>
      <c r="L519" t="str">
        <f>VLOOKUP(D519,Products!A:E,2,FALSE)</f>
        <v>Monitor</v>
      </c>
      <c r="M519" t="str">
        <f>VLOOKUP(D519,Products!A:E,3,FALSE)</f>
        <v>Technology</v>
      </c>
      <c r="N519">
        <f>VLOOKUP(D519,Products!A:E,4,FALSE)</f>
        <v>310</v>
      </c>
      <c r="O519" s="13">
        <f>VLOOKUP(D519,Products!A:E,5,FALSE)</f>
        <v>190</v>
      </c>
      <c r="P519" s="13" t="str">
        <f>VLOOKUP(C519,Customers!A:C,3,FALSE)</f>
        <v>Consumer</v>
      </c>
      <c r="Q519" s="13">
        <f t="shared" si="32"/>
        <v>2480</v>
      </c>
      <c r="R519" s="13">
        <f t="shared" si="33"/>
        <v>1520</v>
      </c>
      <c r="S519" s="13">
        <f t="shared" si="34"/>
        <v>960</v>
      </c>
      <c r="T519" s="14">
        <f t="shared" si="35"/>
        <v>0.38709677419354838</v>
      </c>
    </row>
    <row r="520" spans="1:20">
      <c r="A520" t="s">
        <v>1224</v>
      </c>
      <c r="B520" s="8">
        <v>45983</v>
      </c>
      <c r="C520" t="s">
        <v>477</v>
      </c>
      <c r="D520" t="s">
        <v>72</v>
      </c>
      <c r="E520" t="s">
        <v>708</v>
      </c>
      <c r="F520" t="s">
        <v>698</v>
      </c>
      <c r="G520">
        <v>3</v>
      </c>
      <c r="H520" s="9">
        <v>0.05</v>
      </c>
      <c r="I520" t="s">
        <v>699</v>
      </c>
      <c r="J520">
        <v>4</v>
      </c>
      <c r="K520">
        <v>3</v>
      </c>
      <c r="L520" t="str">
        <f>VLOOKUP(D520,Products!A:E,2,FALSE)</f>
        <v>Phone Charger</v>
      </c>
      <c r="M520" t="str">
        <f>VLOOKUP(D520,Products!A:E,3,FALSE)</f>
        <v>Accessories</v>
      </c>
      <c r="N520">
        <f>VLOOKUP(D520,Products!A:E,4,FALSE)</f>
        <v>32</v>
      </c>
      <c r="O520" s="13">
        <f>VLOOKUP(D520,Products!A:E,5,FALSE)</f>
        <v>13</v>
      </c>
      <c r="P520" s="13" t="str">
        <f>VLOOKUP(C520,Customers!A:C,3,FALSE)</f>
        <v>Small Business</v>
      </c>
      <c r="Q520" s="13">
        <f t="shared" si="32"/>
        <v>91.199999999999989</v>
      </c>
      <c r="R520" s="13">
        <f t="shared" si="33"/>
        <v>39</v>
      </c>
      <c r="S520" s="13">
        <f t="shared" si="34"/>
        <v>52.199999999999989</v>
      </c>
      <c r="T520" s="14">
        <f t="shared" si="35"/>
        <v>0.57236842105263153</v>
      </c>
    </row>
    <row r="521" spans="1:20">
      <c r="A521" t="s">
        <v>1225</v>
      </c>
      <c r="B521" s="8">
        <v>46085</v>
      </c>
      <c r="C521" t="s">
        <v>243</v>
      </c>
      <c r="D521" t="s">
        <v>65</v>
      </c>
      <c r="E521" t="s">
        <v>697</v>
      </c>
      <c r="F521" t="s">
        <v>698</v>
      </c>
      <c r="G521">
        <v>1</v>
      </c>
      <c r="H521" s="9">
        <v>0</v>
      </c>
      <c r="I521" t="s">
        <v>699</v>
      </c>
      <c r="J521">
        <v>5</v>
      </c>
      <c r="K521">
        <v>4</v>
      </c>
      <c r="L521" t="str">
        <f>VLOOKUP(D521,Products!A:E,2,FALSE)</f>
        <v>Laptop Stand</v>
      </c>
      <c r="M521" t="str">
        <f>VLOOKUP(D521,Products!A:E,3,FALSE)</f>
        <v>Accessories</v>
      </c>
      <c r="N521">
        <f>VLOOKUP(D521,Products!A:E,4,FALSE)</f>
        <v>48</v>
      </c>
      <c r="O521" s="13">
        <f>VLOOKUP(D521,Products!A:E,5,FALSE)</f>
        <v>22</v>
      </c>
      <c r="P521" s="13" t="str">
        <f>VLOOKUP(C521,Customers!A:C,3,FALSE)</f>
        <v>Consumer</v>
      </c>
      <c r="Q521" s="13">
        <f t="shared" si="32"/>
        <v>48</v>
      </c>
      <c r="R521" s="13">
        <f t="shared" si="33"/>
        <v>22</v>
      </c>
      <c r="S521" s="13">
        <f t="shared" si="34"/>
        <v>26</v>
      </c>
      <c r="T521" s="14">
        <f t="shared" si="35"/>
        <v>0.54166666666666663</v>
      </c>
    </row>
    <row r="522" spans="1:20">
      <c r="A522" t="s">
        <v>1226</v>
      </c>
      <c r="B522" s="8">
        <v>46105</v>
      </c>
      <c r="C522" t="s">
        <v>225</v>
      </c>
      <c r="D522" t="s">
        <v>50</v>
      </c>
      <c r="E522" t="s">
        <v>705</v>
      </c>
      <c r="F522" t="s">
        <v>698</v>
      </c>
      <c r="G522">
        <v>5</v>
      </c>
      <c r="H522" s="9">
        <v>0.15</v>
      </c>
      <c r="I522" t="s">
        <v>699</v>
      </c>
      <c r="J522">
        <v>5</v>
      </c>
      <c r="K522">
        <v>5</v>
      </c>
      <c r="L522" t="str">
        <f>VLOOKUP(D522,Products!A:E,2,FALSE)</f>
        <v>Keyboard</v>
      </c>
      <c r="M522" t="str">
        <f>VLOOKUP(D522,Products!A:E,3,FALSE)</f>
        <v>Technology</v>
      </c>
      <c r="N522">
        <f>VLOOKUP(D522,Products!A:E,4,FALSE)</f>
        <v>75</v>
      </c>
      <c r="O522" s="13">
        <f>VLOOKUP(D522,Products!A:E,5,FALSE)</f>
        <v>38</v>
      </c>
      <c r="P522" s="13" t="str">
        <f>VLOOKUP(C522,Customers!A:C,3,FALSE)</f>
        <v>Consumer</v>
      </c>
      <c r="Q522" s="13">
        <f t="shared" si="32"/>
        <v>318.75</v>
      </c>
      <c r="R522" s="13">
        <f t="shared" si="33"/>
        <v>190</v>
      </c>
      <c r="S522" s="13">
        <f t="shared" si="34"/>
        <v>128.75</v>
      </c>
      <c r="T522" s="14">
        <f t="shared" si="35"/>
        <v>0.40392156862745099</v>
      </c>
    </row>
    <row r="523" spans="1:20">
      <c r="A523" t="s">
        <v>1227</v>
      </c>
      <c r="B523" s="8">
        <v>45842</v>
      </c>
      <c r="C523" t="s">
        <v>551</v>
      </c>
      <c r="D523" t="s">
        <v>74</v>
      </c>
      <c r="E523" t="s">
        <v>715</v>
      </c>
      <c r="F523" t="s">
        <v>702</v>
      </c>
      <c r="G523">
        <v>2</v>
      </c>
      <c r="H523" s="9">
        <v>0</v>
      </c>
      <c r="I523" t="s">
        <v>699</v>
      </c>
      <c r="J523">
        <v>4</v>
      </c>
      <c r="K523">
        <v>2</v>
      </c>
      <c r="L523" t="str">
        <f>VLOOKUP(D523,Products!A:E,2,FALSE)</f>
        <v>Printer Paper</v>
      </c>
      <c r="M523" t="str">
        <f>VLOOKUP(D523,Products!A:E,3,FALSE)</f>
        <v>Office Supplies</v>
      </c>
      <c r="N523">
        <f>VLOOKUP(D523,Products!A:E,4,FALSE)</f>
        <v>17</v>
      </c>
      <c r="O523" s="13">
        <f>VLOOKUP(D523,Products!A:E,5,FALSE)</f>
        <v>8</v>
      </c>
      <c r="P523" s="13" t="str">
        <f>VLOOKUP(C523,Customers!A:C,3,FALSE)</f>
        <v>Corporate</v>
      </c>
      <c r="Q523" s="13">
        <f t="shared" si="32"/>
        <v>34</v>
      </c>
      <c r="R523" s="13">
        <f t="shared" si="33"/>
        <v>16</v>
      </c>
      <c r="S523" s="13">
        <f t="shared" si="34"/>
        <v>18</v>
      </c>
      <c r="T523" s="14">
        <f t="shared" si="35"/>
        <v>0.52941176470588236</v>
      </c>
    </row>
    <row r="524" spans="1:20">
      <c r="A524" t="s">
        <v>1228</v>
      </c>
      <c r="B524" s="8">
        <v>46171</v>
      </c>
      <c r="C524" t="s">
        <v>361</v>
      </c>
      <c r="D524" t="s">
        <v>74</v>
      </c>
      <c r="E524" t="s">
        <v>697</v>
      </c>
      <c r="F524" t="s">
        <v>698</v>
      </c>
      <c r="G524">
        <v>1</v>
      </c>
      <c r="H524" s="9">
        <v>0</v>
      </c>
      <c r="I524" t="s">
        <v>699</v>
      </c>
      <c r="J524">
        <v>4</v>
      </c>
      <c r="K524">
        <v>5</v>
      </c>
      <c r="L524" t="str">
        <f>VLOOKUP(D524,Products!A:E,2,FALSE)</f>
        <v>Printer Paper</v>
      </c>
      <c r="M524" t="str">
        <f>VLOOKUP(D524,Products!A:E,3,FALSE)</f>
        <v>Office Supplies</v>
      </c>
      <c r="N524">
        <f>VLOOKUP(D524,Products!A:E,4,FALSE)</f>
        <v>17</v>
      </c>
      <c r="O524" s="13">
        <f>VLOOKUP(D524,Products!A:E,5,FALSE)</f>
        <v>8</v>
      </c>
      <c r="P524" s="13" t="str">
        <f>VLOOKUP(C524,Customers!A:C,3,FALSE)</f>
        <v>Corporate</v>
      </c>
      <c r="Q524" s="13">
        <f t="shared" si="32"/>
        <v>17</v>
      </c>
      <c r="R524" s="13">
        <f t="shared" si="33"/>
        <v>8</v>
      </c>
      <c r="S524" s="13">
        <f t="shared" si="34"/>
        <v>9</v>
      </c>
      <c r="T524" s="14">
        <f t="shared" si="35"/>
        <v>0.52941176470588236</v>
      </c>
    </row>
    <row r="525" spans="1:20">
      <c r="A525" t="s">
        <v>1229</v>
      </c>
      <c r="B525" s="8">
        <v>46151</v>
      </c>
      <c r="C525" t="s">
        <v>167</v>
      </c>
      <c r="D525" t="s">
        <v>54</v>
      </c>
      <c r="E525" t="s">
        <v>701</v>
      </c>
      <c r="F525" t="s">
        <v>698</v>
      </c>
      <c r="G525">
        <v>5</v>
      </c>
      <c r="H525" s="9">
        <v>0.1</v>
      </c>
      <c r="I525" t="s">
        <v>699</v>
      </c>
      <c r="J525">
        <v>4</v>
      </c>
      <c r="K525">
        <v>5</v>
      </c>
      <c r="L525" t="str">
        <f>VLOOKUP(D525,Products!A:E,2,FALSE)</f>
        <v>Webcam</v>
      </c>
      <c r="M525" t="str">
        <f>VLOOKUP(D525,Products!A:E,3,FALSE)</f>
        <v>Technology</v>
      </c>
      <c r="N525">
        <f>VLOOKUP(D525,Products!A:E,4,FALSE)</f>
        <v>115</v>
      </c>
      <c r="O525" s="13">
        <f>VLOOKUP(D525,Products!A:E,5,FALSE)</f>
        <v>58</v>
      </c>
      <c r="P525" s="13" t="str">
        <f>VLOOKUP(C525,Customers!A:C,3,FALSE)</f>
        <v>Corporate</v>
      </c>
      <c r="Q525" s="13">
        <f t="shared" si="32"/>
        <v>517.5</v>
      </c>
      <c r="R525" s="13">
        <f t="shared" si="33"/>
        <v>290</v>
      </c>
      <c r="S525" s="13">
        <f t="shared" si="34"/>
        <v>227.5</v>
      </c>
      <c r="T525" s="14">
        <f t="shared" si="35"/>
        <v>0.43961352657004832</v>
      </c>
    </row>
    <row r="526" spans="1:20">
      <c r="A526" t="s">
        <v>1230</v>
      </c>
      <c r="B526" s="8">
        <v>45748</v>
      </c>
      <c r="C526" t="s">
        <v>337</v>
      </c>
      <c r="D526" t="s">
        <v>79</v>
      </c>
      <c r="E526" t="s">
        <v>701</v>
      </c>
      <c r="F526" t="s">
        <v>698</v>
      </c>
      <c r="G526">
        <v>3</v>
      </c>
      <c r="H526" s="9">
        <v>0.1</v>
      </c>
      <c r="I526" t="s">
        <v>699</v>
      </c>
      <c r="J526">
        <v>4</v>
      </c>
      <c r="K526">
        <v>5</v>
      </c>
      <c r="L526" t="str">
        <f>VLOOKUP(D526,Products!A:E,2,FALSE)</f>
        <v>Desk Organiser</v>
      </c>
      <c r="M526" t="str">
        <f>VLOOKUP(D526,Products!A:E,3,FALSE)</f>
        <v>Office Supplies</v>
      </c>
      <c r="N526">
        <f>VLOOKUP(D526,Products!A:E,4,FALSE)</f>
        <v>28</v>
      </c>
      <c r="O526" s="13">
        <f>VLOOKUP(D526,Products!A:E,5,FALSE)</f>
        <v>12</v>
      </c>
      <c r="P526" s="13" t="str">
        <f>VLOOKUP(C526,Customers!A:C,3,FALSE)</f>
        <v>Consumer</v>
      </c>
      <c r="Q526" s="13">
        <f t="shared" si="32"/>
        <v>75.600000000000009</v>
      </c>
      <c r="R526" s="13">
        <f t="shared" si="33"/>
        <v>36</v>
      </c>
      <c r="S526" s="13">
        <f t="shared" si="34"/>
        <v>39.600000000000009</v>
      </c>
      <c r="T526" s="14">
        <f t="shared" si="35"/>
        <v>0.52380952380952384</v>
      </c>
    </row>
    <row r="527" spans="1:20">
      <c r="A527" t="s">
        <v>1231</v>
      </c>
      <c r="B527" s="8">
        <v>45712</v>
      </c>
      <c r="C527" t="s">
        <v>437</v>
      </c>
      <c r="D527" t="s">
        <v>45</v>
      </c>
      <c r="E527" t="s">
        <v>715</v>
      </c>
      <c r="F527" t="s">
        <v>698</v>
      </c>
      <c r="G527">
        <v>2</v>
      </c>
      <c r="H527" s="9">
        <v>0.1</v>
      </c>
      <c r="I527" t="s">
        <v>699</v>
      </c>
      <c r="J527">
        <v>5</v>
      </c>
      <c r="K527">
        <v>3</v>
      </c>
      <c r="L527" t="str">
        <f>VLOOKUP(D527,Products!A:E,2,FALSE)</f>
        <v>Laptop</v>
      </c>
      <c r="M527" t="str">
        <f>VLOOKUP(D527,Products!A:E,3,FALSE)</f>
        <v>Technology</v>
      </c>
      <c r="N527">
        <f>VLOOKUP(D527,Products!A:E,4,FALSE)</f>
        <v>1100</v>
      </c>
      <c r="O527" s="13">
        <f>VLOOKUP(D527,Products!A:E,5,FALSE)</f>
        <v>720</v>
      </c>
      <c r="P527" s="13" t="str">
        <f>VLOOKUP(C527,Customers!A:C,3,FALSE)</f>
        <v>Consumer</v>
      </c>
      <c r="Q527" s="13">
        <f t="shared" si="32"/>
        <v>1980</v>
      </c>
      <c r="R527" s="13">
        <f t="shared" si="33"/>
        <v>1440</v>
      </c>
      <c r="S527" s="13">
        <f t="shared" si="34"/>
        <v>540</v>
      </c>
      <c r="T527" s="14">
        <f t="shared" si="35"/>
        <v>0.27272727272727271</v>
      </c>
    </row>
    <row r="528" spans="1:20">
      <c r="A528" t="s">
        <v>1232</v>
      </c>
      <c r="B528" s="8">
        <v>45954</v>
      </c>
      <c r="C528" t="s">
        <v>257</v>
      </c>
      <c r="D528" t="s">
        <v>48</v>
      </c>
      <c r="E528" t="s">
        <v>701</v>
      </c>
      <c r="F528" t="s">
        <v>698</v>
      </c>
      <c r="G528">
        <v>1</v>
      </c>
      <c r="H528" s="9">
        <v>0.1</v>
      </c>
      <c r="I528" t="s">
        <v>699</v>
      </c>
      <c r="J528">
        <v>5</v>
      </c>
      <c r="K528">
        <v>5</v>
      </c>
      <c r="L528" t="str">
        <f>VLOOKUP(D528,Products!A:E,2,FALSE)</f>
        <v>Monitor</v>
      </c>
      <c r="M528" t="str">
        <f>VLOOKUP(D528,Products!A:E,3,FALSE)</f>
        <v>Technology</v>
      </c>
      <c r="N528">
        <f>VLOOKUP(D528,Products!A:E,4,FALSE)</f>
        <v>310</v>
      </c>
      <c r="O528" s="13">
        <f>VLOOKUP(D528,Products!A:E,5,FALSE)</f>
        <v>190</v>
      </c>
      <c r="P528" s="13" t="str">
        <f>VLOOKUP(C528,Customers!A:C,3,FALSE)</f>
        <v>Consumer</v>
      </c>
      <c r="Q528" s="13">
        <f t="shared" si="32"/>
        <v>279</v>
      </c>
      <c r="R528" s="13">
        <f t="shared" si="33"/>
        <v>190</v>
      </c>
      <c r="S528" s="13">
        <f t="shared" si="34"/>
        <v>89</v>
      </c>
      <c r="T528" s="14">
        <f t="shared" si="35"/>
        <v>0.31899641577060933</v>
      </c>
    </row>
    <row r="529" spans="1:20">
      <c r="A529" t="s">
        <v>1233</v>
      </c>
      <c r="B529" s="8">
        <v>45831</v>
      </c>
      <c r="C529" t="s">
        <v>673</v>
      </c>
      <c r="D529" t="s">
        <v>48</v>
      </c>
      <c r="E529" t="s">
        <v>701</v>
      </c>
      <c r="F529" t="s">
        <v>702</v>
      </c>
      <c r="G529">
        <v>4</v>
      </c>
      <c r="H529" s="9">
        <v>0</v>
      </c>
      <c r="I529" t="s">
        <v>699</v>
      </c>
      <c r="J529">
        <v>3</v>
      </c>
      <c r="K529">
        <v>1</v>
      </c>
      <c r="L529" t="str">
        <f>VLOOKUP(D529,Products!A:E,2,FALSE)</f>
        <v>Monitor</v>
      </c>
      <c r="M529" t="str">
        <f>VLOOKUP(D529,Products!A:E,3,FALSE)</f>
        <v>Technology</v>
      </c>
      <c r="N529">
        <f>VLOOKUP(D529,Products!A:E,4,FALSE)</f>
        <v>310</v>
      </c>
      <c r="O529" s="13">
        <f>VLOOKUP(D529,Products!A:E,5,FALSE)</f>
        <v>190</v>
      </c>
      <c r="P529" s="13" t="str">
        <f>VLOOKUP(C529,Customers!A:C,3,FALSE)</f>
        <v>Consumer</v>
      </c>
      <c r="Q529" s="13">
        <f t="shared" si="32"/>
        <v>1240</v>
      </c>
      <c r="R529" s="13">
        <f t="shared" si="33"/>
        <v>760</v>
      </c>
      <c r="S529" s="13">
        <f t="shared" si="34"/>
        <v>480</v>
      </c>
      <c r="T529" s="14">
        <f t="shared" si="35"/>
        <v>0.38709677419354838</v>
      </c>
    </row>
    <row r="530" spans="1:20">
      <c r="A530" t="s">
        <v>1234</v>
      </c>
      <c r="B530" s="8">
        <v>45942</v>
      </c>
      <c r="C530" t="s">
        <v>345</v>
      </c>
      <c r="D530" t="s">
        <v>54</v>
      </c>
      <c r="E530" t="s">
        <v>701</v>
      </c>
      <c r="F530" t="s">
        <v>702</v>
      </c>
      <c r="G530">
        <v>1</v>
      </c>
      <c r="H530" s="9">
        <v>0.1</v>
      </c>
      <c r="I530" t="s">
        <v>699</v>
      </c>
      <c r="J530">
        <v>5</v>
      </c>
      <c r="K530">
        <v>2</v>
      </c>
      <c r="L530" t="str">
        <f>VLOOKUP(D530,Products!A:E,2,FALSE)</f>
        <v>Webcam</v>
      </c>
      <c r="M530" t="str">
        <f>VLOOKUP(D530,Products!A:E,3,FALSE)</f>
        <v>Technology</v>
      </c>
      <c r="N530">
        <f>VLOOKUP(D530,Products!A:E,4,FALSE)</f>
        <v>115</v>
      </c>
      <c r="O530" s="13">
        <f>VLOOKUP(D530,Products!A:E,5,FALSE)</f>
        <v>58</v>
      </c>
      <c r="P530" s="13" t="str">
        <f>VLOOKUP(C530,Customers!A:C,3,FALSE)</f>
        <v>Small Business</v>
      </c>
      <c r="Q530" s="13">
        <f t="shared" si="32"/>
        <v>103.5</v>
      </c>
      <c r="R530" s="13">
        <f t="shared" si="33"/>
        <v>58</v>
      </c>
      <c r="S530" s="13">
        <f t="shared" si="34"/>
        <v>45.5</v>
      </c>
      <c r="T530" s="14">
        <f t="shared" si="35"/>
        <v>0.43961352657004832</v>
      </c>
    </row>
    <row r="531" spans="1:20">
      <c r="A531" t="s">
        <v>1235</v>
      </c>
      <c r="B531" s="8">
        <v>46115</v>
      </c>
      <c r="C531" t="s">
        <v>465</v>
      </c>
      <c r="D531" t="s">
        <v>56</v>
      </c>
      <c r="E531" t="s">
        <v>708</v>
      </c>
      <c r="F531" t="s">
        <v>698</v>
      </c>
      <c r="G531">
        <v>2</v>
      </c>
      <c r="H531" s="9">
        <v>0.1</v>
      </c>
      <c r="I531" t="s">
        <v>699</v>
      </c>
      <c r="J531">
        <v>4</v>
      </c>
      <c r="K531">
        <v>1</v>
      </c>
      <c r="L531" t="str">
        <f>VLOOKUP(D531,Products!A:E,2,FALSE)</f>
        <v>Headset</v>
      </c>
      <c r="M531" t="str">
        <f>VLOOKUP(D531,Products!A:E,3,FALSE)</f>
        <v>Technology</v>
      </c>
      <c r="N531">
        <f>VLOOKUP(D531,Products!A:E,4,FALSE)</f>
        <v>98</v>
      </c>
      <c r="O531" s="13">
        <f>VLOOKUP(D531,Products!A:E,5,FALSE)</f>
        <v>46</v>
      </c>
      <c r="P531" s="13" t="str">
        <f>VLOOKUP(C531,Customers!A:C,3,FALSE)</f>
        <v>Consumer</v>
      </c>
      <c r="Q531" s="13">
        <f t="shared" si="32"/>
        <v>176.4</v>
      </c>
      <c r="R531" s="13">
        <f t="shared" si="33"/>
        <v>92</v>
      </c>
      <c r="S531" s="13">
        <f t="shared" si="34"/>
        <v>84.4</v>
      </c>
      <c r="T531" s="14">
        <f t="shared" si="35"/>
        <v>0.47845804988662133</v>
      </c>
    </row>
    <row r="532" spans="1:20">
      <c r="A532" t="s">
        <v>1236</v>
      </c>
      <c r="B532" s="8">
        <v>45806</v>
      </c>
      <c r="C532" t="s">
        <v>243</v>
      </c>
      <c r="D532" t="s">
        <v>79</v>
      </c>
      <c r="E532" t="s">
        <v>701</v>
      </c>
      <c r="F532" t="s">
        <v>702</v>
      </c>
      <c r="G532">
        <v>2</v>
      </c>
      <c r="H532" s="9">
        <v>0.1</v>
      </c>
      <c r="I532" t="s">
        <v>699</v>
      </c>
      <c r="J532">
        <v>3</v>
      </c>
      <c r="K532">
        <v>5</v>
      </c>
      <c r="L532" t="str">
        <f>VLOOKUP(D532,Products!A:E,2,FALSE)</f>
        <v>Desk Organiser</v>
      </c>
      <c r="M532" t="str">
        <f>VLOOKUP(D532,Products!A:E,3,FALSE)</f>
        <v>Office Supplies</v>
      </c>
      <c r="N532">
        <f>VLOOKUP(D532,Products!A:E,4,FALSE)</f>
        <v>28</v>
      </c>
      <c r="O532" s="13">
        <f>VLOOKUP(D532,Products!A:E,5,FALSE)</f>
        <v>12</v>
      </c>
      <c r="P532" s="13" t="str">
        <f>VLOOKUP(C532,Customers!A:C,3,FALSE)</f>
        <v>Consumer</v>
      </c>
      <c r="Q532" s="13">
        <f t="shared" si="32"/>
        <v>50.4</v>
      </c>
      <c r="R532" s="13">
        <f t="shared" si="33"/>
        <v>24</v>
      </c>
      <c r="S532" s="13">
        <f t="shared" si="34"/>
        <v>26.4</v>
      </c>
      <c r="T532" s="14">
        <f t="shared" si="35"/>
        <v>0.52380952380952384</v>
      </c>
    </row>
    <row r="533" spans="1:20">
      <c r="A533" t="s">
        <v>1237</v>
      </c>
      <c r="B533" s="8">
        <v>46011</v>
      </c>
      <c r="C533" t="s">
        <v>141</v>
      </c>
      <c r="D533" t="s">
        <v>63</v>
      </c>
      <c r="E533" t="s">
        <v>701</v>
      </c>
      <c r="F533" t="s">
        <v>702</v>
      </c>
      <c r="G533">
        <v>1</v>
      </c>
      <c r="H533" s="9">
        <v>0</v>
      </c>
      <c r="I533" t="s">
        <v>699</v>
      </c>
      <c r="J533">
        <v>5</v>
      </c>
      <c r="K533">
        <v>5</v>
      </c>
      <c r="L533" t="str">
        <f>VLOOKUP(D533,Products!A:E,2,FALSE)</f>
        <v>Bookshelf</v>
      </c>
      <c r="M533" t="str">
        <f>VLOOKUP(D533,Products!A:E,3,FALSE)</f>
        <v>Furniture</v>
      </c>
      <c r="N533">
        <f>VLOOKUP(D533,Products!A:E,4,FALSE)</f>
        <v>185</v>
      </c>
      <c r="O533" s="13">
        <f>VLOOKUP(D533,Products!A:E,5,FALSE)</f>
        <v>105</v>
      </c>
      <c r="P533" s="13" t="str">
        <f>VLOOKUP(C533,Customers!A:C,3,FALSE)</f>
        <v>Consumer</v>
      </c>
      <c r="Q533" s="13">
        <f t="shared" si="32"/>
        <v>185</v>
      </c>
      <c r="R533" s="13">
        <f t="shared" si="33"/>
        <v>105</v>
      </c>
      <c r="S533" s="13">
        <f t="shared" si="34"/>
        <v>80</v>
      </c>
      <c r="T533" s="14">
        <f t="shared" si="35"/>
        <v>0.43243243243243246</v>
      </c>
    </row>
    <row r="534" spans="1:20">
      <c r="A534" t="s">
        <v>1238</v>
      </c>
      <c r="B534" s="8">
        <v>45897</v>
      </c>
      <c r="C534" t="s">
        <v>475</v>
      </c>
      <c r="D534" t="s">
        <v>72</v>
      </c>
      <c r="E534" t="s">
        <v>715</v>
      </c>
      <c r="F534" t="s">
        <v>702</v>
      </c>
      <c r="G534">
        <v>5</v>
      </c>
      <c r="H534" s="9">
        <v>0</v>
      </c>
      <c r="I534" t="s">
        <v>703</v>
      </c>
      <c r="J534">
        <v>4</v>
      </c>
      <c r="K534">
        <v>4</v>
      </c>
      <c r="L534" t="str">
        <f>VLOOKUP(D534,Products!A:E,2,FALSE)</f>
        <v>Phone Charger</v>
      </c>
      <c r="M534" t="str">
        <f>VLOOKUP(D534,Products!A:E,3,FALSE)</f>
        <v>Accessories</v>
      </c>
      <c r="N534">
        <f>VLOOKUP(D534,Products!A:E,4,FALSE)</f>
        <v>32</v>
      </c>
      <c r="O534" s="13">
        <f>VLOOKUP(D534,Products!A:E,5,FALSE)</f>
        <v>13</v>
      </c>
      <c r="P534" s="13" t="str">
        <f>VLOOKUP(C534,Customers!A:C,3,FALSE)</f>
        <v>Consumer</v>
      </c>
      <c r="Q534" s="13">
        <f t="shared" si="32"/>
        <v>160</v>
      </c>
      <c r="R534" s="13">
        <f t="shared" si="33"/>
        <v>65</v>
      </c>
      <c r="S534" s="13">
        <f t="shared" si="34"/>
        <v>95</v>
      </c>
      <c r="T534" s="14">
        <f t="shared" si="35"/>
        <v>0.59375</v>
      </c>
    </row>
    <row r="535" spans="1:20">
      <c r="A535" t="s">
        <v>1239</v>
      </c>
      <c r="B535" s="8">
        <v>45757</v>
      </c>
      <c r="C535" t="s">
        <v>631</v>
      </c>
      <c r="D535" t="s">
        <v>70</v>
      </c>
      <c r="E535" t="s">
        <v>697</v>
      </c>
      <c r="F535" t="s">
        <v>702</v>
      </c>
      <c r="G535">
        <v>6</v>
      </c>
      <c r="H535" s="9">
        <v>0.15</v>
      </c>
      <c r="I535" t="s">
        <v>699</v>
      </c>
      <c r="J535">
        <v>4</v>
      </c>
      <c r="K535">
        <v>1</v>
      </c>
      <c r="L535" t="str">
        <f>VLOOKUP(D535,Products!A:E,2,FALSE)</f>
        <v>USB-C Hub</v>
      </c>
      <c r="M535" t="str">
        <f>VLOOKUP(D535,Products!A:E,3,FALSE)</f>
        <v>Accessories</v>
      </c>
      <c r="N535">
        <f>VLOOKUP(D535,Products!A:E,4,FALSE)</f>
        <v>68</v>
      </c>
      <c r="O535" s="13">
        <f>VLOOKUP(D535,Products!A:E,5,FALSE)</f>
        <v>31</v>
      </c>
      <c r="P535" s="13" t="str">
        <f>VLOOKUP(C535,Customers!A:C,3,FALSE)</f>
        <v>Corporate</v>
      </c>
      <c r="Q535" s="13">
        <f t="shared" si="32"/>
        <v>346.8</v>
      </c>
      <c r="R535" s="13">
        <f t="shared" si="33"/>
        <v>186</v>
      </c>
      <c r="S535" s="13">
        <f t="shared" si="34"/>
        <v>160.80000000000001</v>
      </c>
      <c r="T535" s="14">
        <f t="shared" si="35"/>
        <v>0.46366782006920415</v>
      </c>
    </row>
    <row r="536" spans="1:20">
      <c r="A536" t="s">
        <v>1240</v>
      </c>
      <c r="B536" s="8">
        <v>45919</v>
      </c>
      <c r="C536" t="s">
        <v>685</v>
      </c>
      <c r="D536" t="s">
        <v>72</v>
      </c>
      <c r="E536" t="s">
        <v>715</v>
      </c>
      <c r="F536" t="s">
        <v>698</v>
      </c>
      <c r="G536">
        <v>1</v>
      </c>
      <c r="H536" s="9">
        <v>0.1</v>
      </c>
      <c r="I536" t="s">
        <v>699</v>
      </c>
      <c r="J536">
        <v>4</v>
      </c>
      <c r="K536">
        <v>2</v>
      </c>
      <c r="L536" t="str">
        <f>VLOOKUP(D536,Products!A:E,2,FALSE)</f>
        <v>Phone Charger</v>
      </c>
      <c r="M536" t="str">
        <f>VLOOKUP(D536,Products!A:E,3,FALSE)</f>
        <v>Accessories</v>
      </c>
      <c r="N536">
        <f>VLOOKUP(D536,Products!A:E,4,FALSE)</f>
        <v>32</v>
      </c>
      <c r="O536" s="13">
        <f>VLOOKUP(D536,Products!A:E,5,FALSE)</f>
        <v>13</v>
      </c>
      <c r="P536" s="13" t="str">
        <f>VLOOKUP(C536,Customers!A:C,3,FALSE)</f>
        <v>Small Business</v>
      </c>
      <c r="Q536" s="13">
        <f t="shared" si="32"/>
        <v>28.8</v>
      </c>
      <c r="R536" s="13">
        <f t="shared" si="33"/>
        <v>13</v>
      </c>
      <c r="S536" s="13">
        <f t="shared" si="34"/>
        <v>15.8</v>
      </c>
      <c r="T536" s="14">
        <f t="shared" si="35"/>
        <v>0.54861111111111116</v>
      </c>
    </row>
    <row r="537" spans="1:20">
      <c r="A537" t="s">
        <v>1241</v>
      </c>
      <c r="B537" s="8">
        <v>45978</v>
      </c>
      <c r="C537" t="s">
        <v>647</v>
      </c>
      <c r="D537" t="s">
        <v>45</v>
      </c>
      <c r="E537" t="s">
        <v>701</v>
      </c>
      <c r="F537" t="s">
        <v>706</v>
      </c>
      <c r="G537">
        <v>1</v>
      </c>
      <c r="H537" s="9">
        <v>0</v>
      </c>
      <c r="I537" t="s">
        <v>699</v>
      </c>
      <c r="J537">
        <v>4</v>
      </c>
      <c r="K537">
        <v>2</v>
      </c>
      <c r="L537" t="str">
        <f>VLOOKUP(D537,Products!A:E,2,FALSE)</f>
        <v>Laptop</v>
      </c>
      <c r="M537" t="str">
        <f>VLOOKUP(D537,Products!A:E,3,FALSE)</f>
        <v>Technology</v>
      </c>
      <c r="N537">
        <f>VLOOKUP(D537,Products!A:E,4,FALSE)</f>
        <v>1100</v>
      </c>
      <c r="O537" s="13">
        <f>VLOOKUP(D537,Products!A:E,5,FALSE)</f>
        <v>720</v>
      </c>
      <c r="P537" s="13" t="str">
        <f>VLOOKUP(C537,Customers!A:C,3,FALSE)</f>
        <v>Corporate</v>
      </c>
      <c r="Q537" s="13">
        <f t="shared" si="32"/>
        <v>1100</v>
      </c>
      <c r="R537" s="13">
        <f t="shared" si="33"/>
        <v>720</v>
      </c>
      <c r="S537" s="13">
        <f t="shared" si="34"/>
        <v>380</v>
      </c>
      <c r="T537" s="14">
        <f t="shared" si="35"/>
        <v>0.34545454545454546</v>
      </c>
    </row>
    <row r="538" spans="1:20">
      <c r="A538" t="s">
        <v>1242</v>
      </c>
      <c r="B538" s="8">
        <v>45948</v>
      </c>
      <c r="C538" t="s">
        <v>343</v>
      </c>
      <c r="D538" t="s">
        <v>58</v>
      </c>
      <c r="E538" t="s">
        <v>705</v>
      </c>
      <c r="F538" t="s">
        <v>698</v>
      </c>
      <c r="G538">
        <v>1</v>
      </c>
      <c r="H538" s="9">
        <v>0.05</v>
      </c>
      <c r="I538" t="s">
        <v>699</v>
      </c>
      <c r="J538">
        <v>3</v>
      </c>
      <c r="K538">
        <v>5</v>
      </c>
      <c r="L538" t="str">
        <f>VLOOKUP(D538,Products!A:E,2,FALSE)</f>
        <v>Standing Desk</v>
      </c>
      <c r="M538" t="str">
        <f>VLOOKUP(D538,Products!A:E,3,FALSE)</f>
        <v>Furniture</v>
      </c>
      <c r="N538">
        <f>VLOOKUP(D538,Products!A:E,4,FALSE)</f>
        <v>540</v>
      </c>
      <c r="O538" s="13">
        <f>VLOOKUP(D538,Products!A:E,5,FALSE)</f>
        <v>320</v>
      </c>
      <c r="P538" s="13" t="str">
        <f>VLOOKUP(C538,Customers!A:C,3,FALSE)</f>
        <v>Small Business</v>
      </c>
      <c r="Q538" s="13">
        <f t="shared" si="32"/>
        <v>513</v>
      </c>
      <c r="R538" s="13">
        <f t="shared" si="33"/>
        <v>320</v>
      </c>
      <c r="S538" s="13">
        <f t="shared" si="34"/>
        <v>193</v>
      </c>
      <c r="T538" s="14">
        <f t="shared" si="35"/>
        <v>0.37621832358674462</v>
      </c>
    </row>
    <row r="539" spans="1:20">
      <c r="A539" t="s">
        <v>1243</v>
      </c>
      <c r="B539" s="8">
        <v>45782</v>
      </c>
      <c r="C539" t="s">
        <v>209</v>
      </c>
      <c r="D539" t="s">
        <v>50</v>
      </c>
      <c r="E539" t="s">
        <v>697</v>
      </c>
      <c r="F539" t="s">
        <v>702</v>
      </c>
      <c r="G539">
        <v>3</v>
      </c>
      <c r="H539" s="9">
        <v>0.15</v>
      </c>
      <c r="I539" t="s">
        <v>699</v>
      </c>
      <c r="J539">
        <v>5</v>
      </c>
      <c r="K539">
        <v>1</v>
      </c>
      <c r="L539" t="str">
        <f>VLOOKUP(D539,Products!A:E,2,FALSE)</f>
        <v>Keyboard</v>
      </c>
      <c r="M539" t="str">
        <f>VLOOKUP(D539,Products!A:E,3,FALSE)</f>
        <v>Technology</v>
      </c>
      <c r="N539">
        <f>VLOOKUP(D539,Products!A:E,4,FALSE)</f>
        <v>75</v>
      </c>
      <c r="O539" s="13">
        <f>VLOOKUP(D539,Products!A:E,5,FALSE)</f>
        <v>38</v>
      </c>
      <c r="P539" s="13" t="str">
        <f>VLOOKUP(C539,Customers!A:C,3,FALSE)</f>
        <v>Corporate</v>
      </c>
      <c r="Q539" s="13">
        <f t="shared" si="32"/>
        <v>191.25</v>
      </c>
      <c r="R539" s="13">
        <f t="shared" si="33"/>
        <v>114</v>
      </c>
      <c r="S539" s="13">
        <f t="shared" si="34"/>
        <v>77.25</v>
      </c>
      <c r="T539" s="14">
        <f t="shared" si="35"/>
        <v>0.40392156862745099</v>
      </c>
    </row>
    <row r="540" spans="1:20">
      <c r="A540" t="s">
        <v>1244</v>
      </c>
      <c r="B540" s="8">
        <v>45846</v>
      </c>
      <c r="C540" t="s">
        <v>345</v>
      </c>
      <c r="D540" t="s">
        <v>65</v>
      </c>
      <c r="E540" t="s">
        <v>715</v>
      </c>
      <c r="F540" t="s">
        <v>706</v>
      </c>
      <c r="G540">
        <v>3</v>
      </c>
      <c r="H540" s="9">
        <v>0.15</v>
      </c>
      <c r="I540" t="s">
        <v>699</v>
      </c>
      <c r="J540">
        <v>4</v>
      </c>
      <c r="K540">
        <v>3</v>
      </c>
      <c r="L540" t="str">
        <f>VLOOKUP(D540,Products!A:E,2,FALSE)</f>
        <v>Laptop Stand</v>
      </c>
      <c r="M540" t="str">
        <f>VLOOKUP(D540,Products!A:E,3,FALSE)</f>
        <v>Accessories</v>
      </c>
      <c r="N540">
        <f>VLOOKUP(D540,Products!A:E,4,FALSE)</f>
        <v>48</v>
      </c>
      <c r="O540" s="13">
        <f>VLOOKUP(D540,Products!A:E,5,FALSE)</f>
        <v>22</v>
      </c>
      <c r="P540" s="13" t="str">
        <f>VLOOKUP(C540,Customers!A:C,3,FALSE)</f>
        <v>Small Business</v>
      </c>
      <c r="Q540" s="13">
        <f t="shared" si="32"/>
        <v>122.39999999999999</v>
      </c>
      <c r="R540" s="13">
        <f t="shared" si="33"/>
        <v>66</v>
      </c>
      <c r="S540" s="13">
        <f t="shared" si="34"/>
        <v>56.399999999999991</v>
      </c>
      <c r="T540" s="14">
        <f t="shared" si="35"/>
        <v>0.46078431372549017</v>
      </c>
    </row>
    <row r="541" spans="1:20">
      <c r="A541" t="s">
        <v>1245</v>
      </c>
      <c r="B541" s="8">
        <v>45921</v>
      </c>
      <c r="C541" t="s">
        <v>251</v>
      </c>
      <c r="D541" t="s">
        <v>50</v>
      </c>
      <c r="E541" t="s">
        <v>708</v>
      </c>
      <c r="F541" t="s">
        <v>702</v>
      </c>
      <c r="G541">
        <v>2</v>
      </c>
      <c r="H541" s="9">
        <v>0.2</v>
      </c>
      <c r="I541" t="s">
        <v>699</v>
      </c>
      <c r="J541">
        <v>5</v>
      </c>
      <c r="K541">
        <v>2</v>
      </c>
      <c r="L541" t="str">
        <f>VLOOKUP(D541,Products!A:E,2,FALSE)</f>
        <v>Keyboard</v>
      </c>
      <c r="M541" t="str">
        <f>VLOOKUP(D541,Products!A:E,3,FALSE)</f>
        <v>Technology</v>
      </c>
      <c r="N541">
        <f>VLOOKUP(D541,Products!A:E,4,FALSE)</f>
        <v>75</v>
      </c>
      <c r="O541" s="13">
        <f>VLOOKUP(D541,Products!A:E,5,FALSE)</f>
        <v>38</v>
      </c>
      <c r="P541" s="13" t="str">
        <f>VLOOKUP(C541,Customers!A:C,3,FALSE)</f>
        <v>Corporate</v>
      </c>
      <c r="Q541" s="13">
        <f t="shared" si="32"/>
        <v>120</v>
      </c>
      <c r="R541" s="13">
        <f t="shared" si="33"/>
        <v>76</v>
      </c>
      <c r="S541" s="13">
        <f t="shared" si="34"/>
        <v>44</v>
      </c>
      <c r="T541" s="14">
        <f t="shared" si="35"/>
        <v>0.36666666666666664</v>
      </c>
    </row>
    <row r="542" spans="1:20">
      <c r="A542" t="s">
        <v>1246</v>
      </c>
      <c r="B542" s="8">
        <v>46109</v>
      </c>
      <c r="C542" t="s">
        <v>157</v>
      </c>
      <c r="D542" t="s">
        <v>79</v>
      </c>
      <c r="E542" t="s">
        <v>697</v>
      </c>
      <c r="F542" t="s">
        <v>702</v>
      </c>
      <c r="G542">
        <v>2</v>
      </c>
      <c r="H542" s="9">
        <v>0.05</v>
      </c>
      <c r="I542" t="s">
        <v>699</v>
      </c>
      <c r="J542">
        <v>4</v>
      </c>
      <c r="K542">
        <v>4</v>
      </c>
      <c r="L542" t="str">
        <f>VLOOKUP(D542,Products!A:E,2,FALSE)</f>
        <v>Desk Organiser</v>
      </c>
      <c r="M542" t="str">
        <f>VLOOKUP(D542,Products!A:E,3,FALSE)</f>
        <v>Office Supplies</v>
      </c>
      <c r="N542">
        <f>VLOOKUP(D542,Products!A:E,4,FALSE)</f>
        <v>28</v>
      </c>
      <c r="O542" s="13">
        <f>VLOOKUP(D542,Products!A:E,5,FALSE)</f>
        <v>12</v>
      </c>
      <c r="P542" s="13" t="str">
        <f>VLOOKUP(C542,Customers!A:C,3,FALSE)</f>
        <v>Corporate</v>
      </c>
      <c r="Q542" s="13">
        <f t="shared" si="32"/>
        <v>53.199999999999996</v>
      </c>
      <c r="R542" s="13">
        <f t="shared" si="33"/>
        <v>24</v>
      </c>
      <c r="S542" s="13">
        <f t="shared" si="34"/>
        <v>29.199999999999996</v>
      </c>
      <c r="T542" s="14">
        <f t="shared" si="35"/>
        <v>0.54887218045112773</v>
      </c>
    </row>
    <row r="543" spans="1:20">
      <c r="A543" t="s">
        <v>1247</v>
      </c>
      <c r="B543" s="8">
        <v>45881</v>
      </c>
      <c r="C543" t="s">
        <v>195</v>
      </c>
      <c r="D543" t="s">
        <v>77</v>
      </c>
      <c r="E543" t="s">
        <v>701</v>
      </c>
      <c r="F543" t="s">
        <v>702</v>
      </c>
      <c r="G543">
        <v>1</v>
      </c>
      <c r="H543" s="9">
        <v>0.05</v>
      </c>
      <c r="I543" t="s">
        <v>699</v>
      </c>
      <c r="J543">
        <v>4</v>
      </c>
      <c r="K543">
        <v>4</v>
      </c>
      <c r="L543" t="str">
        <f>VLOOKUP(D543,Products!A:E,2,FALSE)</f>
        <v>File Folder Pack</v>
      </c>
      <c r="M543" t="str">
        <f>VLOOKUP(D543,Products!A:E,3,FALSE)</f>
        <v>Office Supplies</v>
      </c>
      <c r="N543">
        <f>VLOOKUP(D543,Products!A:E,4,FALSE)</f>
        <v>23</v>
      </c>
      <c r="O543" s="13">
        <f>VLOOKUP(D543,Products!A:E,5,FALSE)</f>
        <v>10</v>
      </c>
      <c r="P543" s="13" t="str">
        <f>VLOOKUP(C543,Customers!A:C,3,FALSE)</f>
        <v>Corporate</v>
      </c>
      <c r="Q543" s="13">
        <f t="shared" si="32"/>
        <v>21.849999999999998</v>
      </c>
      <c r="R543" s="13">
        <f t="shared" si="33"/>
        <v>10</v>
      </c>
      <c r="S543" s="13">
        <f t="shared" si="34"/>
        <v>11.849999999999998</v>
      </c>
      <c r="T543" s="14">
        <f t="shared" si="35"/>
        <v>0.54233409610983974</v>
      </c>
    </row>
    <row r="544" spans="1:20">
      <c r="A544" t="s">
        <v>1248</v>
      </c>
      <c r="B544" s="8">
        <v>45810</v>
      </c>
      <c r="C544" t="s">
        <v>84</v>
      </c>
      <c r="D544" t="s">
        <v>48</v>
      </c>
      <c r="E544" t="s">
        <v>701</v>
      </c>
      <c r="F544" t="s">
        <v>702</v>
      </c>
      <c r="G544">
        <v>3</v>
      </c>
      <c r="H544" s="9">
        <v>0.15</v>
      </c>
      <c r="I544" t="s">
        <v>699</v>
      </c>
      <c r="J544">
        <v>4</v>
      </c>
      <c r="K544">
        <v>4</v>
      </c>
      <c r="L544" t="str">
        <f>VLOOKUP(D544,Products!A:E,2,FALSE)</f>
        <v>Monitor</v>
      </c>
      <c r="M544" t="str">
        <f>VLOOKUP(D544,Products!A:E,3,FALSE)</f>
        <v>Technology</v>
      </c>
      <c r="N544">
        <f>VLOOKUP(D544,Products!A:E,4,FALSE)</f>
        <v>310</v>
      </c>
      <c r="O544" s="13">
        <f>VLOOKUP(D544,Products!A:E,5,FALSE)</f>
        <v>190</v>
      </c>
      <c r="P544" s="13" t="str">
        <f>VLOOKUP(C544,Customers!A:C,3,FALSE)</f>
        <v>Corporate</v>
      </c>
      <c r="Q544" s="13">
        <f t="shared" si="32"/>
        <v>790.5</v>
      </c>
      <c r="R544" s="13">
        <f t="shared" si="33"/>
        <v>570</v>
      </c>
      <c r="S544" s="13">
        <f t="shared" si="34"/>
        <v>220.5</v>
      </c>
      <c r="T544" s="14">
        <f t="shared" si="35"/>
        <v>0.27893738140417457</v>
      </c>
    </row>
    <row r="545" spans="1:20">
      <c r="A545" t="s">
        <v>1249</v>
      </c>
      <c r="B545" s="8">
        <v>46147</v>
      </c>
      <c r="C545" t="s">
        <v>533</v>
      </c>
      <c r="D545" t="s">
        <v>72</v>
      </c>
      <c r="E545" t="s">
        <v>697</v>
      </c>
      <c r="F545" t="s">
        <v>698</v>
      </c>
      <c r="G545">
        <v>4</v>
      </c>
      <c r="H545" s="9">
        <v>0.05</v>
      </c>
      <c r="I545" t="s">
        <v>699</v>
      </c>
      <c r="J545">
        <v>5</v>
      </c>
      <c r="K545">
        <v>4</v>
      </c>
      <c r="L545" t="str">
        <f>VLOOKUP(D545,Products!A:E,2,FALSE)</f>
        <v>Phone Charger</v>
      </c>
      <c r="M545" t="str">
        <f>VLOOKUP(D545,Products!A:E,3,FALSE)</f>
        <v>Accessories</v>
      </c>
      <c r="N545">
        <f>VLOOKUP(D545,Products!A:E,4,FALSE)</f>
        <v>32</v>
      </c>
      <c r="O545" s="13">
        <f>VLOOKUP(D545,Products!A:E,5,FALSE)</f>
        <v>13</v>
      </c>
      <c r="P545" s="13" t="str">
        <f>VLOOKUP(C545,Customers!A:C,3,FALSE)</f>
        <v>Corporate</v>
      </c>
      <c r="Q545" s="13">
        <f t="shared" si="32"/>
        <v>121.6</v>
      </c>
      <c r="R545" s="13">
        <f t="shared" si="33"/>
        <v>52</v>
      </c>
      <c r="S545" s="13">
        <f t="shared" si="34"/>
        <v>69.599999999999994</v>
      </c>
      <c r="T545" s="14">
        <f t="shared" si="35"/>
        <v>0.57236842105263153</v>
      </c>
    </row>
    <row r="546" spans="1:20">
      <c r="A546" t="s">
        <v>1250</v>
      </c>
      <c r="B546" s="8">
        <v>45782</v>
      </c>
      <c r="C546" t="s">
        <v>667</v>
      </c>
      <c r="D546" t="s">
        <v>70</v>
      </c>
      <c r="E546" t="s">
        <v>708</v>
      </c>
      <c r="F546" t="s">
        <v>702</v>
      </c>
      <c r="G546">
        <v>1</v>
      </c>
      <c r="H546" s="9">
        <v>0.2</v>
      </c>
      <c r="I546" t="s">
        <v>699</v>
      </c>
      <c r="J546">
        <v>4</v>
      </c>
      <c r="K546">
        <v>3</v>
      </c>
      <c r="L546" t="str">
        <f>VLOOKUP(D546,Products!A:E,2,FALSE)</f>
        <v>USB-C Hub</v>
      </c>
      <c r="M546" t="str">
        <f>VLOOKUP(D546,Products!A:E,3,FALSE)</f>
        <v>Accessories</v>
      </c>
      <c r="N546">
        <f>VLOOKUP(D546,Products!A:E,4,FALSE)</f>
        <v>68</v>
      </c>
      <c r="O546" s="13">
        <f>VLOOKUP(D546,Products!A:E,5,FALSE)</f>
        <v>31</v>
      </c>
      <c r="P546" s="13" t="str">
        <f>VLOOKUP(C546,Customers!A:C,3,FALSE)</f>
        <v>Consumer</v>
      </c>
      <c r="Q546" s="13">
        <f t="shared" si="32"/>
        <v>54.400000000000006</v>
      </c>
      <c r="R546" s="13">
        <f t="shared" si="33"/>
        <v>31</v>
      </c>
      <c r="S546" s="13">
        <f t="shared" si="34"/>
        <v>23.400000000000006</v>
      </c>
      <c r="T546" s="14">
        <f t="shared" si="35"/>
        <v>0.43014705882352949</v>
      </c>
    </row>
    <row r="547" spans="1:20">
      <c r="A547" t="s">
        <v>1251</v>
      </c>
      <c r="B547" s="8">
        <v>45740</v>
      </c>
      <c r="C547" t="s">
        <v>557</v>
      </c>
      <c r="D547" t="s">
        <v>65</v>
      </c>
      <c r="E547" t="s">
        <v>701</v>
      </c>
      <c r="F547" t="s">
        <v>702</v>
      </c>
      <c r="G547">
        <v>1</v>
      </c>
      <c r="H547" s="9">
        <v>0</v>
      </c>
      <c r="I547" t="s">
        <v>699</v>
      </c>
      <c r="J547">
        <v>5</v>
      </c>
      <c r="K547">
        <v>1</v>
      </c>
      <c r="L547" t="str">
        <f>VLOOKUP(D547,Products!A:E,2,FALSE)</f>
        <v>Laptop Stand</v>
      </c>
      <c r="M547" t="str">
        <f>VLOOKUP(D547,Products!A:E,3,FALSE)</f>
        <v>Accessories</v>
      </c>
      <c r="N547">
        <f>VLOOKUP(D547,Products!A:E,4,FALSE)</f>
        <v>48</v>
      </c>
      <c r="O547" s="13">
        <f>VLOOKUP(D547,Products!A:E,5,FALSE)</f>
        <v>22</v>
      </c>
      <c r="P547" s="13" t="str">
        <f>VLOOKUP(C547,Customers!A:C,3,FALSE)</f>
        <v>Consumer</v>
      </c>
      <c r="Q547" s="13">
        <f t="shared" si="32"/>
        <v>48</v>
      </c>
      <c r="R547" s="13">
        <f t="shared" si="33"/>
        <v>22</v>
      </c>
      <c r="S547" s="13">
        <f t="shared" si="34"/>
        <v>26</v>
      </c>
      <c r="T547" s="14">
        <f t="shared" si="35"/>
        <v>0.54166666666666663</v>
      </c>
    </row>
    <row r="548" spans="1:20">
      <c r="A548" t="s">
        <v>1252</v>
      </c>
      <c r="B548" s="8">
        <v>46025</v>
      </c>
      <c r="C548" t="s">
        <v>585</v>
      </c>
      <c r="D548" t="s">
        <v>50</v>
      </c>
      <c r="E548" t="s">
        <v>697</v>
      </c>
      <c r="F548" t="s">
        <v>702</v>
      </c>
      <c r="G548">
        <v>1</v>
      </c>
      <c r="H548" s="9">
        <v>0</v>
      </c>
      <c r="I548" t="s">
        <v>699</v>
      </c>
      <c r="J548">
        <v>5</v>
      </c>
      <c r="K548">
        <v>2</v>
      </c>
      <c r="L548" t="str">
        <f>VLOOKUP(D548,Products!A:E,2,FALSE)</f>
        <v>Keyboard</v>
      </c>
      <c r="M548" t="str">
        <f>VLOOKUP(D548,Products!A:E,3,FALSE)</f>
        <v>Technology</v>
      </c>
      <c r="N548">
        <f>VLOOKUP(D548,Products!A:E,4,FALSE)</f>
        <v>75</v>
      </c>
      <c r="O548" s="13">
        <f>VLOOKUP(D548,Products!A:E,5,FALSE)</f>
        <v>38</v>
      </c>
      <c r="P548" s="13" t="str">
        <f>VLOOKUP(C548,Customers!A:C,3,FALSE)</f>
        <v>Consumer</v>
      </c>
      <c r="Q548" s="13">
        <f t="shared" si="32"/>
        <v>75</v>
      </c>
      <c r="R548" s="13">
        <f t="shared" si="33"/>
        <v>38</v>
      </c>
      <c r="S548" s="13">
        <f t="shared" si="34"/>
        <v>37</v>
      </c>
      <c r="T548" s="14">
        <f t="shared" si="35"/>
        <v>0.49333333333333335</v>
      </c>
    </row>
    <row r="549" spans="1:20">
      <c r="A549" t="s">
        <v>1253</v>
      </c>
      <c r="B549" s="8">
        <v>46158</v>
      </c>
      <c r="C549" t="s">
        <v>485</v>
      </c>
      <c r="D549" t="s">
        <v>50</v>
      </c>
      <c r="E549" t="s">
        <v>697</v>
      </c>
      <c r="F549" t="s">
        <v>698</v>
      </c>
      <c r="G549">
        <v>2</v>
      </c>
      <c r="H549" s="9">
        <v>0.2</v>
      </c>
      <c r="I549" t="s">
        <v>699</v>
      </c>
      <c r="J549">
        <v>5</v>
      </c>
      <c r="K549">
        <v>1</v>
      </c>
      <c r="L549" t="str">
        <f>VLOOKUP(D549,Products!A:E,2,FALSE)</f>
        <v>Keyboard</v>
      </c>
      <c r="M549" t="str">
        <f>VLOOKUP(D549,Products!A:E,3,FALSE)</f>
        <v>Technology</v>
      </c>
      <c r="N549">
        <f>VLOOKUP(D549,Products!A:E,4,FALSE)</f>
        <v>75</v>
      </c>
      <c r="O549" s="13">
        <f>VLOOKUP(D549,Products!A:E,5,FALSE)</f>
        <v>38</v>
      </c>
      <c r="P549" s="13" t="str">
        <f>VLOOKUP(C549,Customers!A:C,3,FALSE)</f>
        <v>Small Business</v>
      </c>
      <c r="Q549" s="13">
        <f t="shared" si="32"/>
        <v>120</v>
      </c>
      <c r="R549" s="13">
        <f t="shared" si="33"/>
        <v>76</v>
      </c>
      <c r="S549" s="13">
        <f t="shared" si="34"/>
        <v>44</v>
      </c>
      <c r="T549" s="14">
        <f t="shared" si="35"/>
        <v>0.36666666666666664</v>
      </c>
    </row>
    <row r="550" spans="1:20">
      <c r="A550" t="s">
        <v>1254</v>
      </c>
      <c r="B550" s="8">
        <v>45695</v>
      </c>
      <c r="C550" t="s">
        <v>433</v>
      </c>
      <c r="D550" t="s">
        <v>48</v>
      </c>
      <c r="E550" t="s">
        <v>708</v>
      </c>
      <c r="F550" t="s">
        <v>698</v>
      </c>
      <c r="G550">
        <v>2</v>
      </c>
      <c r="H550" s="9">
        <v>0</v>
      </c>
      <c r="I550" t="s">
        <v>699</v>
      </c>
      <c r="J550">
        <v>4</v>
      </c>
      <c r="K550">
        <v>5</v>
      </c>
      <c r="L550" t="str">
        <f>VLOOKUP(D550,Products!A:E,2,FALSE)</f>
        <v>Monitor</v>
      </c>
      <c r="M550" t="str">
        <f>VLOOKUP(D550,Products!A:E,3,FALSE)</f>
        <v>Technology</v>
      </c>
      <c r="N550">
        <f>VLOOKUP(D550,Products!A:E,4,FALSE)</f>
        <v>310</v>
      </c>
      <c r="O550" s="13">
        <f>VLOOKUP(D550,Products!A:E,5,FALSE)</f>
        <v>190</v>
      </c>
      <c r="P550" s="13" t="str">
        <f>VLOOKUP(C550,Customers!A:C,3,FALSE)</f>
        <v>Corporate</v>
      </c>
      <c r="Q550" s="13">
        <f t="shared" si="32"/>
        <v>620</v>
      </c>
      <c r="R550" s="13">
        <f t="shared" si="33"/>
        <v>380</v>
      </c>
      <c r="S550" s="13">
        <f t="shared" si="34"/>
        <v>240</v>
      </c>
      <c r="T550" s="14">
        <f t="shared" si="35"/>
        <v>0.38709677419354838</v>
      </c>
    </row>
    <row r="551" spans="1:20">
      <c r="A551" t="s">
        <v>1255</v>
      </c>
      <c r="B551" s="8">
        <v>45810</v>
      </c>
      <c r="C551" t="s">
        <v>679</v>
      </c>
      <c r="D551" t="s">
        <v>61</v>
      </c>
      <c r="E551" t="s">
        <v>697</v>
      </c>
      <c r="F551" t="s">
        <v>702</v>
      </c>
      <c r="G551">
        <v>1</v>
      </c>
      <c r="H551" s="9">
        <v>0.05</v>
      </c>
      <c r="I551" t="s">
        <v>699</v>
      </c>
      <c r="J551">
        <v>5</v>
      </c>
      <c r="K551">
        <v>1</v>
      </c>
      <c r="L551" t="str">
        <f>VLOOKUP(D551,Products!A:E,2,FALSE)</f>
        <v>Office Chair</v>
      </c>
      <c r="M551" t="str">
        <f>VLOOKUP(D551,Products!A:E,3,FALSE)</f>
        <v>Furniture</v>
      </c>
      <c r="N551">
        <f>VLOOKUP(D551,Products!A:E,4,FALSE)</f>
        <v>255</v>
      </c>
      <c r="O551" s="13">
        <f>VLOOKUP(D551,Products!A:E,5,FALSE)</f>
        <v>145</v>
      </c>
      <c r="P551" s="13" t="str">
        <f>VLOOKUP(C551,Customers!A:C,3,FALSE)</f>
        <v>Consumer</v>
      </c>
      <c r="Q551" s="13">
        <f t="shared" si="32"/>
        <v>242.25</v>
      </c>
      <c r="R551" s="13">
        <f t="shared" si="33"/>
        <v>145</v>
      </c>
      <c r="S551" s="13">
        <f t="shared" si="34"/>
        <v>97.25</v>
      </c>
      <c r="T551" s="14">
        <f t="shared" si="35"/>
        <v>0.40144478844169246</v>
      </c>
    </row>
    <row r="552" spans="1:20">
      <c r="A552" t="s">
        <v>1256</v>
      </c>
      <c r="B552" s="8">
        <v>45906</v>
      </c>
      <c r="C552" t="s">
        <v>219</v>
      </c>
      <c r="D552" t="s">
        <v>45</v>
      </c>
      <c r="E552" t="s">
        <v>705</v>
      </c>
      <c r="F552" t="s">
        <v>702</v>
      </c>
      <c r="G552">
        <v>1</v>
      </c>
      <c r="H552" s="9">
        <v>0.1</v>
      </c>
      <c r="I552" t="s">
        <v>699</v>
      </c>
      <c r="J552">
        <v>3</v>
      </c>
      <c r="K552">
        <v>5</v>
      </c>
      <c r="L552" t="str">
        <f>VLOOKUP(D552,Products!A:E,2,FALSE)</f>
        <v>Laptop</v>
      </c>
      <c r="M552" t="str">
        <f>VLOOKUP(D552,Products!A:E,3,FALSE)</f>
        <v>Technology</v>
      </c>
      <c r="N552">
        <f>VLOOKUP(D552,Products!A:E,4,FALSE)</f>
        <v>1100</v>
      </c>
      <c r="O552" s="13">
        <f>VLOOKUP(D552,Products!A:E,5,FALSE)</f>
        <v>720</v>
      </c>
      <c r="P552" s="13" t="str">
        <f>VLOOKUP(C552,Customers!A:C,3,FALSE)</f>
        <v>Consumer</v>
      </c>
      <c r="Q552" s="13">
        <f t="shared" si="32"/>
        <v>990</v>
      </c>
      <c r="R552" s="13">
        <f t="shared" si="33"/>
        <v>720</v>
      </c>
      <c r="S552" s="13">
        <f t="shared" si="34"/>
        <v>270</v>
      </c>
      <c r="T552" s="14">
        <f t="shared" si="35"/>
        <v>0.27272727272727271</v>
      </c>
    </row>
    <row r="553" spans="1:20">
      <c r="A553" t="s">
        <v>1257</v>
      </c>
      <c r="B553" s="8">
        <v>45723</v>
      </c>
      <c r="C553" t="s">
        <v>195</v>
      </c>
      <c r="D553" t="s">
        <v>52</v>
      </c>
      <c r="E553" t="s">
        <v>715</v>
      </c>
      <c r="F553" t="s">
        <v>698</v>
      </c>
      <c r="G553">
        <v>1</v>
      </c>
      <c r="H553" s="9">
        <v>0.1</v>
      </c>
      <c r="I553" t="s">
        <v>699</v>
      </c>
      <c r="J553">
        <v>5</v>
      </c>
      <c r="K553">
        <v>4</v>
      </c>
      <c r="L553" t="str">
        <f>VLOOKUP(D553,Products!A:E,2,FALSE)</f>
        <v>Mouse</v>
      </c>
      <c r="M553" t="str">
        <f>VLOOKUP(D553,Products!A:E,3,FALSE)</f>
        <v>Technology</v>
      </c>
      <c r="N553">
        <f>VLOOKUP(D553,Products!A:E,4,FALSE)</f>
        <v>42</v>
      </c>
      <c r="O553" s="13">
        <f>VLOOKUP(D553,Products!A:E,5,FALSE)</f>
        <v>19</v>
      </c>
      <c r="P553" s="13" t="str">
        <f>VLOOKUP(C553,Customers!A:C,3,FALSE)</f>
        <v>Corporate</v>
      </c>
      <c r="Q553" s="13">
        <f t="shared" si="32"/>
        <v>37.800000000000004</v>
      </c>
      <c r="R553" s="13">
        <f t="shared" si="33"/>
        <v>19</v>
      </c>
      <c r="S553" s="13">
        <f t="shared" si="34"/>
        <v>18.800000000000004</v>
      </c>
      <c r="T553" s="14">
        <f t="shared" si="35"/>
        <v>0.49735449735449744</v>
      </c>
    </row>
    <row r="554" spans="1:20">
      <c r="A554" t="s">
        <v>1258</v>
      </c>
      <c r="B554" s="8">
        <v>45990</v>
      </c>
      <c r="C554" t="s">
        <v>209</v>
      </c>
      <c r="D554" t="s">
        <v>54</v>
      </c>
      <c r="E554" t="s">
        <v>708</v>
      </c>
      <c r="F554" t="s">
        <v>706</v>
      </c>
      <c r="G554">
        <v>1</v>
      </c>
      <c r="H554" s="9">
        <v>0</v>
      </c>
      <c r="I554" t="s">
        <v>699</v>
      </c>
      <c r="J554">
        <v>2</v>
      </c>
      <c r="K554">
        <v>5</v>
      </c>
      <c r="L554" t="str">
        <f>VLOOKUP(D554,Products!A:E,2,FALSE)</f>
        <v>Webcam</v>
      </c>
      <c r="M554" t="str">
        <f>VLOOKUP(D554,Products!A:E,3,FALSE)</f>
        <v>Technology</v>
      </c>
      <c r="N554">
        <f>VLOOKUP(D554,Products!A:E,4,FALSE)</f>
        <v>115</v>
      </c>
      <c r="O554" s="13">
        <f>VLOOKUP(D554,Products!A:E,5,FALSE)</f>
        <v>58</v>
      </c>
      <c r="P554" s="13" t="str">
        <f>VLOOKUP(C554,Customers!A:C,3,FALSE)</f>
        <v>Corporate</v>
      </c>
      <c r="Q554" s="13">
        <f t="shared" si="32"/>
        <v>115</v>
      </c>
      <c r="R554" s="13">
        <f t="shared" si="33"/>
        <v>58</v>
      </c>
      <c r="S554" s="13">
        <f t="shared" si="34"/>
        <v>57</v>
      </c>
      <c r="T554" s="14">
        <f t="shared" si="35"/>
        <v>0.4956521739130435</v>
      </c>
    </row>
    <row r="555" spans="1:20">
      <c r="A555" t="s">
        <v>1259</v>
      </c>
      <c r="B555" s="8">
        <v>46083</v>
      </c>
      <c r="C555" t="s">
        <v>259</v>
      </c>
      <c r="D555" t="s">
        <v>70</v>
      </c>
      <c r="E555" t="s">
        <v>715</v>
      </c>
      <c r="F555" t="s">
        <v>702</v>
      </c>
      <c r="G555">
        <v>6</v>
      </c>
      <c r="H555" s="9">
        <v>0</v>
      </c>
      <c r="I555" t="s">
        <v>699</v>
      </c>
      <c r="J555">
        <v>5</v>
      </c>
      <c r="K555">
        <v>5</v>
      </c>
      <c r="L555" t="str">
        <f>VLOOKUP(D555,Products!A:E,2,FALSE)</f>
        <v>USB-C Hub</v>
      </c>
      <c r="M555" t="str">
        <f>VLOOKUP(D555,Products!A:E,3,FALSE)</f>
        <v>Accessories</v>
      </c>
      <c r="N555">
        <f>VLOOKUP(D555,Products!A:E,4,FALSE)</f>
        <v>68</v>
      </c>
      <c r="O555" s="13">
        <f>VLOOKUP(D555,Products!A:E,5,FALSE)</f>
        <v>31</v>
      </c>
      <c r="P555" s="13" t="str">
        <f>VLOOKUP(C555,Customers!A:C,3,FALSE)</f>
        <v>Small Business</v>
      </c>
      <c r="Q555" s="13">
        <f t="shared" si="32"/>
        <v>408</v>
      </c>
      <c r="R555" s="13">
        <f t="shared" si="33"/>
        <v>186</v>
      </c>
      <c r="S555" s="13">
        <f t="shared" si="34"/>
        <v>222</v>
      </c>
      <c r="T555" s="14">
        <f t="shared" si="35"/>
        <v>0.54411764705882348</v>
      </c>
    </row>
    <row r="556" spans="1:20">
      <c r="A556" t="s">
        <v>1260</v>
      </c>
      <c r="B556" s="8">
        <v>46043</v>
      </c>
      <c r="C556" t="s">
        <v>247</v>
      </c>
      <c r="D556" t="s">
        <v>45</v>
      </c>
      <c r="E556" t="s">
        <v>697</v>
      </c>
      <c r="F556" t="s">
        <v>702</v>
      </c>
      <c r="G556">
        <v>1</v>
      </c>
      <c r="H556" s="9">
        <v>0.15</v>
      </c>
      <c r="I556" t="s">
        <v>699</v>
      </c>
      <c r="J556">
        <v>4</v>
      </c>
      <c r="K556">
        <v>3</v>
      </c>
      <c r="L556" t="str">
        <f>VLOOKUP(D556,Products!A:E,2,FALSE)</f>
        <v>Laptop</v>
      </c>
      <c r="M556" t="str">
        <f>VLOOKUP(D556,Products!A:E,3,FALSE)</f>
        <v>Technology</v>
      </c>
      <c r="N556">
        <f>VLOOKUP(D556,Products!A:E,4,FALSE)</f>
        <v>1100</v>
      </c>
      <c r="O556" s="13">
        <f>VLOOKUP(D556,Products!A:E,5,FALSE)</f>
        <v>720</v>
      </c>
      <c r="P556" s="13" t="str">
        <f>VLOOKUP(C556,Customers!A:C,3,FALSE)</f>
        <v>Corporate</v>
      </c>
      <c r="Q556" s="13">
        <f t="shared" si="32"/>
        <v>935</v>
      </c>
      <c r="R556" s="13">
        <f t="shared" si="33"/>
        <v>720</v>
      </c>
      <c r="S556" s="13">
        <f t="shared" si="34"/>
        <v>215</v>
      </c>
      <c r="T556" s="14">
        <f t="shared" si="35"/>
        <v>0.22994652406417113</v>
      </c>
    </row>
    <row r="557" spans="1:20">
      <c r="A557" t="s">
        <v>1261</v>
      </c>
      <c r="B557" s="8">
        <v>46084</v>
      </c>
      <c r="C557" t="s">
        <v>573</v>
      </c>
      <c r="D557" t="s">
        <v>54</v>
      </c>
      <c r="E557" t="s">
        <v>705</v>
      </c>
      <c r="F557" t="s">
        <v>698</v>
      </c>
      <c r="G557">
        <v>2</v>
      </c>
      <c r="H557" s="9">
        <v>0</v>
      </c>
      <c r="I557" t="s">
        <v>703</v>
      </c>
      <c r="J557">
        <v>5</v>
      </c>
      <c r="K557">
        <v>3</v>
      </c>
      <c r="L557" t="str">
        <f>VLOOKUP(D557,Products!A:E,2,FALSE)</f>
        <v>Webcam</v>
      </c>
      <c r="M557" t="str">
        <f>VLOOKUP(D557,Products!A:E,3,FALSE)</f>
        <v>Technology</v>
      </c>
      <c r="N557">
        <f>VLOOKUP(D557,Products!A:E,4,FALSE)</f>
        <v>115</v>
      </c>
      <c r="O557" s="13">
        <f>VLOOKUP(D557,Products!A:E,5,FALSE)</f>
        <v>58</v>
      </c>
      <c r="P557" s="13" t="str">
        <f>VLOOKUP(C557,Customers!A:C,3,FALSE)</f>
        <v>Small Business</v>
      </c>
      <c r="Q557" s="13">
        <f t="shared" si="32"/>
        <v>230</v>
      </c>
      <c r="R557" s="13">
        <f t="shared" si="33"/>
        <v>116</v>
      </c>
      <c r="S557" s="13">
        <f t="shared" si="34"/>
        <v>114</v>
      </c>
      <c r="T557" s="14">
        <f t="shared" si="35"/>
        <v>0.4956521739130435</v>
      </c>
    </row>
    <row r="558" spans="1:20">
      <c r="A558" t="s">
        <v>1262</v>
      </c>
      <c r="B558" s="8">
        <v>46169</v>
      </c>
      <c r="C558" t="s">
        <v>177</v>
      </c>
      <c r="D558" t="s">
        <v>65</v>
      </c>
      <c r="E558" t="s">
        <v>708</v>
      </c>
      <c r="F558" t="s">
        <v>702</v>
      </c>
      <c r="G558">
        <v>1</v>
      </c>
      <c r="H558" s="9">
        <v>0</v>
      </c>
      <c r="I558" t="s">
        <v>699</v>
      </c>
      <c r="J558">
        <v>2</v>
      </c>
      <c r="K558">
        <v>5</v>
      </c>
      <c r="L558" t="str">
        <f>VLOOKUP(D558,Products!A:E,2,FALSE)</f>
        <v>Laptop Stand</v>
      </c>
      <c r="M558" t="str">
        <f>VLOOKUP(D558,Products!A:E,3,FALSE)</f>
        <v>Accessories</v>
      </c>
      <c r="N558">
        <f>VLOOKUP(D558,Products!A:E,4,FALSE)</f>
        <v>48</v>
      </c>
      <c r="O558" s="13">
        <f>VLOOKUP(D558,Products!A:E,5,FALSE)</f>
        <v>22</v>
      </c>
      <c r="P558" s="13" t="str">
        <f>VLOOKUP(C558,Customers!A:C,3,FALSE)</f>
        <v>Consumer</v>
      </c>
      <c r="Q558" s="13">
        <f t="shared" si="32"/>
        <v>48</v>
      </c>
      <c r="R558" s="13">
        <f t="shared" si="33"/>
        <v>22</v>
      </c>
      <c r="S558" s="13">
        <f t="shared" si="34"/>
        <v>26</v>
      </c>
      <c r="T558" s="14">
        <f t="shared" si="35"/>
        <v>0.54166666666666663</v>
      </c>
    </row>
    <row r="559" spans="1:20">
      <c r="A559" t="s">
        <v>1263</v>
      </c>
      <c r="B559" s="8">
        <v>46133</v>
      </c>
      <c r="C559" t="s">
        <v>299</v>
      </c>
      <c r="D559" t="s">
        <v>63</v>
      </c>
      <c r="E559" t="s">
        <v>705</v>
      </c>
      <c r="F559" t="s">
        <v>702</v>
      </c>
      <c r="G559">
        <v>1</v>
      </c>
      <c r="H559" s="9">
        <v>0.15</v>
      </c>
      <c r="I559" t="s">
        <v>703</v>
      </c>
      <c r="J559">
        <v>4</v>
      </c>
      <c r="K559">
        <v>3</v>
      </c>
      <c r="L559" t="str">
        <f>VLOOKUP(D559,Products!A:E,2,FALSE)</f>
        <v>Bookshelf</v>
      </c>
      <c r="M559" t="str">
        <f>VLOOKUP(D559,Products!A:E,3,FALSE)</f>
        <v>Furniture</v>
      </c>
      <c r="N559">
        <f>VLOOKUP(D559,Products!A:E,4,FALSE)</f>
        <v>185</v>
      </c>
      <c r="O559" s="13">
        <f>VLOOKUP(D559,Products!A:E,5,FALSE)</f>
        <v>105</v>
      </c>
      <c r="P559" s="13" t="str">
        <f>VLOOKUP(C559,Customers!A:C,3,FALSE)</f>
        <v>Consumer</v>
      </c>
      <c r="Q559" s="13">
        <f t="shared" si="32"/>
        <v>157.25</v>
      </c>
      <c r="R559" s="13">
        <f t="shared" si="33"/>
        <v>105</v>
      </c>
      <c r="S559" s="13">
        <f t="shared" si="34"/>
        <v>52.25</v>
      </c>
      <c r="T559" s="14">
        <f t="shared" si="35"/>
        <v>0.33227344992050872</v>
      </c>
    </row>
    <row r="560" spans="1:20">
      <c r="A560" t="s">
        <v>1264</v>
      </c>
      <c r="B560" s="8">
        <v>45713</v>
      </c>
      <c r="C560" t="s">
        <v>459</v>
      </c>
      <c r="D560" t="s">
        <v>65</v>
      </c>
      <c r="E560" t="s">
        <v>705</v>
      </c>
      <c r="F560" t="s">
        <v>702</v>
      </c>
      <c r="G560">
        <v>3</v>
      </c>
      <c r="H560" s="9">
        <v>0.15</v>
      </c>
      <c r="I560" t="s">
        <v>699</v>
      </c>
      <c r="J560">
        <v>2</v>
      </c>
      <c r="K560">
        <v>3</v>
      </c>
      <c r="L560" t="str">
        <f>VLOOKUP(D560,Products!A:E,2,FALSE)</f>
        <v>Laptop Stand</v>
      </c>
      <c r="M560" t="str">
        <f>VLOOKUP(D560,Products!A:E,3,FALSE)</f>
        <v>Accessories</v>
      </c>
      <c r="N560">
        <f>VLOOKUP(D560,Products!A:E,4,FALSE)</f>
        <v>48</v>
      </c>
      <c r="O560" s="13">
        <f>VLOOKUP(D560,Products!A:E,5,FALSE)</f>
        <v>22</v>
      </c>
      <c r="P560" s="13" t="str">
        <f>VLOOKUP(C560,Customers!A:C,3,FALSE)</f>
        <v>Small Business</v>
      </c>
      <c r="Q560" s="13">
        <f t="shared" si="32"/>
        <v>122.39999999999999</v>
      </c>
      <c r="R560" s="13">
        <f t="shared" si="33"/>
        <v>66</v>
      </c>
      <c r="S560" s="13">
        <f t="shared" si="34"/>
        <v>56.399999999999991</v>
      </c>
      <c r="T560" s="14">
        <f t="shared" si="35"/>
        <v>0.46078431372549017</v>
      </c>
    </row>
    <row r="561" spans="1:20">
      <c r="A561" t="s">
        <v>1265</v>
      </c>
      <c r="B561" s="8">
        <v>45819</v>
      </c>
      <c r="C561" t="s">
        <v>115</v>
      </c>
      <c r="D561" t="s">
        <v>79</v>
      </c>
      <c r="E561" t="s">
        <v>715</v>
      </c>
      <c r="F561" t="s">
        <v>702</v>
      </c>
      <c r="G561">
        <v>1</v>
      </c>
      <c r="H561" s="9">
        <v>0</v>
      </c>
      <c r="I561" t="s">
        <v>699</v>
      </c>
      <c r="J561">
        <v>4</v>
      </c>
      <c r="K561">
        <v>3</v>
      </c>
      <c r="L561" t="str">
        <f>VLOOKUP(D561,Products!A:E,2,FALSE)</f>
        <v>Desk Organiser</v>
      </c>
      <c r="M561" t="str">
        <f>VLOOKUP(D561,Products!A:E,3,FALSE)</f>
        <v>Office Supplies</v>
      </c>
      <c r="N561">
        <f>VLOOKUP(D561,Products!A:E,4,FALSE)</f>
        <v>28</v>
      </c>
      <c r="O561" s="13">
        <f>VLOOKUP(D561,Products!A:E,5,FALSE)</f>
        <v>12</v>
      </c>
      <c r="P561" s="13" t="str">
        <f>VLOOKUP(C561,Customers!A:C,3,FALSE)</f>
        <v>Corporate</v>
      </c>
      <c r="Q561" s="13">
        <f t="shared" si="32"/>
        <v>28</v>
      </c>
      <c r="R561" s="13">
        <f t="shared" si="33"/>
        <v>12</v>
      </c>
      <c r="S561" s="13">
        <f t="shared" si="34"/>
        <v>16</v>
      </c>
      <c r="T561" s="14">
        <f t="shared" si="35"/>
        <v>0.5714285714285714</v>
      </c>
    </row>
    <row r="562" spans="1:20">
      <c r="A562" t="s">
        <v>1266</v>
      </c>
      <c r="B562" s="8">
        <v>45893</v>
      </c>
      <c r="C562" t="s">
        <v>199</v>
      </c>
      <c r="D562" t="s">
        <v>68</v>
      </c>
      <c r="E562" t="s">
        <v>708</v>
      </c>
      <c r="F562" t="s">
        <v>702</v>
      </c>
      <c r="G562">
        <v>2</v>
      </c>
      <c r="H562" s="9">
        <v>0</v>
      </c>
      <c r="I562" t="s">
        <v>699</v>
      </c>
      <c r="J562">
        <v>2</v>
      </c>
      <c r="K562">
        <v>9</v>
      </c>
      <c r="L562" t="str">
        <f>VLOOKUP(D562,Products!A:E,2,FALSE)</f>
        <v>Backpack</v>
      </c>
      <c r="M562" t="str">
        <f>VLOOKUP(D562,Products!A:E,3,FALSE)</f>
        <v>Accessories</v>
      </c>
      <c r="N562">
        <f>VLOOKUP(D562,Products!A:E,4,FALSE)</f>
        <v>85</v>
      </c>
      <c r="O562" s="13">
        <f>VLOOKUP(D562,Products!A:E,5,FALSE)</f>
        <v>39</v>
      </c>
      <c r="P562" s="13" t="str">
        <f>VLOOKUP(C562,Customers!A:C,3,FALSE)</f>
        <v>Consumer</v>
      </c>
      <c r="Q562" s="13">
        <f t="shared" si="32"/>
        <v>170</v>
      </c>
      <c r="R562" s="13">
        <f t="shared" si="33"/>
        <v>78</v>
      </c>
      <c r="S562" s="13">
        <f t="shared" si="34"/>
        <v>92</v>
      </c>
      <c r="T562" s="14">
        <f t="shared" si="35"/>
        <v>0.54117647058823526</v>
      </c>
    </row>
    <row r="563" spans="1:20">
      <c r="A563" t="s">
        <v>1267</v>
      </c>
      <c r="B563" s="8">
        <v>45713</v>
      </c>
      <c r="C563" t="s">
        <v>533</v>
      </c>
      <c r="D563" t="s">
        <v>54</v>
      </c>
      <c r="E563" t="s">
        <v>705</v>
      </c>
      <c r="F563" t="s">
        <v>698</v>
      </c>
      <c r="G563">
        <v>1</v>
      </c>
      <c r="H563" s="9">
        <v>0</v>
      </c>
      <c r="I563" t="s">
        <v>699</v>
      </c>
      <c r="J563">
        <v>3</v>
      </c>
      <c r="K563">
        <v>3</v>
      </c>
      <c r="L563" t="str">
        <f>VLOOKUP(D563,Products!A:E,2,FALSE)</f>
        <v>Webcam</v>
      </c>
      <c r="M563" t="str">
        <f>VLOOKUP(D563,Products!A:E,3,FALSE)</f>
        <v>Technology</v>
      </c>
      <c r="N563">
        <f>VLOOKUP(D563,Products!A:E,4,FALSE)</f>
        <v>115</v>
      </c>
      <c r="O563" s="13">
        <f>VLOOKUP(D563,Products!A:E,5,FALSE)</f>
        <v>58</v>
      </c>
      <c r="P563" s="13" t="str">
        <f>VLOOKUP(C563,Customers!A:C,3,FALSE)</f>
        <v>Corporate</v>
      </c>
      <c r="Q563" s="13">
        <f t="shared" si="32"/>
        <v>115</v>
      </c>
      <c r="R563" s="13">
        <f t="shared" si="33"/>
        <v>58</v>
      </c>
      <c r="S563" s="13">
        <f t="shared" si="34"/>
        <v>57</v>
      </c>
      <c r="T563" s="14">
        <f t="shared" si="35"/>
        <v>0.4956521739130435</v>
      </c>
    </row>
    <row r="564" spans="1:20">
      <c r="A564" t="s">
        <v>1268</v>
      </c>
      <c r="B564" s="8">
        <v>45934</v>
      </c>
      <c r="C564" t="s">
        <v>293</v>
      </c>
      <c r="D564" t="s">
        <v>68</v>
      </c>
      <c r="E564" t="s">
        <v>705</v>
      </c>
      <c r="F564" t="s">
        <v>698</v>
      </c>
      <c r="G564">
        <v>1</v>
      </c>
      <c r="H564" s="9">
        <v>0</v>
      </c>
      <c r="I564" t="s">
        <v>699</v>
      </c>
      <c r="J564">
        <v>4</v>
      </c>
      <c r="K564">
        <v>2</v>
      </c>
      <c r="L564" t="str">
        <f>VLOOKUP(D564,Products!A:E,2,FALSE)</f>
        <v>Backpack</v>
      </c>
      <c r="M564" t="str">
        <f>VLOOKUP(D564,Products!A:E,3,FALSE)</f>
        <v>Accessories</v>
      </c>
      <c r="N564">
        <f>VLOOKUP(D564,Products!A:E,4,FALSE)</f>
        <v>85</v>
      </c>
      <c r="O564" s="13">
        <f>VLOOKUP(D564,Products!A:E,5,FALSE)</f>
        <v>39</v>
      </c>
      <c r="P564" s="13" t="str">
        <f>VLOOKUP(C564,Customers!A:C,3,FALSE)</f>
        <v>Corporate</v>
      </c>
      <c r="Q564" s="13">
        <f t="shared" si="32"/>
        <v>85</v>
      </c>
      <c r="R564" s="13">
        <f t="shared" si="33"/>
        <v>39</v>
      </c>
      <c r="S564" s="13">
        <f t="shared" si="34"/>
        <v>46</v>
      </c>
      <c r="T564" s="14">
        <f t="shared" si="35"/>
        <v>0.54117647058823526</v>
      </c>
    </row>
    <row r="565" spans="1:20">
      <c r="A565" t="s">
        <v>1269</v>
      </c>
      <c r="B565" s="8">
        <v>46009</v>
      </c>
      <c r="C565" t="s">
        <v>311</v>
      </c>
      <c r="D565" t="s">
        <v>65</v>
      </c>
      <c r="E565" t="s">
        <v>701</v>
      </c>
      <c r="F565" t="s">
        <v>698</v>
      </c>
      <c r="G565">
        <v>3</v>
      </c>
      <c r="H565" s="9">
        <v>0.05</v>
      </c>
      <c r="I565" t="s">
        <v>699</v>
      </c>
      <c r="J565">
        <v>5</v>
      </c>
      <c r="K565">
        <v>2</v>
      </c>
      <c r="L565" t="str">
        <f>VLOOKUP(D565,Products!A:E,2,FALSE)</f>
        <v>Laptop Stand</v>
      </c>
      <c r="M565" t="str">
        <f>VLOOKUP(D565,Products!A:E,3,FALSE)</f>
        <v>Accessories</v>
      </c>
      <c r="N565">
        <f>VLOOKUP(D565,Products!A:E,4,FALSE)</f>
        <v>48</v>
      </c>
      <c r="O565" s="13">
        <f>VLOOKUP(D565,Products!A:E,5,FALSE)</f>
        <v>22</v>
      </c>
      <c r="P565" s="13" t="str">
        <f>VLOOKUP(C565,Customers!A:C,3,FALSE)</f>
        <v>Corporate</v>
      </c>
      <c r="Q565" s="13">
        <f t="shared" si="32"/>
        <v>136.79999999999998</v>
      </c>
      <c r="R565" s="13">
        <f t="shared" si="33"/>
        <v>66</v>
      </c>
      <c r="S565" s="13">
        <f t="shared" si="34"/>
        <v>70.799999999999983</v>
      </c>
      <c r="T565" s="14">
        <f t="shared" si="35"/>
        <v>0.51754385964912275</v>
      </c>
    </row>
    <row r="566" spans="1:20">
      <c r="A566" t="s">
        <v>1270</v>
      </c>
      <c r="B566" s="8">
        <v>45746</v>
      </c>
      <c r="C566" t="s">
        <v>507</v>
      </c>
      <c r="D566" t="s">
        <v>79</v>
      </c>
      <c r="E566" t="s">
        <v>697</v>
      </c>
      <c r="F566" t="s">
        <v>702</v>
      </c>
      <c r="G566">
        <v>2</v>
      </c>
      <c r="H566" s="9">
        <v>0.05</v>
      </c>
      <c r="I566" t="s">
        <v>699</v>
      </c>
      <c r="J566">
        <v>4</v>
      </c>
      <c r="K566">
        <v>2</v>
      </c>
      <c r="L566" t="str">
        <f>VLOOKUP(D566,Products!A:E,2,FALSE)</f>
        <v>Desk Organiser</v>
      </c>
      <c r="M566" t="str">
        <f>VLOOKUP(D566,Products!A:E,3,FALSE)</f>
        <v>Office Supplies</v>
      </c>
      <c r="N566">
        <f>VLOOKUP(D566,Products!A:E,4,FALSE)</f>
        <v>28</v>
      </c>
      <c r="O566" s="13">
        <f>VLOOKUP(D566,Products!A:E,5,FALSE)</f>
        <v>12</v>
      </c>
      <c r="P566" s="13" t="str">
        <f>VLOOKUP(C566,Customers!A:C,3,FALSE)</f>
        <v>Consumer</v>
      </c>
      <c r="Q566" s="13">
        <f t="shared" si="32"/>
        <v>53.199999999999996</v>
      </c>
      <c r="R566" s="13">
        <f t="shared" si="33"/>
        <v>24</v>
      </c>
      <c r="S566" s="13">
        <f t="shared" si="34"/>
        <v>29.199999999999996</v>
      </c>
      <c r="T566" s="14">
        <f t="shared" si="35"/>
        <v>0.54887218045112773</v>
      </c>
    </row>
    <row r="567" spans="1:20">
      <c r="A567" t="s">
        <v>1271</v>
      </c>
      <c r="B567" s="8">
        <v>45911</v>
      </c>
      <c r="C567" t="s">
        <v>421</v>
      </c>
      <c r="D567" t="s">
        <v>74</v>
      </c>
      <c r="E567" t="s">
        <v>715</v>
      </c>
      <c r="F567" t="s">
        <v>706</v>
      </c>
      <c r="G567">
        <v>3</v>
      </c>
      <c r="H567" s="9">
        <v>0</v>
      </c>
      <c r="I567" t="s">
        <v>699</v>
      </c>
      <c r="J567">
        <v>1</v>
      </c>
      <c r="K567">
        <v>2</v>
      </c>
      <c r="L567" t="str">
        <f>VLOOKUP(D567,Products!A:E,2,FALSE)</f>
        <v>Printer Paper</v>
      </c>
      <c r="M567" t="str">
        <f>VLOOKUP(D567,Products!A:E,3,FALSE)</f>
        <v>Office Supplies</v>
      </c>
      <c r="N567">
        <f>VLOOKUP(D567,Products!A:E,4,FALSE)</f>
        <v>17</v>
      </c>
      <c r="O567" s="13">
        <f>VLOOKUP(D567,Products!A:E,5,FALSE)</f>
        <v>8</v>
      </c>
      <c r="P567" s="13" t="str">
        <f>VLOOKUP(C567,Customers!A:C,3,FALSE)</f>
        <v>Corporate</v>
      </c>
      <c r="Q567" s="13">
        <f t="shared" si="32"/>
        <v>51</v>
      </c>
      <c r="R567" s="13">
        <f t="shared" si="33"/>
        <v>24</v>
      </c>
      <c r="S567" s="13">
        <f t="shared" si="34"/>
        <v>27</v>
      </c>
      <c r="T567" s="14">
        <f t="shared" si="35"/>
        <v>0.52941176470588236</v>
      </c>
    </row>
    <row r="568" spans="1:20">
      <c r="A568" t="s">
        <v>1272</v>
      </c>
      <c r="B568" s="8">
        <v>46139</v>
      </c>
      <c r="C568" t="s">
        <v>603</v>
      </c>
      <c r="D568" t="s">
        <v>48</v>
      </c>
      <c r="E568" t="s">
        <v>715</v>
      </c>
      <c r="F568" t="s">
        <v>702</v>
      </c>
      <c r="G568">
        <v>4</v>
      </c>
      <c r="H568" s="9">
        <v>0.1</v>
      </c>
      <c r="I568" t="s">
        <v>699</v>
      </c>
      <c r="J568">
        <v>4</v>
      </c>
      <c r="K568">
        <v>1</v>
      </c>
      <c r="L568" t="str">
        <f>VLOOKUP(D568,Products!A:E,2,FALSE)</f>
        <v>Monitor</v>
      </c>
      <c r="M568" t="str">
        <f>VLOOKUP(D568,Products!A:E,3,FALSE)</f>
        <v>Technology</v>
      </c>
      <c r="N568">
        <f>VLOOKUP(D568,Products!A:E,4,FALSE)</f>
        <v>310</v>
      </c>
      <c r="O568" s="13">
        <f>VLOOKUP(D568,Products!A:E,5,FALSE)</f>
        <v>190</v>
      </c>
      <c r="P568" s="13" t="str">
        <f>VLOOKUP(C568,Customers!A:C,3,FALSE)</f>
        <v>Consumer</v>
      </c>
      <c r="Q568" s="13">
        <f t="shared" si="32"/>
        <v>1116</v>
      </c>
      <c r="R568" s="13">
        <f t="shared" si="33"/>
        <v>760</v>
      </c>
      <c r="S568" s="13">
        <f t="shared" si="34"/>
        <v>356</v>
      </c>
      <c r="T568" s="14">
        <f t="shared" si="35"/>
        <v>0.31899641577060933</v>
      </c>
    </row>
    <row r="569" spans="1:20">
      <c r="A569" t="s">
        <v>1273</v>
      </c>
      <c r="B569" s="8">
        <v>46229</v>
      </c>
      <c r="C569" t="s">
        <v>98</v>
      </c>
      <c r="D569" t="s">
        <v>74</v>
      </c>
      <c r="E569" t="s">
        <v>697</v>
      </c>
      <c r="F569" t="s">
        <v>702</v>
      </c>
      <c r="G569">
        <v>1</v>
      </c>
      <c r="H569" s="9">
        <v>0.05</v>
      </c>
      <c r="I569" t="s">
        <v>699</v>
      </c>
      <c r="J569">
        <v>4</v>
      </c>
      <c r="K569">
        <v>3</v>
      </c>
      <c r="L569" t="str">
        <f>VLOOKUP(D569,Products!A:E,2,FALSE)</f>
        <v>Printer Paper</v>
      </c>
      <c r="M569" t="str">
        <f>VLOOKUP(D569,Products!A:E,3,FALSE)</f>
        <v>Office Supplies</v>
      </c>
      <c r="N569">
        <f>VLOOKUP(D569,Products!A:E,4,FALSE)</f>
        <v>17</v>
      </c>
      <c r="O569" s="13">
        <f>VLOOKUP(D569,Products!A:E,5,FALSE)</f>
        <v>8</v>
      </c>
      <c r="P569" s="13" t="str">
        <f>VLOOKUP(C569,Customers!A:C,3,FALSE)</f>
        <v>Small Business</v>
      </c>
      <c r="Q569" s="13">
        <f t="shared" si="32"/>
        <v>16.149999999999999</v>
      </c>
      <c r="R569" s="13">
        <f t="shared" si="33"/>
        <v>8</v>
      </c>
      <c r="S569" s="13">
        <f t="shared" si="34"/>
        <v>8.1499999999999986</v>
      </c>
      <c r="T569" s="14">
        <f t="shared" si="35"/>
        <v>0.50464396284829716</v>
      </c>
    </row>
    <row r="570" spans="1:20">
      <c r="A570" t="s">
        <v>1274</v>
      </c>
      <c r="B570" s="8">
        <v>45823</v>
      </c>
      <c r="C570" t="s">
        <v>557</v>
      </c>
      <c r="D570" t="s">
        <v>45</v>
      </c>
      <c r="E570" t="s">
        <v>697</v>
      </c>
      <c r="F570" t="s">
        <v>702</v>
      </c>
      <c r="G570">
        <v>1</v>
      </c>
      <c r="H570" s="9">
        <v>0.1</v>
      </c>
      <c r="I570" t="s">
        <v>699</v>
      </c>
      <c r="J570">
        <v>5</v>
      </c>
      <c r="K570">
        <v>4</v>
      </c>
      <c r="L570" t="str">
        <f>VLOOKUP(D570,Products!A:E,2,FALSE)</f>
        <v>Laptop</v>
      </c>
      <c r="M570" t="str">
        <f>VLOOKUP(D570,Products!A:E,3,FALSE)</f>
        <v>Technology</v>
      </c>
      <c r="N570">
        <f>VLOOKUP(D570,Products!A:E,4,FALSE)</f>
        <v>1100</v>
      </c>
      <c r="O570" s="13">
        <f>VLOOKUP(D570,Products!A:E,5,FALSE)</f>
        <v>720</v>
      </c>
      <c r="P570" s="13" t="str">
        <f>VLOOKUP(C570,Customers!A:C,3,FALSE)</f>
        <v>Consumer</v>
      </c>
      <c r="Q570" s="13">
        <f t="shared" si="32"/>
        <v>990</v>
      </c>
      <c r="R570" s="13">
        <f t="shared" si="33"/>
        <v>720</v>
      </c>
      <c r="S570" s="13">
        <f t="shared" si="34"/>
        <v>270</v>
      </c>
      <c r="T570" s="14">
        <f t="shared" si="35"/>
        <v>0.27272727272727271</v>
      </c>
    </row>
    <row r="571" spans="1:20">
      <c r="A571" t="s">
        <v>1275</v>
      </c>
      <c r="B571" s="8">
        <v>45659</v>
      </c>
      <c r="C571" t="s">
        <v>159</v>
      </c>
      <c r="D571" t="s">
        <v>72</v>
      </c>
      <c r="E571" t="s">
        <v>697</v>
      </c>
      <c r="F571" t="s">
        <v>702</v>
      </c>
      <c r="G571">
        <v>1</v>
      </c>
      <c r="H571" s="9">
        <v>0</v>
      </c>
      <c r="I571" t="s">
        <v>699</v>
      </c>
      <c r="J571">
        <v>5</v>
      </c>
      <c r="K571">
        <v>5</v>
      </c>
      <c r="L571" t="str">
        <f>VLOOKUP(D571,Products!A:E,2,FALSE)</f>
        <v>Phone Charger</v>
      </c>
      <c r="M571" t="str">
        <f>VLOOKUP(D571,Products!A:E,3,FALSE)</f>
        <v>Accessories</v>
      </c>
      <c r="N571">
        <f>VLOOKUP(D571,Products!A:E,4,FALSE)</f>
        <v>32</v>
      </c>
      <c r="O571" s="13">
        <f>VLOOKUP(D571,Products!A:E,5,FALSE)</f>
        <v>13</v>
      </c>
      <c r="P571" s="13" t="str">
        <f>VLOOKUP(C571,Customers!A:C,3,FALSE)</f>
        <v>Small Business</v>
      </c>
      <c r="Q571" s="13">
        <f t="shared" si="32"/>
        <v>32</v>
      </c>
      <c r="R571" s="13">
        <f t="shared" si="33"/>
        <v>13</v>
      </c>
      <c r="S571" s="13">
        <f t="shared" si="34"/>
        <v>19</v>
      </c>
      <c r="T571" s="14">
        <f t="shared" si="35"/>
        <v>0.59375</v>
      </c>
    </row>
    <row r="572" spans="1:20">
      <c r="A572" t="s">
        <v>1276</v>
      </c>
      <c r="B572" s="8">
        <v>46247</v>
      </c>
      <c r="C572" t="s">
        <v>299</v>
      </c>
      <c r="D572" t="s">
        <v>50</v>
      </c>
      <c r="E572" t="s">
        <v>701</v>
      </c>
      <c r="F572" t="s">
        <v>702</v>
      </c>
      <c r="G572">
        <v>6</v>
      </c>
      <c r="H572" s="9">
        <v>0.05</v>
      </c>
      <c r="I572" t="s">
        <v>703</v>
      </c>
      <c r="J572">
        <v>4</v>
      </c>
      <c r="K572">
        <v>2</v>
      </c>
      <c r="L572" t="str">
        <f>VLOOKUP(D572,Products!A:E,2,FALSE)</f>
        <v>Keyboard</v>
      </c>
      <c r="M572" t="str">
        <f>VLOOKUP(D572,Products!A:E,3,FALSE)</f>
        <v>Technology</v>
      </c>
      <c r="N572">
        <f>VLOOKUP(D572,Products!A:E,4,FALSE)</f>
        <v>75</v>
      </c>
      <c r="O572" s="13">
        <f>VLOOKUP(D572,Products!A:E,5,FALSE)</f>
        <v>38</v>
      </c>
      <c r="P572" s="13" t="str">
        <f>VLOOKUP(C572,Customers!A:C,3,FALSE)</f>
        <v>Consumer</v>
      </c>
      <c r="Q572" s="13">
        <f t="shared" si="32"/>
        <v>427.5</v>
      </c>
      <c r="R572" s="13">
        <f t="shared" si="33"/>
        <v>228</v>
      </c>
      <c r="S572" s="13">
        <f t="shared" si="34"/>
        <v>199.5</v>
      </c>
      <c r="T572" s="14">
        <f t="shared" si="35"/>
        <v>0.46666666666666667</v>
      </c>
    </row>
    <row r="573" spans="1:20">
      <c r="A573" t="s">
        <v>1277</v>
      </c>
      <c r="B573" s="8">
        <v>46050</v>
      </c>
      <c r="C573" t="s">
        <v>461</v>
      </c>
      <c r="D573" t="s">
        <v>77</v>
      </c>
      <c r="E573" t="s">
        <v>701</v>
      </c>
      <c r="F573" t="s">
        <v>702</v>
      </c>
      <c r="G573">
        <v>1</v>
      </c>
      <c r="H573" s="9">
        <v>0.05</v>
      </c>
      <c r="I573" t="s">
        <v>699</v>
      </c>
      <c r="J573">
        <v>5</v>
      </c>
      <c r="K573">
        <v>2</v>
      </c>
      <c r="L573" t="str">
        <f>VLOOKUP(D573,Products!A:E,2,FALSE)</f>
        <v>File Folder Pack</v>
      </c>
      <c r="M573" t="str">
        <f>VLOOKUP(D573,Products!A:E,3,FALSE)</f>
        <v>Office Supplies</v>
      </c>
      <c r="N573">
        <f>VLOOKUP(D573,Products!A:E,4,FALSE)</f>
        <v>23</v>
      </c>
      <c r="O573" s="13">
        <f>VLOOKUP(D573,Products!A:E,5,FALSE)</f>
        <v>10</v>
      </c>
      <c r="P573" s="13" t="str">
        <f>VLOOKUP(C573,Customers!A:C,3,FALSE)</f>
        <v>Consumer</v>
      </c>
      <c r="Q573" s="13">
        <f t="shared" si="32"/>
        <v>21.849999999999998</v>
      </c>
      <c r="R573" s="13">
        <f t="shared" si="33"/>
        <v>10</v>
      </c>
      <c r="S573" s="13">
        <f t="shared" si="34"/>
        <v>11.849999999999998</v>
      </c>
      <c r="T573" s="14">
        <f t="shared" si="35"/>
        <v>0.54233409610983974</v>
      </c>
    </row>
    <row r="574" spans="1:20">
      <c r="A574" t="s">
        <v>1278</v>
      </c>
      <c r="B574" s="8">
        <v>45799</v>
      </c>
      <c r="C574" t="s">
        <v>429</v>
      </c>
      <c r="D574" t="s">
        <v>61</v>
      </c>
      <c r="E574" t="s">
        <v>715</v>
      </c>
      <c r="F574" t="s">
        <v>698</v>
      </c>
      <c r="G574">
        <v>4</v>
      </c>
      <c r="H574" s="9">
        <v>0.1</v>
      </c>
      <c r="I574" t="s">
        <v>699</v>
      </c>
      <c r="J574">
        <v>5</v>
      </c>
      <c r="K574">
        <v>2</v>
      </c>
      <c r="L574" t="str">
        <f>VLOOKUP(D574,Products!A:E,2,FALSE)</f>
        <v>Office Chair</v>
      </c>
      <c r="M574" t="str">
        <f>VLOOKUP(D574,Products!A:E,3,FALSE)</f>
        <v>Furniture</v>
      </c>
      <c r="N574">
        <f>VLOOKUP(D574,Products!A:E,4,FALSE)</f>
        <v>255</v>
      </c>
      <c r="O574" s="13">
        <f>VLOOKUP(D574,Products!A:E,5,FALSE)</f>
        <v>145</v>
      </c>
      <c r="P574" s="13" t="str">
        <f>VLOOKUP(C574,Customers!A:C,3,FALSE)</f>
        <v>Corporate</v>
      </c>
      <c r="Q574" s="13">
        <f t="shared" si="32"/>
        <v>918</v>
      </c>
      <c r="R574" s="13">
        <f t="shared" si="33"/>
        <v>580</v>
      </c>
      <c r="S574" s="13">
        <f t="shared" si="34"/>
        <v>338</v>
      </c>
      <c r="T574" s="14">
        <f t="shared" si="35"/>
        <v>0.36819172113289761</v>
      </c>
    </row>
    <row r="575" spans="1:20">
      <c r="A575" t="s">
        <v>1279</v>
      </c>
      <c r="B575" s="8">
        <v>45986</v>
      </c>
      <c r="C575" t="s">
        <v>447</v>
      </c>
      <c r="D575" t="s">
        <v>63</v>
      </c>
      <c r="E575" t="s">
        <v>715</v>
      </c>
      <c r="F575" t="s">
        <v>702</v>
      </c>
      <c r="G575">
        <v>1</v>
      </c>
      <c r="H575" s="9">
        <v>0</v>
      </c>
      <c r="I575" t="s">
        <v>699</v>
      </c>
      <c r="J575">
        <v>4</v>
      </c>
      <c r="K575">
        <v>1</v>
      </c>
      <c r="L575" t="str">
        <f>VLOOKUP(D575,Products!A:E,2,FALSE)</f>
        <v>Bookshelf</v>
      </c>
      <c r="M575" t="str">
        <f>VLOOKUP(D575,Products!A:E,3,FALSE)</f>
        <v>Furniture</v>
      </c>
      <c r="N575">
        <f>VLOOKUP(D575,Products!A:E,4,FALSE)</f>
        <v>185</v>
      </c>
      <c r="O575" s="13">
        <f>VLOOKUP(D575,Products!A:E,5,FALSE)</f>
        <v>105</v>
      </c>
      <c r="P575" s="13" t="str">
        <f>VLOOKUP(C575,Customers!A:C,3,FALSE)</f>
        <v>Corporate</v>
      </c>
      <c r="Q575" s="13">
        <f t="shared" si="32"/>
        <v>185</v>
      </c>
      <c r="R575" s="13">
        <f t="shared" si="33"/>
        <v>105</v>
      </c>
      <c r="S575" s="13">
        <f t="shared" si="34"/>
        <v>80</v>
      </c>
      <c r="T575" s="14">
        <f t="shared" si="35"/>
        <v>0.43243243243243246</v>
      </c>
    </row>
    <row r="576" spans="1:20">
      <c r="A576" t="s">
        <v>1280</v>
      </c>
      <c r="B576" s="8">
        <v>46139</v>
      </c>
      <c r="C576" t="s">
        <v>631</v>
      </c>
      <c r="D576" t="s">
        <v>65</v>
      </c>
      <c r="E576" t="s">
        <v>715</v>
      </c>
      <c r="F576" t="s">
        <v>702</v>
      </c>
      <c r="G576">
        <v>3</v>
      </c>
      <c r="H576" s="9">
        <v>0.1</v>
      </c>
      <c r="I576" t="s">
        <v>703</v>
      </c>
      <c r="J576">
        <v>5</v>
      </c>
      <c r="K576">
        <v>6</v>
      </c>
      <c r="L576" t="str">
        <f>VLOOKUP(D576,Products!A:E,2,FALSE)</f>
        <v>Laptop Stand</v>
      </c>
      <c r="M576" t="str">
        <f>VLOOKUP(D576,Products!A:E,3,FALSE)</f>
        <v>Accessories</v>
      </c>
      <c r="N576">
        <f>VLOOKUP(D576,Products!A:E,4,FALSE)</f>
        <v>48</v>
      </c>
      <c r="O576" s="13">
        <f>VLOOKUP(D576,Products!A:E,5,FALSE)</f>
        <v>22</v>
      </c>
      <c r="P576" s="13" t="str">
        <f>VLOOKUP(C576,Customers!A:C,3,FALSE)</f>
        <v>Corporate</v>
      </c>
      <c r="Q576" s="13">
        <f t="shared" si="32"/>
        <v>129.6</v>
      </c>
      <c r="R576" s="13">
        <f t="shared" si="33"/>
        <v>66</v>
      </c>
      <c r="S576" s="13">
        <f t="shared" si="34"/>
        <v>63.599999999999994</v>
      </c>
      <c r="T576" s="14">
        <f t="shared" si="35"/>
        <v>0.4907407407407407</v>
      </c>
    </row>
    <row r="577" spans="1:20">
      <c r="A577" t="s">
        <v>1281</v>
      </c>
      <c r="B577" s="8">
        <v>45747</v>
      </c>
      <c r="C577" t="s">
        <v>169</v>
      </c>
      <c r="D577" t="s">
        <v>72</v>
      </c>
      <c r="E577" t="s">
        <v>697</v>
      </c>
      <c r="F577" t="s">
        <v>702</v>
      </c>
      <c r="G577">
        <v>7</v>
      </c>
      <c r="H577" s="9">
        <v>0</v>
      </c>
      <c r="I577" t="s">
        <v>699</v>
      </c>
      <c r="J577">
        <v>5</v>
      </c>
      <c r="K577">
        <v>4</v>
      </c>
      <c r="L577" t="str">
        <f>VLOOKUP(D577,Products!A:E,2,FALSE)</f>
        <v>Phone Charger</v>
      </c>
      <c r="M577" t="str">
        <f>VLOOKUP(D577,Products!A:E,3,FALSE)</f>
        <v>Accessories</v>
      </c>
      <c r="N577">
        <f>VLOOKUP(D577,Products!A:E,4,FALSE)</f>
        <v>32</v>
      </c>
      <c r="O577" s="13">
        <f>VLOOKUP(D577,Products!A:E,5,FALSE)</f>
        <v>13</v>
      </c>
      <c r="P577" s="13" t="str">
        <f>VLOOKUP(C577,Customers!A:C,3,FALSE)</f>
        <v>Consumer</v>
      </c>
      <c r="Q577" s="13">
        <f t="shared" si="32"/>
        <v>224</v>
      </c>
      <c r="R577" s="13">
        <f t="shared" si="33"/>
        <v>91</v>
      </c>
      <c r="S577" s="13">
        <f t="shared" si="34"/>
        <v>133</v>
      </c>
      <c r="T577" s="14">
        <f t="shared" si="35"/>
        <v>0.59375</v>
      </c>
    </row>
    <row r="578" spans="1:20">
      <c r="A578" t="s">
        <v>1282</v>
      </c>
      <c r="B578" s="8">
        <v>45812</v>
      </c>
      <c r="C578" t="s">
        <v>295</v>
      </c>
      <c r="D578" t="s">
        <v>45</v>
      </c>
      <c r="E578" t="s">
        <v>708</v>
      </c>
      <c r="F578" t="s">
        <v>706</v>
      </c>
      <c r="G578">
        <v>2</v>
      </c>
      <c r="H578" s="9">
        <v>0</v>
      </c>
      <c r="I578" t="s">
        <v>699</v>
      </c>
      <c r="J578">
        <v>4</v>
      </c>
      <c r="K578">
        <v>1</v>
      </c>
      <c r="L578" t="str">
        <f>VLOOKUP(D578,Products!A:E,2,FALSE)</f>
        <v>Laptop</v>
      </c>
      <c r="M578" t="str">
        <f>VLOOKUP(D578,Products!A:E,3,FALSE)</f>
        <v>Technology</v>
      </c>
      <c r="N578">
        <f>VLOOKUP(D578,Products!A:E,4,FALSE)</f>
        <v>1100</v>
      </c>
      <c r="O578" s="13">
        <f>VLOOKUP(D578,Products!A:E,5,FALSE)</f>
        <v>720</v>
      </c>
      <c r="P578" s="13" t="str">
        <f>VLOOKUP(C578,Customers!A:C,3,FALSE)</f>
        <v>Consumer</v>
      </c>
      <c r="Q578" s="13">
        <f t="shared" ref="Q578:Q641" si="36">G578*N578*(1-H578)</f>
        <v>2200</v>
      </c>
      <c r="R578" s="13">
        <f t="shared" ref="R578:R641" si="37">G578*O578</f>
        <v>1440</v>
      </c>
      <c r="S578" s="13">
        <f t="shared" ref="S578:S641" si="38">Q578-R578</f>
        <v>760</v>
      </c>
      <c r="T578" s="14">
        <f t="shared" ref="T578:T641" si="39">IFERROR(S578/Q578,0)</f>
        <v>0.34545454545454546</v>
      </c>
    </row>
    <row r="579" spans="1:20">
      <c r="A579" t="s">
        <v>1283</v>
      </c>
      <c r="B579" s="8">
        <v>45956</v>
      </c>
      <c r="C579" t="s">
        <v>279</v>
      </c>
      <c r="D579" t="s">
        <v>50</v>
      </c>
      <c r="E579" t="s">
        <v>705</v>
      </c>
      <c r="F579" t="s">
        <v>698</v>
      </c>
      <c r="G579">
        <v>5</v>
      </c>
      <c r="H579" s="9">
        <v>0.05</v>
      </c>
      <c r="I579" t="s">
        <v>699</v>
      </c>
      <c r="J579">
        <v>4</v>
      </c>
      <c r="K579">
        <v>3</v>
      </c>
      <c r="L579" t="str">
        <f>VLOOKUP(D579,Products!A:E,2,FALSE)</f>
        <v>Keyboard</v>
      </c>
      <c r="M579" t="str">
        <f>VLOOKUP(D579,Products!A:E,3,FALSE)</f>
        <v>Technology</v>
      </c>
      <c r="N579">
        <f>VLOOKUP(D579,Products!A:E,4,FALSE)</f>
        <v>75</v>
      </c>
      <c r="O579" s="13">
        <f>VLOOKUP(D579,Products!A:E,5,FALSE)</f>
        <v>38</v>
      </c>
      <c r="P579" s="13" t="str">
        <f>VLOOKUP(C579,Customers!A:C,3,FALSE)</f>
        <v>Small Business</v>
      </c>
      <c r="Q579" s="13">
        <f t="shared" si="36"/>
        <v>356.25</v>
      </c>
      <c r="R579" s="13">
        <f t="shared" si="37"/>
        <v>190</v>
      </c>
      <c r="S579" s="13">
        <f t="shared" si="38"/>
        <v>166.25</v>
      </c>
      <c r="T579" s="14">
        <f t="shared" si="39"/>
        <v>0.46666666666666667</v>
      </c>
    </row>
    <row r="580" spans="1:20">
      <c r="A580" t="s">
        <v>1284</v>
      </c>
      <c r="B580" s="8">
        <v>46155</v>
      </c>
      <c r="C580" t="s">
        <v>629</v>
      </c>
      <c r="D580" t="s">
        <v>77</v>
      </c>
      <c r="E580" t="s">
        <v>715</v>
      </c>
      <c r="F580" t="s">
        <v>698</v>
      </c>
      <c r="G580">
        <v>6</v>
      </c>
      <c r="H580" s="9">
        <v>0</v>
      </c>
      <c r="I580" t="s">
        <v>699</v>
      </c>
      <c r="J580">
        <v>3</v>
      </c>
      <c r="K580">
        <v>3</v>
      </c>
      <c r="L580" t="str">
        <f>VLOOKUP(D580,Products!A:E,2,FALSE)</f>
        <v>File Folder Pack</v>
      </c>
      <c r="M580" t="str">
        <f>VLOOKUP(D580,Products!A:E,3,FALSE)</f>
        <v>Office Supplies</v>
      </c>
      <c r="N580">
        <f>VLOOKUP(D580,Products!A:E,4,FALSE)</f>
        <v>23</v>
      </c>
      <c r="O580" s="13">
        <f>VLOOKUP(D580,Products!A:E,5,FALSE)</f>
        <v>10</v>
      </c>
      <c r="P580" s="13" t="str">
        <f>VLOOKUP(C580,Customers!A:C,3,FALSE)</f>
        <v>Consumer</v>
      </c>
      <c r="Q580" s="13">
        <f t="shared" si="36"/>
        <v>138</v>
      </c>
      <c r="R580" s="13">
        <f t="shared" si="37"/>
        <v>60</v>
      </c>
      <c r="S580" s="13">
        <f t="shared" si="38"/>
        <v>78</v>
      </c>
      <c r="T580" s="14">
        <f t="shared" si="39"/>
        <v>0.56521739130434778</v>
      </c>
    </row>
    <row r="581" spans="1:20">
      <c r="A581" t="s">
        <v>1285</v>
      </c>
      <c r="B581" s="8">
        <v>45953</v>
      </c>
      <c r="C581" t="s">
        <v>135</v>
      </c>
      <c r="D581" t="s">
        <v>54</v>
      </c>
      <c r="E581" t="s">
        <v>708</v>
      </c>
      <c r="F581" t="s">
        <v>702</v>
      </c>
      <c r="G581">
        <v>1</v>
      </c>
      <c r="H581" s="9">
        <v>0.15</v>
      </c>
      <c r="I581" t="s">
        <v>699</v>
      </c>
      <c r="J581">
        <v>4</v>
      </c>
      <c r="K581">
        <v>2</v>
      </c>
      <c r="L581" t="str">
        <f>VLOOKUP(D581,Products!A:E,2,FALSE)</f>
        <v>Webcam</v>
      </c>
      <c r="M581" t="str">
        <f>VLOOKUP(D581,Products!A:E,3,FALSE)</f>
        <v>Technology</v>
      </c>
      <c r="N581">
        <f>VLOOKUP(D581,Products!A:E,4,FALSE)</f>
        <v>115</v>
      </c>
      <c r="O581" s="13">
        <f>VLOOKUP(D581,Products!A:E,5,FALSE)</f>
        <v>58</v>
      </c>
      <c r="P581" s="13" t="str">
        <f>VLOOKUP(C581,Customers!A:C,3,FALSE)</f>
        <v>Small Business</v>
      </c>
      <c r="Q581" s="13">
        <f t="shared" si="36"/>
        <v>97.75</v>
      </c>
      <c r="R581" s="13">
        <f t="shared" si="37"/>
        <v>58</v>
      </c>
      <c r="S581" s="13">
        <f t="shared" si="38"/>
        <v>39.75</v>
      </c>
      <c r="T581" s="14">
        <f t="shared" si="39"/>
        <v>0.40664961636828645</v>
      </c>
    </row>
    <row r="582" spans="1:20">
      <c r="A582" t="s">
        <v>1286</v>
      </c>
      <c r="B582" s="8">
        <v>45815</v>
      </c>
      <c r="C582" t="s">
        <v>251</v>
      </c>
      <c r="D582" t="s">
        <v>61</v>
      </c>
      <c r="E582" t="s">
        <v>705</v>
      </c>
      <c r="F582" t="s">
        <v>706</v>
      </c>
      <c r="G582">
        <v>3</v>
      </c>
      <c r="H582" s="9">
        <v>0</v>
      </c>
      <c r="I582" t="s">
        <v>699</v>
      </c>
      <c r="J582">
        <v>3</v>
      </c>
      <c r="K582">
        <v>1</v>
      </c>
      <c r="L582" t="str">
        <f>VLOOKUP(D582,Products!A:E,2,FALSE)</f>
        <v>Office Chair</v>
      </c>
      <c r="M582" t="str">
        <f>VLOOKUP(D582,Products!A:E,3,FALSE)</f>
        <v>Furniture</v>
      </c>
      <c r="N582">
        <f>VLOOKUP(D582,Products!A:E,4,FALSE)</f>
        <v>255</v>
      </c>
      <c r="O582" s="13">
        <f>VLOOKUP(D582,Products!A:E,5,FALSE)</f>
        <v>145</v>
      </c>
      <c r="P582" s="13" t="str">
        <f>VLOOKUP(C582,Customers!A:C,3,FALSE)</f>
        <v>Corporate</v>
      </c>
      <c r="Q582" s="13">
        <f t="shared" si="36"/>
        <v>765</v>
      </c>
      <c r="R582" s="13">
        <f t="shared" si="37"/>
        <v>435</v>
      </c>
      <c r="S582" s="13">
        <f t="shared" si="38"/>
        <v>330</v>
      </c>
      <c r="T582" s="14">
        <f t="shared" si="39"/>
        <v>0.43137254901960786</v>
      </c>
    </row>
    <row r="583" spans="1:20">
      <c r="A583" t="s">
        <v>1287</v>
      </c>
      <c r="B583" s="8">
        <v>45982</v>
      </c>
      <c r="C583" t="s">
        <v>439</v>
      </c>
      <c r="D583" t="s">
        <v>54</v>
      </c>
      <c r="E583" t="s">
        <v>708</v>
      </c>
      <c r="F583" t="s">
        <v>698</v>
      </c>
      <c r="G583">
        <v>1</v>
      </c>
      <c r="H583" s="9">
        <v>0</v>
      </c>
      <c r="I583" t="s">
        <v>703</v>
      </c>
      <c r="J583">
        <v>4</v>
      </c>
      <c r="K583">
        <v>6</v>
      </c>
      <c r="L583" t="str">
        <f>VLOOKUP(D583,Products!A:E,2,FALSE)</f>
        <v>Webcam</v>
      </c>
      <c r="M583" t="str">
        <f>VLOOKUP(D583,Products!A:E,3,FALSE)</f>
        <v>Technology</v>
      </c>
      <c r="N583">
        <f>VLOOKUP(D583,Products!A:E,4,FALSE)</f>
        <v>115</v>
      </c>
      <c r="O583" s="13">
        <f>VLOOKUP(D583,Products!A:E,5,FALSE)</f>
        <v>58</v>
      </c>
      <c r="P583" s="13" t="str">
        <f>VLOOKUP(C583,Customers!A:C,3,FALSE)</f>
        <v>Consumer</v>
      </c>
      <c r="Q583" s="13">
        <f t="shared" si="36"/>
        <v>115</v>
      </c>
      <c r="R583" s="13">
        <f t="shared" si="37"/>
        <v>58</v>
      </c>
      <c r="S583" s="13">
        <f t="shared" si="38"/>
        <v>57</v>
      </c>
      <c r="T583" s="14">
        <f t="shared" si="39"/>
        <v>0.4956521739130435</v>
      </c>
    </row>
    <row r="584" spans="1:20">
      <c r="A584" t="s">
        <v>1288</v>
      </c>
      <c r="B584" s="8">
        <v>46127</v>
      </c>
      <c r="C584" t="s">
        <v>413</v>
      </c>
      <c r="D584" t="s">
        <v>54</v>
      </c>
      <c r="E584" t="s">
        <v>705</v>
      </c>
      <c r="F584" t="s">
        <v>698</v>
      </c>
      <c r="G584">
        <v>8</v>
      </c>
      <c r="H584" s="9">
        <v>0</v>
      </c>
      <c r="I584" t="s">
        <v>699</v>
      </c>
      <c r="J584">
        <v>4</v>
      </c>
      <c r="K584">
        <v>3</v>
      </c>
      <c r="L584" t="str">
        <f>VLOOKUP(D584,Products!A:E,2,FALSE)</f>
        <v>Webcam</v>
      </c>
      <c r="M584" t="str">
        <f>VLOOKUP(D584,Products!A:E,3,FALSE)</f>
        <v>Technology</v>
      </c>
      <c r="N584">
        <f>VLOOKUP(D584,Products!A:E,4,FALSE)</f>
        <v>115</v>
      </c>
      <c r="O584" s="13">
        <f>VLOOKUP(D584,Products!A:E,5,FALSE)</f>
        <v>58</v>
      </c>
      <c r="P584" s="13" t="str">
        <f>VLOOKUP(C584,Customers!A:C,3,FALSE)</f>
        <v>Small Business</v>
      </c>
      <c r="Q584" s="13">
        <f t="shared" si="36"/>
        <v>920</v>
      </c>
      <c r="R584" s="13">
        <f t="shared" si="37"/>
        <v>464</v>
      </c>
      <c r="S584" s="13">
        <f t="shared" si="38"/>
        <v>456</v>
      </c>
      <c r="T584" s="14">
        <f t="shared" si="39"/>
        <v>0.4956521739130435</v>
      </c>
    </row>
    <row r="585" spans="1:20">
      <c r="A585" t="s">
        <v>1289</v>
      </c>
      <c r="B585" s="8">
        <v>46245</v>
      </c>
      <c r="C585" t="s">
        <v>237</v>
      </c>
      <c r="D585" t="s">
        <v>77</v>
      </c>
      <c r="E585" t="s">
        <v>708</v>
      </c>
      <c r="F585" t="s">
        <v>702</v>
      </c>
      <c r="G585">
        <v>2</v>
      </c>
      <c r="H585" s="9">
        <v>0</v>
      </c>
      <c r="I585" t="s">
        <v>699</v>
      </c>
      <c r="J585">
        <v>3</v>
      </c>
      <c r="K585">
        <v>1</v>
      </c>
      <c r="L585" t="str">
        <f>VLOOKUP(D585,Products!A:E,2,FALSE)</f>
        <v>File Folder Pack</v>
      </c>
      <c r="M585" t="str">
        <f>VLOOKUP(D585,Products!A:E,3,FALSE)</f>
        <v>Office Supplies</v>
      </c>
      <c r="N585">
        <f>VLOOKUP(D585,Products!A:E,4,FALSE)</f>
        <v>23</v>
      </c>
      <c r="O585" s="13">
        <f>VLOOKUP(D585,Products!A:E,5,FALSE)</f>
        <v>10</v>
      </c>
      <c r="P585" s="13" t="str">
        <f>VLOOKUP(C585,Customers!A:C,3,FALSE)</f>
        <v>Consumer</v>
      </c>
      <c r="Q585" s="13">
        <f t="shared" si="36"/>
        <v>46</v>
      </c>
      <c r="R585" s="13">
        <f t="shared" si="37"/>
        <v>20</v>
      </c>
      <c r="S585" s="13">
        <f t="shared" si="38"/>
        <v>26</v>
      </c>
      <c r="T585" s="14">
        <f t="shared" si="39"/>
        <v>0.56521739130434778</v>
      </c>
    </row>
    <row r="586" spans="1:20">
      <c r="A586" t="s">
        <v>1290</v>
      </c>
      <c r="B586" s="8">
        <v>46069</v>
      </c>
      <c r="C586" t="s">
        <v>311</v>
      </c>
      <c r="D586" t="s">
        <v>77</v>
      </c>
      <c r="E586" t="s">
        <v>708</v>
      </c>
      <c r="F586" t="s">
        <v>702</v>
      </c>
      <c r="G586">
        <v>3</v>
      </c>
      <c r="H586" s="9">
        <v>0</v>
      </c>
      <c r="I586" t="s">
        <v>699</v>
      </c>
      <c r="J586">
        <v>5</v>
      </c>
      <c r="K586">
        <v>3</v>
      </c>
      <c r="L586" t="str">
        <f>VLOOKUP(D586,Products!A:E,2,FALSE)</f>
        <v>File Folder Pack</v>
      </c>
      <c r="M586" t="str">
        <f>VLOOKUP(D586,Products!A:E,3,FALSE)</f>
        <v>Office Supplies</v>
      </c>
      <c r="N586">
        <f>VLOOKUP(D586,Products!A:E,4,FALSE)</f>
        <v>23</v>
      </c>
      <c r="O586" s="13">
        <f>VLOOKUP(D586,Products!A:E,5,FALSE)</f>
        <v>10</v>
      </c>
      <c r="P586" s="13" t="str">
        <f>VLOOKUP(C586,Customers!A:C,3,FALSE)</f>
        <v>Corporate</v>
      </c>
      <c r="Q586" s="13">
        <f t="shared" si="36"/>
        <v>69</v>
      </c>
      <c r="R586" s="13">
        <f t="shared" si="37"/>
        <v>30</v>
      </c>
      <c r="S586" s="13">
        <f t="shared" si="38"/>
        <v>39</v>
      </c>
      <c r="T586" s="14">
        <f t="shared" si="39"/>
        <v>0.56521739130434778</v>
      </c>
    </row>
    <row r="587" spans="1:20">
      <c r="A587" t="s">
        <v>1291</v>
      </c>
      <c r="B587" s="8">
        <v>45858</v>
      </c>
      <c r="C587" t="s">
        <v>109</v>
      </c>
      <c r="D587" t="s">
        <v>50</v>
      </c>
      <c r="E587" t="s">
        <v>715</v>
      </c>
      <c r="F587" t="s">
        <v>702</v>
      </c>
      <c r="G587">
        <v>3</v>
      </c>
      <c r="H587" s="9">
        <v>0</v>
      </c>
      <c r="I587" t="s">
        <v>699</v>
      </c>
      <c r="J587">
        <v>3</v>
      </c>
      <c r="K587">
        <v>3</v>
      </c>
      <c r="L587" t="str">
        <f>VLOOKUP(D587,Products!A:E,2,FALSE)</f>
        <v>Keyboard</v>
      </c>
      <c r="M587" t="str">
        <f>VLOOKUP(D587,Products!A:E,3,FALSE)</f>
        <v>Technology</v>
      </c>
      <c r="N587">
        <f>VLOOKUP(D587,Products!A:E,4,FALSE)</f>
        <v>75</v>
      </c>
      <c r="O587" s="13">
        <f>VLOOKUP(D587,Products!A:E,5,FALSE)</f>
        <v>38</v>
      </c>
      <c r="P587" s="13" t="str">
        <f>VLOOKUP(C587,Customers!A:C,3,FALSE)</f>
        <v>Corporate</v>
      </c>
      <c r="Q587" s="13">
        <f t="shared" si="36"/>
        <v>225</v>
      </c>
      <c r="R587" s="13">
        <f t="shared" si="37"/>
        <v>114</v>
      </c>
      <c r="S587" s="13">
        <f t="shared" si="38"/>
        <v>111</v>
      </c>
      <c r="T587" s="14">
        <f t="shared" si="39"/>
        <v>0.49333333333333335</v>
      </c>
    </row>
    <row r="588" spans="1:20">
      <c r="A588" t="s">
        <v>1292</v>
      </c>
      <c r="B588" s="8">
        <v>46181</v>
      </c>
      <c r="C588" t="s">
        <v>143</v>
      </c>
      <c r="D588" t="s">
        <v>70</v>
      </c>
      <c r="E588" t="s">
        <v>708</v>
      </c>
      <c r="F588" t="s">
        <v>698</v>
      </c>
      <c r="G588">
        <v>2</v>
      </c>
      <c r="H588" s="9">
        <v>0</v>
      </c>
      <c r="I588" t="s">
        <v>699</v>
      </c>
      <c r="J588">
        <v>4</v>
      </c>
      <c r="K588">
        <v>3</v>
      </c>
      <c r="L588" t="str">
        <f>VLOOKUP(D588,Products!A:E,2,FALSE)</f>
        <v>USB-C Hub</v>
      </c>
      <c r="M588" t="str">
        <f>VLOOKUP(D588,Products!A:E,3,FALSE)</f>
        <v>Accessories</v>
      </c>
      <c r="N588">
        <f>VLOOKUP(D588,Products!A:E,4,FALSE)</f>
        <v>68</v>
      </c>
      <c r="O588" s="13">
        <f>VLOOKUP(D588,Products!A:E,5,FALSE)</f>
        <v>31</v>
      </c>
      <c r="P588" s="13" t="str">
        <f>VLOOKUP(C588,Customers!A:C,3,FALSE)</f>
        <v>Small Business</v>
      </c>
      <c r="Q588" s="13">
        <f t="shared" si="36"/>
        <v>136</v>
      </c>
      <c r="R588" s="13">
        <f t="shared" si="37"/>
        <v>62</v>
      </c>
      <c r="S588" s="13">
        <f t="shared" si="38"/>
        <v>74</v>
      </c>
      <c r="T588" s="14">
        <f t="shared" si="39"/>
        <v>0.54411764705882348</v>
      </c>
    </row>
    <row r="589" spans="1:20">
      <c r="A589" t="s">
        <v>1293</v>
      </c>
      <c r="B589" s="8">
        <v>46114</v>
      </c>
      <c r="C589" t="s">
        <v>661</v>
      </c>
      <c r="D589" t="s">
        <v>50</v>
      </c>
      <c r="E589" t="s">
        <v>705</v>
      </c>
      <c r="F589" t="s">
        <v>706</v>
      </c>
      <c r="G589">
        <v>4</v>
      </c>
      <c r="H589" s="9">
        <v>0</v>
      </c>
      <c r="I589" t="s">
        <v>699</v>
      </c>
      <c r="J589">
        <v>3</v>
      </c>
      <c r="K589">
        <v>4</v>
      </c>
      <c r="L589" t="str">
        <f>VLOOKUP(D589,Products!A:E,2,FALSE)</f>
        <v>Keyboard</v>
      </c>
      <c r="M589" t="str">
        <f>VLOOKUP(D589,Products!A:E,3,FALSE)</f>
        <v>Technology</v>
      </c>
      <c r="N589">
        <f>VLOOKUP(D589,Products!A:E,4,FALSE)</f>
        <v>75</v>
      </c>
      <c r="O589" s="13">
        <f>VLOOKUP(D589,Products!A:E,5,FALSE)</f>
        <v>38</v>
      </c>
      <c r="P589" s="13" t="str">
        <f>VLOOKUP(C589,Customers!A:C,3,FALSE)</f>
        <v>Consumer</v>
      </c>
      <c r="Q589" s="13">
        <f t="shared" si="36"/>
        <v>300</v>
      </c>
      <c r="R589" s="13">
        <f t="shared" si="37"/>
        <v>152</v>
      </c>
      <c r="S589" s="13">
        <f t="shared" si="38"/>
        <v>148</v>
      </c>
      <c r="T589" s="14">
        <f t="shared" si="39"/>
        <v>0.49333333333333335</v>
      </c>
    </row>
    <row r="590" spans="1:20">
      <c r="A590" t="s">
        <v>1294</v>
      </c>
      <c r="B590" s="8">
        <v>46082</v>
      </c>
      <c r="C590" t="s">
        <v>229</v>
      </c>
      <c r="D590" t="s">
        <v>50</v>
      </c>
      <c r="E590" t="s">
        <v>705</v>
      </c>
      <c r="F590" t="s">
        <v>702</v>
      </c>
      <c r="G590">
        <v>8</v>
      </c>
      <c r="H590" s="9">
        <v>0.05</v>
      </c>
      <c r="I590" t="s">
        <v>699</v>
      </c>
      <c r="J590">
        <v>5</v>
      </c>
      <c r="K590">
        <v>5</v>
      </c>
      <c r="L590" t="str">
        <f>VLOOKUP(D590,Products!A:E,2,FALSE)</f>
        <v>Keyboard</v>
      </c>
      <c r="M590" t="str">
        <f>VLOOKUP(D590,Products!A:E,3,FALSE)</f>
        <v>Technology</v>
      </c>
      <c r="N590">
        <f>VLOOKUP(D590,Products!A:E,4,FALSE)</f>
        <v>75</v>
      </c>
      <c r="O590" s="13">
        <f>VLOOKUP(D590,Products!A:E,5,FALSE)</f>
        <v>38</v>
      </c>
      <c r="P590" s="13" t="str">
        <f>VLOOKUP(C590,Customers!A:C,3,FALSE)</f>
        <v>Small Business</v>
      </c>
      <c r="Q590" s="13">
        <f t="shared" si="36"/>
        <v>570</v>
      </c>
      <c r="R590" s="13">
        <f t="shared" si="37"/>
        <v>304</v>
      </c>
      <c r="S590" s="13">
        <f t="shared" si="38"/>
        <v>266</v>
      </c>
      <c r="T590" s="14">
        <f t="shared" si="39"/>
        <v>0.46666666666666667</v>
      </c>
    </row>
    <row r="591" spans="1:20">
      <c r="A591" t="s">
        <v>1295</v>
      </c>
      <c r="B591" s="8">
        <v>46042</v>
      </c>
      <c r="C591" t="s">
        <v>177</v>
      </c>
      <c r="D591" t="s">
        <v>45</v>
      </c>
      <c r="E591" t="s">
        <v>708</v>
      </c>
      <c r="F591" t="s">
        <v>706</v>
      </c>
      <c r="G591">
        <v>2</v>
      </c>
      <c r="H591" s="9">
        <v>0.05</v>
      </c>
      <c r="I591" t="s">
        <v>699</v>
      </c>
      <c r="J591">
        <v>5</v>
      </c>
      <c r="K591">
        <v>2</v>
      </c>
      <c r="L591" t="str">
        <f>VLOOKUP(D591,Products!A:E,2,FALSE)</f>
        <v>Laptop</v>
      </c>
      <c r="M591" t="str">
        <f>VLOOKUP(D591,Products!A:E,3,FALSE)</f>
        <v>Technology</v>
      </c>
      <c r="N591">
        <f>VLOOKUP(D591,Products!A:E,4,FALSE)</f>
        <v>1100</v>
      </c>
      <c r="O591" s="13">
        <f>VLOOKUP(D591,Products!A:E,5,FALSE)</f>
        <v>720</v>
      </c>
      <c r="P591" s="13" t="str">
        <f>VLOOKUP(C591,Customers!A:C,3,FALSE)</f>
        <v>Consumer</v>
      </c>
      <c r="Q591" s="13">
        <f t="shared" si="36"/>
        <v>2090</v>
      </c>
      <c r="R591" s="13">
        <f t="shared" si="37"/>
        <v>1440</v>
      </c>
      <c r="S591" s="13">
        <f t="shared" si="38"/>
        <v>650</v>
      </c>
      <c r="T591" s="14">
        <f t="shared" si="39"/>
        <v>0.31100478468899523</v>
      </c>
    </row>
    <row r="592" spans="1:20">
      <c r="A592" t="s">
        <v>1296</v>
      </c>
      <c r="B592" s="8">
        <v>45862</v>
      </c>
      <c r="C592" t="s">
        <v>277</v>
      </c>
      <c r="D592" t="s">
        <v>72</v>
      </c>
      <c r="E592" t="s">
        <v>708</v>
      </c>
      <c r="F592" t="s">
        <v>698</v>
      </c>
      <c r="G592">
        <v>5</v>
      </c>
      <c r="H592" s="9">
        <v>0</v>
      </c>
      <c r="I592" t="s">
        <v>699</v>
      </c>
      <c r="J592">
        <v>4</v>
      </c>
      <c r="K592">
        <v>4</v>
      </c>
      <c r="L592" t="str">
        <f>VLOOKUP(D592,Products!A:E,2,FALSE)</f>
        <v>Phone Charger</v>
      </c>
      <c r="M592" t="str">
        <f>VLOOKUP(D592,Products!A:E,3,FALSE)</f>
        <v>Accessories</v>
      </c>
      <c r="N592">
        <f>VLOOKUP(D592,Products!A:E,4,FALSE)</f>
        <v>32</v>
      </c>
      <c r="O592" s="13">
        <f>VLOOKUP(D592,Products!A:E,5,FALSE)</f>
        <v>13</v>
      </c>
      <c r="P592" s="13" t="str">
        <f>VLOOKUP(C592,Customers!A:C,3,FALSE)</f>
        <v>Consumer</v>
      </c>
      <c r="Q592" s="13">
        <f t="shared" si="36"/>
        <v>160</v>
      </c>
      <c r="R592" s="13">
        <f t="shared" si="37"/>
        <v>65</v>
      </c>
      <c r="S592" s="13">
        <f t="shared" si="38"/>
        <v>95</v>
      </c>
      <c r="T592" s="14">
        <f t="shared" si="39"/>
        <v>0.59375</v>
      </c>
    </row>
    <row r="593" spans="1:20">
      <c r="A593" t="s">
        <v>1297</v>
      </c>
      <c r="B593" s="8">
        <v>45887</v>
      </c>
      <c r="C593" t="s">
        <v>113</v>
      </c>
      <c r="D593" t="s">
        <v>45</v>
      </c>
      <c r="E593" t="s">
        <v>705</v>
      </c>
      <c r="F593" t="s">
        <v>702</v>
      </c>
      <c r="G593">
        <v>3</v>
      </c>
      <c r="H593" s="9">
        <v>0.05</v>
      </c>
      <c r="I593" t="s">
        <v>699</v>
      </c>
      <c r="J593">
        <v>5</v>
      </c>
      <c r="K593">
        <v>3</v>
      </c>
      <c r="L593" t="str">
        <f>VLOOKUP(D593,Products!A:E,2,FALSE)</f>
        <v>Laptop</v>
      </c>
      <c r="M593" t="str">
        <f>VLOOKUP(D593,Products!A:E,3,FALSE)</f>
        <v>Technology</v>
      </c>
      <c r="N593">
        <f>VLOOKUP(D593,Products!A:E,4,FALSE)</f>
        <v>1100</v>
      </c>
      <c r="O593" s="13">
        <f>VLOOKUP(D593,Products!A:E,5,FALSE)</f>
        <v>720</v>
      </c>
      <c r="P593" s="13" t="str">
        <f>VLOOKUP(C593,Customers!A:C,3,FALSE)</f>
        <v>Consumer</v>
      </c>
      <c r="Q593" s="13">
        <f t="shared" si="36"/>
        <v>3135</v>
      </c>
      <c r="R593" s="13">
        <f t="shared" si="37"/>
        <v>2160</v>
      </c>
      <c r="S593" s="13">
        <f t="shared" si="38"/>
        <v>975</v>
      </c>
      <c r="T593" s="14">
        <f t="shared" si="39"/>
        <v>0.31100478468899523</v>
      </c>
    </row>
    <row r="594" spans="1:20">
      <c r="A594" t="s">
        <v>1298</v>
      </c>
      <c r="B594" s="8">
        <v>46085</v>
      </c>
      <c r="C594" t="s">
        <v>269</v>
      </c>
      <c r="D594" t="s">
        <v>79</v>
      </c>
      <c r="E594" t="s">
        <v>697</v>
      </c>
      <c r="F594" t="s">
        <v>698</v>
      </c>
      <c r="G594">
        <v>1</v>
      </c>
      <c r="H594" s="9">
        <v>0.1</v>
      </c>
      <c r="I594" t="s">
        <v>699</v>
      </c>
      <c r="J594">
        <v>5</v>
      </c>
      <c r="K594">
        <v>5</v>
      </c>
      <c r="L594" t="str">
        <f>VLOOKUP(D594,Products!A:E,2,FALSE)</f>
        <v>Desk Organiser</v>
      </c>
      <c r="M594" t="str">
        <f>VLOOKUP(D594,Products!A:E,3,FALSE)</f>
        <v>Office Supplies</v>
      </c>
      <c r="N594">
        <f>VLOOKUP(D594,Products!A:E,4,FALSE)</f>
        <v>28</v>
      </c>
      <c r="O594" s="13">
        <f>VLOOKUP(D594,Products!A:E,5,FALSE)</f>
        <v>12</v>
      </c>
      <c r="P594" s="13" t="str">
        <f>VLOOKUP(C594,Customers!A:C,3,FALSE)</f>
        <v>Corporate</v>
      </c>
      <c r="Q594" s="13">
        <f t="shared" si="36"/>
        <v>25.2</v>
      </c>
      <c r="R594" s="13">
        <f t="shared" si="37"/>
        <v>12</v>
      </c>
      <c r="S594" s="13">
        <f t="shared" si="38"/>
        <v>13.2</v>
      </c>
      <c r="T594" s="14">
        <f t="shared" si="39"/>
        <v>0.52380952380952384</v>
      </c>
    </row>
    <row r="595" spans="1:20">
      <c r="A595" t="s">
        <v>1299</v>
      </c>
      <c r="B595" s="8">
        <v>46028</v>
      </c>
      <c r="C595" t="s">
        <v>681</v>
      </c>
      <c r="D595" t="s">
        <v>79</v>
      </c>
      <c r="E595" t="s">
        <v>715</v>
      </c>
      <c r="F595" t="s">
        <v>706</v>
      </c>
      <c r="G595">
        <v>3</v>
      </c>
      <c r="H595" s="9">
        <v>0.05</v>
      </c>
      <c r="I595" t="s">
        <v>699</v>
      </c>
      <c r="J595">
        <v>3</v>
      </c>
      <c r="K595">
        <v>5</v>
      </c>
      <c r="L595" t="str">
        <f>VLOOKUP(D595,Products!A:E,2,FALSE)</f>
        <v>Desk Organiser</v>
      </c>
      <c r="M595" t="str">
        <f>VLOOKUP(D595,Products!A:E,3,FALSE)</f>
        <v>Office Supplies</v>
      </c>
      <c r="N595">
        <f>VLOOKUP(D595,Products!A:E,4,FALSE)</f>
        <v>28</v>
      </c>
      <c r="O595" s="13">
        <f>VLOOKUP(D595,Products!A:E,5,FALSE)</f>
        <v>12</v>
      </c>
      <c r="P595" s="13" t="str">
        <f>VLOOKUP(C595,Customers!A:C,3,FALSE)</f>
        <v>Consumer</v>
      </c>
      <c r="Q595" s="13">
        <f t="shared" si="36"/>
        <v>79.8</v>
      </c>
      <c r="R595" s="13">
        <f t="shared" si="37"/>
        <v>36</v>
      </c>
      <c r="S595" s="13">
        <f t="shared" si="38"/>
        <v>43.8</v>
      </c>
      <c r="T595" s="14">
        <f t="shared" si="39"/>
        <v>0.54887218045112784</v>
      </c>
    </row>
    <row r="596" spans="1:20">
      <c r="A596" t="s">
        <v>1300</v>
      </c>
      <c r="B596" s="8">
        <v>46247</v>
      </c>
      <c r="C596" t="s">
        <v>103</v>
      </c>
      <c r="D596" t="s">
        <v>63</v>
      </c>
      <c r="E596" t="s">
        <v>705</v>
      </c>
      <c r="F596" t="s">
        <v>702</v>
      </c>
      <c r="G596">
        <v>1</v>
      </c>
      <c r="H596" s="9">
        <v>0.15</v>
      </c>
      <c r="I596" t="s">
        <v>699</v>
      </c>
      <c r="J596">
        <v>3</v>
      </c>
      <c r="K596">
        <v>3</v>
      </c>
      <c r="L596" t="str">
        <f>VLOOKUP(D596,Products!A:E,2,FALSE)</f>
        <v>Bookshelf</v>
      </c>
      <c r="M596" t="str">
        <f>VLOOKUP(D596,Products!A:E,3,FALSE)</f>
        <v>Furniture</v>
      </c>
      <c r="N596">
        <f>VLOOKUP(D596,Products!A:E,4,FALSE)</f>
        <v>185</v>
      </c>
      <c r="O596" s="13">
        <f>VLOOKUP(D596,Products!A:E,5,FALSE)</f>
        <v>105</v>
      </c>
      <c r="P596" s="13" t="str">
        <f>VLOOKUP(C596,Customers!A:C,3,FALSE)</f>
        <v>Consumer</v>
      </c>
      <c r="Q596" s="13">
        <f t="shared" si="36"/>
        <v>157.25</v>
      </c>
      <c r="R596" s="13">
        <f t="shared" si="37"/>
        <v>105</v>
      </c>
      <c r="S596" s="13">
        <f t="shared" si="38"/>
        <v>52.25</v>
      </c>
      <c r="T596" s="14">
        <f t="shared" si="39"/>
        <v>0.33227344992050872</v>
      </c>
    </row>
    <row r="597" spans="1:20">
      <c r="A597" t="s">
        <v>1301</v>
      </c>
      <c r="B597" s="8">
        <v>46027</v>
      </c>
      <c r="C597" t="s">
        <v>515</v>
      </c>
      <c r="D597" t="s">
        <v>70</v>
      </c>
      <c r="E597" t="s">
        <v>705</v>
      </c>
      <c r="F597" t="s">
        <v>702</v>
      </c>
      <c r="G597">
        <v>3</v>
      </c>
      <c r="H597" s="9">
        <v>0</v>
      </c>
      <c r="I597" t="s">
        <v>699</v>
      </c>
      <c r="J597">
        <v>5</v>
      </c>
      <c r="K597">
        <v>1</v>
      </c>
      <c r="L597" t="str">
        <f>VLOOKUP(D597,Products!A:E,2,FALSE)</f>
        <v>USB-C Hub</v>
      </c>
      <c r="M597" t="str">
        <f>VLOOKUP(D597,Products!A:E,3,FALSE)</f>
        <v>Accessories</v>
      </c>
      <c r="N597">
        <f>VLOOKUP(D597,Products!A:E,4,FALSE)</f>
        <v>68</v>
      </c>
      <c r="O597" s="13">
        <f>VLOOKUP(D597,Products!A:E,5,FALSE)</f>
        <v>31</v>
      </c>
      <c r="P597" s="13" t="str">
        <f>VLOOKUP(C597,Customers!A:C,3,FALSE)</f>
        <v>Small Business</v>
      </c>
      <c r="Q597" s="13">
        <f t="shared" si="36"/>
        <v>204</v>
      </c>
      <c r="R597" s="13">
        <f t="shared" si="37"/>
        <v>93</v>
      </c>
      <c r="S597" s="13">
        <f t="shared" si="38"/>
        <v>111</v>
      </c>
      <c r="T597" s="14">
        <f t="shared" si="39"/>
        <v>0.54411764705882348</v>
      </c>
    </row>
    <row r="598" spans="1:20">
      <c r="A598" t="s">
        <v>1302</v>
      </c>
      <c r="B598" s="8">
        <v>45829</v>
      </c>
      <c r="C598" t="s">
        <v>643</v>
      </c>
      <c r="D598" t="s">
        <v>68</v>
      </c>
      <c r="E598" t="s">
        <v>697</v>
      </c>
      <c r="F598" t="s">
        <v>698</v>
      </c>
      <c r="G598">
        <v>3</v>
      </c>
      <c r="H598" s="9">
        <v>0</v>
      </c>
      <c r="I598" t="s">
        <v>699</v>
      </c>
      <c r="J598">
        <v>5</v>
      </c>
      <c r="K598">
        <v>1</v>
      </c>
      <c r="L598" t="str">
        <f>VLOOKUP(D598,Products!A:E,2,FALSE)</f>
        <v>Backpack</v>
      </c>
      <c r="M598" t="str">
        <f>VLOOKUP(D598,Products!A:E,3,FALSE)</f>
        <v>Accessories</v>
      </c>
      <c r="N598">
        <f>VLOOKUP(D598,Products!A:E,4,FALSE)</f>
        <v>85</v>
      </c>
      <c r="O598" s="13">
        <f>VLOOKUP(D598,Products!A:E,5,FALSE)</f>
        <v>39</v>
      </c>
      <c r="P598" s="13" t="str">
        <f>VLOOKUP(C598,Customers!A:C,3,FALSE)</f>
        <v>Consumer</v>
      </c>
      <c r="Q598" s="13">
        <f t="shared" si="36"/>
        <v>255</v>
      </c>
      <c r="R598" s="13">
        <f t="shared" si="37"/>
        <v>117</v>
      </c>
      <c r="S598" s="13">
        <f t="shared" si="38"/>
        <v>138</v>
      </c>
      <c r="T598" s="14">
        <f t="shared" si="39"/>
        <v>0.54117647058823526</v>
      </c>
    </row>
    <row r="599" spans="1:20">
      <c r="A599" t="s">
        <v>1303</v>
      </c>
      <c r="B599" s="8">
        <v>46205</v>
      </c>
      <c r="C599" t="s">
        <v>679</v>
      </c>
      <c r="D599" t="s">
        <v>70</v>
      </c>
      <c r="E599" t="s">
        <v>697</v>
      </c>
      <c r="F599" t="s">
        <v>702</v>
      </c>
      <c r="G599">
        <v>2</v>
      </c>
      <c r="H599" s="9">
        <v>0</v>
      </c>
      <c r="I599" t="s">
        <v>699</v>
      </c>
      <c r="J599">
        <v>4</v>
      </c>
      <c r="K599">
        <v>2</v>
      </c>
      <c r="L599" t="str">
        <f>VLOOKUP(D599,Products!A:E,2,FALSE)</f>
        <v>USB-C Hub</v>
      </c>
      <c r="M599" t="str">
        <f>VLOOKUP(D599,Products!A:E,3,FALSE)</f>
        <v>Accessories</v>
      </c>
      <c r="N599">
        <f>VLOOKUP(D599,Products!A:E,4,FALSE)</f>
        <v>68</v>
      </c>
      <c r="O599" s="13">
        <f>VLOOKUP(D599,Products!A:E,5,FALSE)</f>
        <v>31</v>
      </c>
      <c r="P599" s="13" t="str">
        <f>VLOOKUP(C599,Customers!A:C,3,FALSE)</f>
        <v>Consumer</v>
      </c>
      <c r="Q599" s="13">
        <f t="shared" si="36"/>
        <v>136</v>
      </c>
      <c r="R599" s="13">
        <f t="shared" si="37"/>
        <v>62</v>
      </c>
      <c r="S599" s="13">
        <f t="shared" si="38"/>
        <v>74</v>
      </c>
      <c r="T599" s="14">
        <f t="shared" si="39"/>
        <v>0.54411764705882348</v>
      </c>
    </row>
    <row r="600" spans="1:20">
      <c r="A600" t="s">
        <v>1304</v>
      </c>
      <c r="B600" s="8">
        <v>45762</v>
      </c>
      <c r="C600" t="s">
        <v>309</v>
      </c>
      <c r="D600" t="s">
        <v>54</v>
      </c>
      <c r="E600" t="s">
        <v>715</v>
      </c>
      <c r="F600" t="s">
        <v>706</v>
      </c>
      <c r="G600">
        <v>4</v>
      </c>
      <c r="H600" s="9">
        <v>0.05</v>
      </c>
      <c r="I600" t="s">
        <v>699</v>
      </c>
      <c r="J600">
        <v>5</v>
      </c>
      <c r="K600">
        <v>5</v>
      </c>
      <c r="L600" t="str">
        <f>VLOOKUP(D600,Products!A:E,2,FALSE)</f>
        <v>Webcam</v>
      </c>
      <c r="M600" t="str">
        <f>VLOOKUP(D600,Products!A:E,3,FALSE)</f>
        <v>Technology</v>
      </c>
      <c r="N600">
        <f>VLOOKUP(D600,Products!A:E,4,FALSE)</f>
        <v>115</v>
      </c>
      <c r="O600" s="13">
        <f>VLOOKUP(D600,Products!A:E,5,FALSE)</f>
        <v>58</v>
      </c>
      <c r="P600" s="13" t="str">
        <f>VLOOKUP(C600,Customers!A:C,3,FALSE)</f>
        <v>Consumer</v>
      </c>
      <c r="Q600" s="13">
        <f t="shared" si="36"/>
        <v>437</v>
      </c>
      <c r="R600" s="13">
        <f t="shared" si="37"/>
        <v>232</v>
      </c>
      <c r="S600" s="13">
        <f t="shared" si="38"/>
        <v>205</v>
      </c>
      <c r="T600" s="14">
        <f t="shared" si="39"/>
        <v>0.46910755148741418</v>
      </c>
    </row>
    <row r="601" spans="1:20">
      <c r="A601" t="s">
        <v>1305</v>
      </c>
      <c r="B601" s="8">
        <v>46222</v>
      </c>
      <c r="C601" t="s">
        <v>203</v>
      </c>
      <c r="D601" t="s">
        <v>74</v>
      </c>
      <c r="E601" t="s">
        <v>715</v>
      </c>
      <c r="F601" t="s">
        <v>702</v>
      </c>
      <c r="G601">
        <v>4</v>
      </c>
      <c r="H601" s="9">
        <v>0.15</v>
      </c>
      <c r="I601" t="s">
        <v>699</v>
      </c>
      <c r="J601">
        <v>4</v>
      </c>
      <c r="K601">
        <v>3</v>
      </c>
      <c r="L601" t="str">
        <f>VLOOKUP(D601,Products!A:E,2,FALSE)</f>
        <v>Printer Paper</v>
      </c>
      <c r="M601" t="str">
        <f>VLOOKUP(D601,Products!A:E,3,FALSE)</f>
        <v>Office Supplies</v>
      </c>
      <c r="N601">
        <f>VLOOKUP(D601,Products!A:E,4,FALSE)</f>
        <v>17</v>
      </c>
      <c r="O601" s="13">
        <f>VLOOKUP(D601,Products!A:E,5,FALSE)</f>
        <v>8</v>
      </c>
      <c r="P601" s="13" t="str">
        <f>VLOOKUP(C601,Customers!A:C,3,FALSE)</f>
        <v>Consumer</v>
      </c>
      <c r="Q601" s="13">
        <f t="shared" si="36"/>
        <v>57.8</v>
      </c>
      <c r="R601" s="13">
        <f t="shared" si="37"/>
        <v>32</v>
      </c>
      <c r="S601" s="13">
        <f t="shared" si="38"/>
        <v>25.799999999999997</v>
      </c>
      <c r="T601" s="14">
        <f t="shared" si="39"/>
        <v>0.44636678200692037</v>
      </c>
    </row>
    <row r="602" spans="1:20">
      <c r="A602" t="s">
        <v>1306</v>
      </c>
      <c r="B602" s="8">
        <v>45800</v>
      </c>
      <c r="C602" t="s">
        <v>539</v>
      </c>
      <c r="D602" t="s">
        <v>68</v>
      </c>
      <c r="E602" t="s">
        <v>705</v>
      </c>
      <c r="F602" t="s">
        <v>702</v>
      </c>
      <c r="G602">
        <v>4</v>
      </c>
      <c r="H602" s="9">
        <v>0</v>
      </c>
      <c r="I602" t="s">
        <v>699</v>
      </c>
      <c r="J602">
        <v>5</v>
      </c>
      <c r="K602">
        <v>2</v>
      </c>
      <c r="L602" t="str">
        <f>VLOOKUP(D602,Products!A:E,2,FALSE)</f>
        <v>Backpack</v>
      </c>
      <c r="M602" t="str">
        <f>VLOOKUP(D602,Products!A:E,3,FALSE)</f>
        <v>Accessories</v>
      </c>
      <c r="N602">
        <f>VLOOKUP(D602,Products!A:E,4,FALSE)</f>
        <v>85</v>
      </c>
      <c r="O602" s="13">
        <f>VLOOKUP(D602,Products!A:E,5,FALSE)</f>
        <v>39</v>
      </c>
      <c r="P602" s="13" t="str">
        <f>VLOOKUP(C602,Customers!A:C,3,FALSE)</f>
        <v>Corporate</v>
      </c>
      <c r="Q602" s="13">
        <f t="shared" si="36"/>
        <v>340</v>
      </c>
      <c r="R602" s="13">
        <f t="shared" si="37"/>
        <v>156</v>
      </c>
      <c r="S602" s="13">
        <f t="shared" si="38"/>
        <v>184</v>
      </c>
      <c r="T602" s="14">
        <f t="shared" si="39"/>
        <v>0.54117647058823526</v>
      </c>
    </row>
    <row r="603" spans="1:20">
      <c r="A603" t="s">
        <v>1307</v>
      </c>
      <c r="B603" s="8">
        <v>45972</v>
      </c>
      <c r="C603" t="s">
        <v>215</v>
      </c>
      <c r="D603" t="s">
        <v>58</v>
      </c>
      <c r="E603" t="s">
        <v>705</v>
      </c>
      <c r="F603" t="s">
        <v>702</v>
      </c>
      <c r="G603">
        <v>3</v>
      </c>
      <c r="H603" s="9">
        <v>0.1</v>
      </c>
      <c r="I603" t="s">
        <v>699</v>
      </c>
      <c r="J603">
        <v>5</v>
      </c>
      <c r="K603">
        <v>4</v>
      </c>
      <c r="L603" t="str">
        <f>VLOOKUP(D603,Products!A:E,2,FALSE)</f>
        <v>Standing Desk</v>
      </c>
      <c r="M603" t="str">
        <f>VLOOKUP(D603,Products!A:E,3,FALSE)</f>
        <v>Furniture</v>
      </c>
      <c r="N603">
        <f>VLOOKUP(D603,Products!A:E,4,FALSE)</f>
        <v>540</v>
      </c>
      <c r="O603" s="13">
        <f>VLOOKUP(D603,Products!A:E,5,FALSE)</f>
        <v>320</v>
      </c>
      <c r="P603" s="13" t="str">
        <f>VLOOKUP(C603,Customers!A:C,3,FALSE)</f>
        <v>Small Business</v>
      </c>
      <c r="Q603" s="13">
        <f t="shared" si="36"/>
        <v>1458</v>
      </c>
      <c r="R603" s="13">
        <f t="shared" si="37"/>
        <v>960</v>
      </c>
      <c r="S603" s="13">
        <f t="shared" si="38"/>
        <v>498</v>
      </c>
      <c r="T603" s="14">
        <f t="shared" si="39"/>
        <v>0.34156378600823045</v>
      </c>
    </row>
    <row r="604" spans="1:20">
      <c r="A604" t="s">
        <v>1308</v>
      </c>
      <c r="B604" s="8">
        <v>45701</v>
      </c>
      <c r="C604" t="s">
        <v>287</v>
      </c>
      <c r="D604" t="s">
        <v>52</v>
      </c>
      <c r="E604" t="s">
        <v>705</v>
      </c>
      <c r="F604" t="s">
        <v>698</v>
      </c>
      <c r="G604">
        <v>3</v>
      </c>
      <c r="H604" s="9">
        <v>0.05</v>
      </c>
      <c r="I604" t="s">
        <v>699</v>
      </c>
      <c r="J604">
        <v>2</v>
      </c>
      <c r="K604">
        <v>4</v>
      </c>
      <c r="L604" t="str">
        <f>VLOOKUP(D604,Products!A:E,2,FALSE)</f>
        <v>Mouse</v>
      </c>
      <c r="M604" t="str">
        <f>VLOOKUP(D604,Products!A:E,3,FALSE)</f>
        <v>Technology</v>
      </c>
      <c r="N604">
        <f>VLOOKUP(D604,Products!A:E,4,FALSE)</f>
        <v>42</v>
      </c>
      <c r="O604" s="13">
        <f>VLOOKUP(D604,Products!A:E,5,FALSE)</f>
        <v>19</v>
      </c>
      <c r="P604" s="13" t="str">
        <f>VLOOKUP(C604,Customers!A:C,3,FALSE)</f>
        <v>Consumer</v>
      </c>
      <c r="Q604" s="13">
        <f t="shared" si="36"/>
        <v>119.69999999999999</v>
      </c>
      <c r="R604" s="13">
        <f t="shared" si="37"/>
        <v>57</v>
      </c>
      <c r="S604" s="13">
        <f t="shared" si="38"/>
        <v>62.699999999999989</v>
      </c>
      <c r="T604" s="14">
        <f t="shared" si="39"/>
        <v>0.52380952380952372</v>
      </c>
    </row>
    <row r="605" spans="1:20">
      <c r="A605" t="s">
        <v>1309</v>
      </c>
      <c r="B605" s="8">
        <v>45756</v>
      </c>
      <c r="C605" t="s">
        <v>213</v>
      </c>
      <c r="D605" t="s">
        <v>58</v>
      </c>
      <c r="E605" t="s">
        <v>715</v>
      </c>
      <c r="F605" t="s">
        <v>702</v>
      </c>
      <c r="G605">
        <v>3</v>
      </c>
      <c r="H605" s="9">
        <v>0</v>
      </c>
      <c r="I605" t="s">
        <v>699</v>
      </c>
      <c r="J605">
        <v>5</v>
      </c>
      <c r="K605">
        <v>3</v>
      </c>
      <c r="L605" t="str">
        <f>VLOOKUP(D605,Products!A:E,2,FALSE)</f>
        <v>Standing Desk</v>
      </c>
      <c r="M605" t="str">
        <f>VLOOKUP(D605,Products!A:E,3,FALSE)</f>
        <v>Furniture</v>
      </c>
      <c r="N605">
        <f>VLOOKUP(D605,Products!A:E,4,FALSE)</f>
        <v>540</v>
      </c>
      <c r="O605" s="13">
        <f>VLOOKUP(D605,Products!A:E,5,FALSE)</f>
        <v>320</v>
      </c>
      <c r="P605" s="13" t="str">
        <f>VLOOKUP(C605,Customers!A:C,3,FALSE)</f>
        <v>Corporate</v>
      </c>
      <c r="Q605" s="13">
        <f t="shared" si="36"/>
        <v>1620</v>
      </c>
      <c r="R605" s="13">
        <f t="shared" si="37"/>
        <v>960</v>
      </c>
      <c r="S605" s="13">
        <f t="shared" si="38"/>
        <v>660</v>
      </c>
      <c r="T605" s="14">
        <f t="shared" si="39"/>
        <v>0.40740740740740738</v>
      </c>
    </row>
    <row r="606" spans="1:20">
      <c r="A606" t="s">
        <v>1310</v>
      </c>
      <c r="B606" s="8">
        <v>46251</v>
      </c>
      <c r="C606" t="s">
        <v>443</v>
      </c>
      <c r="D606" t="s">
        <v>70</v>
      </c>
      <c r="E606" t="s">
        <v>705</v>
      </c>
      <c r="F606" t="s">
        <v>698</v>
      </c>
      <c r="G606">
        <v>4</v>
      </c>
      <c r="H606" s="9">
        <v>0</v>
      </c>
      <c r="I606" t="s">
        <v>699</v>
      </c>
      <c r="J606">
        <v>2</v>
      </c>
      <c r="K606">
        <v>6</v>
      </c>
      <c r="L606" t="str">
        <f>VLOOKUP(D606,Products!A:E,2,FALSE)</f>
        <v>USB-C Hub</v>
      </c>
      <c r="M606" t="str">
        <f>VLOOKUP(D606,Products!A:E,3,FALSE)</f>
        <v>Accessories</v>
      </c>
      <c r="N606">
        <f>VLOOKUP(D606,Products!A:E,4,FALSE)</f>
        <v>68</v>
      </c>
      <c r="O606" s="13">
        <f>VLOOKUP(D606,Products!A:E,5,FALSE)</f>
        <v>31</v>
      </c>
      <c r="P606" s="13" t="str">
        <f>VLOOKUP(C606,Customers!A:C,3,FALSE)</f>
        <v>Consumer</v>
      </c>
      <c r="Q606" s="13">
        <f t="shared" si="36"/>
        <v>272</v>
      </c>
      <c r="R606" s="13">
        <f t="shared" si="37"/>
        <v>124</v>
      </c>
      <c r="S606" s="13">
        <f t="shared" si="38"/>
        <v>148</v>
      </c>
      <c r="T606" s="14">
        <f t="shared" si="39"/>
        <v>0.54411764705882348</v>
      </c>
    </row>
    <row r="607" spans="1:20">
      <c r="A607" t="s">
        <v>1311</v>
      </c>
      <c r="B607" s="8">
        <v>46199</v>
      </c>
      <c r="C607" t="s">
        <v>309</v>
      </c>
      <c r="D607" t="s">
        <v>58</v>
      </c>
      <c r="E607" t="s">
        <v>697</v>
      </c>
      <c r="F607" t="s">
        <v>702</v>
      </c>
      <c r="G607">
        <v>4</v>
      </c>
      <c r="H607" s="9">
        <v>0</v>
      </c>
      <c r="I607" t="s">
        <v>699</v>
      </c>
      <c r="J607">
        <v>5</v>
      </c>
      <c r="K607">
        <v>5</v>
      </c>
      <c r="L607" t="str">
        <f>VLOOKUP(D607,Products!A:E,2,FALSE)</f>
        <v>Standing Desk</v>
      </c>
      <c r="M607" t="str">
        <f>VLOOKUP(D607,Products!A:E,3,FALSE)</f>
        <v>Furniture</v>
      </c>
      <c r="N607">
        <f>VLOOKUP(D607,Products!A:E,4,FALSE)</f>
        <v>540</v>
      </c>
      <c r="O607" s="13">
        <f>VLOOKUP(D607,Products!A:E,5,FALSE)</f>
        <v>320</v>
      </c>
      <c r="P607" s="13" t="str">
        <f>VLOOKUP(C607,Customers!A:C,3,FALSE)</f>
        <v>Consumer</v>
      </c>
      <c r="Q607" s="13">
        <f t="shared" si="36"/>
        <v>2160</v>
      </c>
      <c r="R607" s="13">
        <f t="shared" si="37"/>
        <v>1280</v>
      </c>
      <c r="S607" s="13">
        <f t="shared" si="38"/>
        <v>880</v>
      </c>
      <c r="T607" s="14">
        <f t="shared" si="39"/>
        <v>0.40740740740740738</v>
      </c>
    </row>
    <row r="608" spans="1:20">
      <c r="A608" t="s">
        <v>1312</v>
      </c>
      <c r="B608" s="8">
        <v>46144</v>
      </c>
      <c r="C608" t="s">
        <v>461</v>
      </c>
      <c r="D608" t="s">
        <v>56</v>
      </c>
      <c r="E608" t="s">
        <v>715</v>
      </c>
      <c r="F608" t="s">
        <v>706</v>
      </c>
      <c r="G608">
        <v>1</v>
      </c>
      <c r="H608" s="9">
        <v>0</v>
      </c>
      <c r="I608" t="s">
        <v>699</v>
      </c>
      <c r="J608">
        <v>3</v>
      </c>
      <c r="K608">
        <v>2</v>
      </c>
      <c r="L608" t="str">
        <f>VLOOKUP(D608,Products!A:E,2,FALSE)</f>
        <v>Headset</v>
      </c>
      <c r="M608" t="str">
        <f>VLOOKUP(D608,Products!A:E,3,FALSE)</f>
        <v>Technology</v>
      </c>
      <c r="N608">
        <f>VLOOKUP(D608,Products!A:E,4,FALSE)</f>
        <v>98</v>
      </c>
      <c r="O608" s="13">
        <f>VLOOKUP(D608,Products!A:E,5,FALSE)</f>
        <v>46</v>
      </c>
      <c r="P608" s="13" t="str">
        <f>VLOOKUP(C608,Customers!A:C,3,FALSE)</f>
        <v>Consumer</v>
      </c>
      <c r="Q608" s="13">
        <f t="shared" si="36"/>
        <v>98</v>
      </c>
      <c r="R608" s="13">
        <f t="shared" si="37"/>
        <v>46</v>
      </c>
      <c r="S608" s="13">
        <f t="shared" si="38"/>
        <v>52</v>
      </c>
      <c r="T608" s="14">
        <f t="shared" si="39"/>
        <v>0.53061224489795922</v>
      </c>
    </row>
    <row r="609" spans="1:20">
      <c r="A609" t="s">
        <v>1313</v>
      </c>
      <c r="B609" s="8">
        <v>46075</v>
      </c>
      <c r="C609" t="s">
        <v>201</v>
      </c>
      <c r="D609" t="s">
        <v>68</v>
      </c>
      <c r="E609" t="s">
        <v>705</v>
      </c>
      <c r="F609" t="s">
        <v>702</v>
      </c>
      <c r="G609">
        <v>1</v>
      </c>
      <c r="H609" s="9">
        <v>0.1</v>
      </c>
      <c r="I609" t="s">
        <v>699</v>
      </c>
      <c r="J609">
        <v>4</v>
      </c>
      <c r="K609">
        <v>1</v>
      </c>
      <c r="L609" t="str">
        <f>VLOOKUP(D609,Products!A:E,2,FALSE)</f>
        <v>Backpack</v>
      </c>
      <c r="M609" t="str">
        <f>VLOOKUP(D609,Products!A:E,3,FALSE)</f>
        <v>Accessories</v>
      </c>
      <c r="N609">
        <f>VLOOKUP(D609,Products!A:E,4,FALSE)</f>
        <v>85</v>
      </c>
      <c r="O609" s="13">
        <f>VLOOKUP(D609,Products!A:E,5,FALSE)</f>
        <v>39</v>
      </c>
      <c r="P609" s="13" t="str">
        <f>VLOOKUP(C609,Customers!A:C,3,FALSE)</f>
        <v>Corporate</v>
      </c>
      <c r="Q609" s="13">
        <f t="shared" si="36"/>
        <v>76.5</v>
      </c>
      <c r="R609" s="13">
        <f t="shared" si="37"/>
        <v>39</v>
      </c>
      <c r="S609" s="13">
        <f t="shared" si="38"/>
        <v>37.5</v>
      </c>
      <c r="T609" s="14">
        <f t="shared" si="39"/>
        <v>0.49019607843137253</v>
      </c>
    </row>
    <row r="610" spans="1:20">
      <c r="A610" t="s">
        <v>1314</v>
      </c>
      <c r="B610" s="8">
        <v>45742</v>
      </c>
      <c r="C610" t="s">
        <v>421</v>
      </c>
      <c r="D610" t="s">
        <v>79</v>
      </c>
      <c r="E610" t="s">
        <v>705</v>
      </c>
      <c r="F610" t="s">
        <v>702</v>
      </c>
      <c r="G610">
        <v>3</v>
      </c>
      <c r="H610" s="9">
        <v>0</v>
      </c>
      <c r="I610" t="s">
        <v>703</v>
      </c>
      <c r="J610">
        <v>4</v>
      </c>
      <c r="K610">
        <v>9</v>
      </c>
      <c r="L610" t="str">
        <f>VLOOKUP(D610,Products!A:E,2,FALSE)</f>
        <v>Desk Organiser</v>
      </c>
      <c r="M610" t="str">
        <f>VLOOKUP(D610,Products!A:E,3,FALSE)</f>
        <v>Office Supplies</v>
      </c>
      <c r="N610">
        <f>VLOOKUP(D610,Products!A:E,4,FALSE)</f>
        <v>28</v>
      </c>
      <c r="O610" s="13">
        <f>VLOOKUP(D610,Products!A:E,5,FALSE)</f>
        <v>12</v>
      </c>
      <c r="P610" s="13" t="str">
        <f>VLOOKUP(C610,Customers!A:C,3,FALSE)</f>
        <v>Corporate</v>
      </c>
      <c r="Q610" s="13">
        <f t="shared" si="36"/>
        <v>84</v>
      </c>
      <c r="R610" s="13">
        <f t="shared" si="37"/>
        <v>36</v>
      </c>
      <c r="S610" s="13">
        <f t="shared" si="38"/>
        <v>48</v>
      </c>
      <c r="T610" s="14">
        <f t="shared" si="39"/>
        <v>0.5714285714285714</v>
      </c>
    </row>
    <row r="611" spans="1:20">
      <c r="A611" t="s">
        <v>1315</v>
      </c>
      <c r="B611" s="8">
        <v>45955</v>
      </c>
      <c r="C611" t="s">
        <v>525</v>
      </c>
      <c r="D611" t="s">
        <v>58</v>
      </c>
      <c r="E611" t="s">
        <v>697</v>
      </c>
      <c r="F611" t="s">
        <v>706</v>
      </c>
      <c r="G611">
        <v>4</v>
      </c>
      <c r="H611" s="9">
        <v>0.15</v>
      </c>
      <c r="I611" t="s">
        <v>699</v>
      </c>
      <c r="J611">
        <v>1</v>
      </c>
      <c r="K611">
        <v>5</v>
      </c>
      <c r="L611" t="str">
        <f>VLOOKUP(D611,Products!A:E,2,FALSE)</f>
        <v>Standing Desk</v>
      </c>
      <c r="M611" t="str">
        <f>VLOOKUP(D611,Products!A:E,3,FALSE)</f>
        <v>Furniture</v>
      </c>
      <c r="N611">
        <f>VLOOKUP(D611,Products!A:E,4,FALSE)</f>
        <v>540</v>
      </c>
      <c r="O611" s="13">
        <f>VLOOKUP(D611,Products!A:E,5,FALSE)</f>
        <v>320</v>
      </c>
      <c r="P611" s="13" t="str">
        <f>VLOOKUP(C611,Customers!A:C,3,FALSE)</f>
        <v>Consumer</v>
      </c>
      <c r="Q611" s="13">
        <f t="shared" si="36"/>
        <v>1836</v>
      </c>
      <c r="R611" s="13">
        <f t="shared" si="37"/>
        <v>1280</v>
      </c>
      <c r="S611" s="13">
        <f t="shared" si="38"/>
        <v>556</v>
      </c>
      <c r="T611" s="14">
        <f t="shared" si="39"/>
        <v>0.30283224400871461</v>
      </c>
    </row>
    <row r="612" spans="1:20">
      <c r="A612" t="s">
        <v>1316</v>
      </c>
      <c r="B612" s="8">
        <v>46063</v>
      </c>
      <c r="C612" t="s">
        <v>535</v>
      </c>
      <c r="D612" t="s">
        <v>50</v>
      </c>
      <c r="E612" t="s">
        <v>705</v>
      </c>
      <c r="F612" t="s">
        <v>702</v>
      </c>
      <c r="G612">
        <v>3</v>
      </c>
      <c r="H612" s="9">
        <v>0.2</v>
      </c>
      <c r="I612" t="s">
        <v>699</v>
      </c>
      <c r="J612">
        <v>5</v>
      </c>
      <c r="K612">
        <v>2</v>
      </c>
      <c r="L612" t="str">
        <f>VLOOKUP(D612,Products!A:E,2,FALSE)</f>
        <v>Keyboard</v>
      </c>
      <c r="M612" t="str">
        <f>VLOOKUP(D612,Products!A:E,3,FALSE)</f>
        <v>Technology</v>
      </c>
      <c r="N612">
        <f>VLOOKUP(D612,Products!A:E,4,FALSE)</f>
        <v>75</v>
      </c>
      <c r="O612" s="13">
        <f>VLOOKUP(D612,Products!A:E,5,FALSE)</f>
        <v>38</v>
      </c>
      <c r="P612" s="13" t="str">
        <f>VLOOKUP(C612,Customers!A:C,3,FALSE)</f>
        <v>Consumer</v>
      </c>
      <c r="Q612" s="13">
        <f t="shared" si="36"/>
        <v>180</v>
      </c>
      <c r="R612" s="13">
        <f t="shared" si="37"/>
        <v>114</v>
      </c>
      <c r="S612" s="13">
        <f t="shared" si="38"/>
        <v>66</v>
      </c>
      <c r="T612" s="14">
        <f t="shared" si="39"/>
        <v>0.36666666666666664</v>
      </c>
    </row>
    <row r="613" spans="1:20">
      <c r="A613" t="s">
        <v>1317</v>
      </c>
      <c r="B613" s="8">
        <v>45724</v>
      </c>
      <c r="C613" t="s">
        <v>459</v>
      </c>
      <c r="D613" t="s">
        <v>58</v>
      </c>
      <c r="E613" t="s">
        <v>708</v>
      </c>
      <c r="F613" t="s">
        <v>698</v>
      </c>
      <c r="G613">
        <v>8</v>
      </c>
      <c r="H613" s="9">
        <v>0</v>
      </c>
      <c r="I613" t="s">
        <v>699</v>
      </c>
      <c r="J613">
        <v>5</v>
      </c>
      <c r="K613">
        <v>3</v>
      </c>
      <c r="L613" t="str">
        <f>VLOOKUP(D613,Products!A:E,2,FALSE)</f>
        <v>Standing Desk</v>
      </c>
      <c r="M613" t="str">
        <f>VLOOKUP(D613,Products!A:E,3,FALSE)</f>
        <v>Furniture</v>
      </c>
      <c r="N613">
        <f>VLOOKUP(D613,Products!A:E,4,FALSE)</f>
        <v>540</v>
      </c>
      <c r="O613" s="13">
        <f>VLOOKUP(D613,Products!A:E,5,FALSE)</f>
        <v>320</v>
      </c>
      <c r="P613" s="13" t="str">
        <f>VLOOKUP(C613,Customers!A:C,3,FALSE)</f>
        <v>Small Business</v>
      </c>
      <c r="Q613" s="13">
        <f t="shared" si="36"/>
        <v>4320</v>
      </c>
      <c r="R613" s="13">
        <f t="shared" si="37"/>
        <v>2560</v>
      </c>
      <c r="S613" s="13">
        <f t="shared" si="38"/>
        <v>1760</v>
      </c>
      <c r="T613" s="14">
        <f t="shared" si="39"/>
        <v>0.40740740740740738</v>
      </c>
    </row>
    <row r="614" spans="1:20">
      <c r="A614" t="s">
        <v>1318</v>
      </c>
      <c r="B614" s="8">
        <v>46253</v>
      </c>
      <c r="C614" t="s">
        <v>365</v>
      </c>
      <c r="D614" t="s">
        <v>72</v>
      </c>
      <c r="E614" t="s">
        <v>708</v>
      </c>
      <c r="F614" t="s">
        <v>698</v>
      </c>
      <c r="G614">
        <v>7</v>
      </c>
      <c r="H614" s="9">
        <v>0.2</v>
      </c>
      <c r="I614" t="s">
        <v>699</v>
      </c>
      <c r="J614">
        <v>3</v>
      </c>
      <c r="K614">
        <v>4</v>
      </c>
      <c r="L614" t="str">
        <f>VLOOKUP(D614,Products!A:E,2,FALSE)</f>
        <v>Phone Charger</v>
      </c>
      <c r="M614" t="str">
        <f>VLOOKUP(D614,Products!A:E,3,FALSE)</f>
        <v>Accessories</v>
      </c>
      <c r="N614">
        <f>VLOOKUP(D614,Products!A:E,4,FALSE)</f>
        <v>32</v>
      </c>
      <c r="O614" s="13">
        <f>VLOOKUP(D614,Products!A:E,5,FALSE)</f>
        <v>13</v>
      </c>
      <c r="P614" s="13" t="str">
        <f>VLOOKUP(C614,Customers!A:C,3,FALSE)</f>
        <v>Consumer</v>
      </c>
      <c r="Q614" s="13">
        <f t="shared" si="36"/>
        <v>179.20000000000002</v>
      </c>
      <c r="R614" s="13">
        <f t="shared" si="37"/>
        <v>91</v>
      </c>
      <c r="S614" s="13">
        <f t="shared" si="38"/>
        <v>88.200000000000017</v>
      </c>
      <c r="T614" s="14">
        <f t="shared" si="39"/>
        <v>0.49218750000000006</v>
      </c>
    </row>
    <row r="615" spans="1:20">
      <c r="A615" t="s">
        <v>1319</v>
      </c>
      <c r="B615" s="8">
        <v>45768</v>
      </c>
      <c r="C615" t="s">
        <v>211</v>
      </c>
      <c r="D615" t="s">
        <v>63</v>
      </c>
      <c r="E615" t="s">
        <v>715</v>
      </c>
      <c r="F615" t="s">
        <v>702</v>
      </c>
      <c r="G615">
        <v>7</v>
      </c>
      <c r="H615" s="9">
        <v>0</v>
      </c>
      <c r="I615" t="s">
        <v>699</v>
      </c>
      <c r="J615">
        <v>5</v>
      </c>
      <c r="K615">
        <v>4</v>
      </c>
      <c r="L615" t="str">
        <f>VLOOKUP(D615,Products!A:E,2,FALSE)</f>
        <v>Bookshelf</v>
      </c>
      <c r="M615" t="str">
        <f>VLOOKUP(D615,Products!A:E,3,FALSE)</f>
        <v>Furniture</v>
      </c>
      <c r="N615">
        <f>VLOOKUP(D615,Products!A:E,4,FALSE)</f>
        <v>185</v>
      </c>
      <c r="O615" s="13">
        <f>VLOOKUP(D615,Products!A:E,5,FALSE)</f>
        <v>105</v>
      </c>
      <c r="P615" s="13" t="str">
        <f>VLOOKUP(C615,Customers!A:C,3,FALSE)</f>
        <v>Corporate</v>
      </c>
      <c r="Q615" s="13">
        <f t="shared" si="36"/>
        <v>1295</v>
      </c>
      <c r="R615" s="13">
        <f t="shared" si="37"/>
        <v>735</v>
      </c>
      <c r="S615" s="13">
        <f t="shared" si="38"/>
        <v>560</v>
      </c>
      <c r="T615" s="14">
        <f t="shared" si="39"/>
        <v>0.43243243243243246</v>
      </c>
    </row>
    <row r="616" spans="1:20">
      <c r="A616" t="s">
        <v>1320</v>
      </c>
      <c r="B616" s="8">
        <v>45685</v>
      </c>
      <c r="C616" t="s">
        <v>269</v>
      </c>
      <c r="D616" t="s">
        <v>72</v>
      </c>
      <c r="E616" t="s">
        <v>701</v>
      </c>
      <c r="F616" t="s">
        <v>702</v>
      </c>
      <c r="G616">
        <v>1</v>
      </c>
      <c r="H616" s="9">
        <v>0.05</v>
      </c>
      <c r="I616" t="s">
        <v>699</v>
      </c>
      <c r="J616">
        <v>5</v>
      </c>
      <c r="K616">
        <v>5</v>
      </c>
      <c r="L616" t="str">
        <f>VLOOKUP(D616,Products!A:E,2,FALSE)</f>
        <v>Phone Charger</v>
      </c>
      <c r="M616" t="str">
        <f>VLOOKUP(D616,Products!A:E,3,FALSE)</f>
        <v>Accessories</v>
      </c>
      <c r="N616">
        <f>VLOOKUP(D616,Products!A:E,4,FALSE)</f>
        <v>32</v>
      </c>
      <c r="O616" s="13">
        <f>VLOOKUP(D616,Products!A:E,5,FALSE)</f>
        <v>13</v>
      </c>
      <c r="P616" s="13" t="str">
        <f>VLOOKUP(C616,Customers!A:C,3,FALSE)</f>
        <v>Corporate</v>
      </c>
      <c r="Q616" s="13">
        <f t="shared" si="36"/>
        <v>30.4</v>
      </c>
      <c r="R616" s="13">
        <f t="shared" si="37"/>
        <v>13</v>
      </c>
      <c r="S616" s="13">
        <f t="shared" si="38"/>
        <v>17.399999999999999</v>
      </c>
      <c r="T616" s="14">
        <f t="shared" si="39"/>
        <v>0.57236842105263153</v>
      </c>
    </row>
    <row r="617" spans="1:20">
      <c r="A617" t="s">
        <v>1321</v>
      </c>
      <c r="B617" s="8">
        <v>46162</v>
      </c>
      <c r="C617" t="s">
        <v>563</v>
      </c>
      <c r="D617" t="s">
        <v>58</v>
      </c>
      <c r="E617" t="s">
        <v>708</v>
      </c>
      <c r="F617" t="s">
        <v>698</v>
      </c>
      <c r="G617">
        <v>2</v>
      </c>
      <c r="H617" s="9">
        <v>0.05</v>
      </c>
      <c r="I617" t="s">
        <v>699</v>
      </c>
      <c r="J617">
        <v>4</v>
      </c>
      <c r="K617">
        <v>1</v>
      </c>
      <c r="L617" t="str">
        <f>VLOOKUP(D617,Products!A:E,2,FALSE)</f>
        <v>Standing Desk</v>
      </c>
      <c r="M617" t="str">
        <f>VLOOKUP(D617,Products!A:E,3,FALSE)</f>
        <v>Furniture</v>
      </c>
      <c r="N617">
        <f>VLOOKUP(D617,Products!A:E,4,FALSE)</f>
        <v>540</v>
      </c>
      <c r="O617" s="13">
        <f>VLOOKUP(D617,Products!A:E,5,FALSE)</f>
        <v>320</v>
      </c>
      <c r="P617" s="13" t="str">
        <f>VLOOKUP(C617,Customers!A:C,3,FALSE)</f>
        <v>Corporate</v>
      </c>
      <c r="Q617" s="13">
        <f t="shared" si="36"/>
        <v>1026</v>
      </c>
      <c r="R617" s="13">
        <f t="shared" si="37"/>
        <v>640</v>
      </c>
      <c r="S617" s="13">
        <f t="shared" si="38"/>
        <v>386</v>
      </c>
      <c r="T617" s="14">
        <f t="shared" si="39"/>
        <v>0.37621832358674462</v>
      </c>
    </row>
    <row r="618" spans="1:20">
      <c r="A618" t="s">
        <v>1322</v>
      </c>
      <c r="B618" s="8">
        <v>45690</v>
      </c>
      <c r="C618" t="s">
        <v>527</v>
      </c>
      <c r="D618" t="s">
        <v>52</v>
      </c>
      <c r="E618" t="s">
        <v>708</v>
      </c>
      <c r="F618" t="s">
        <v>702</v>
      </c>
      <c r="G618">
        <v>2</v>
      </c>
      <c r="H618" s="9">
        <v>0</v>
      </c>
      <c r="I618" t="s">
        <v>699</v>
      </c>
      <c r="J618">
        <v>4</v>
      </c>
      <c r="K618">
        <v>3</v>
      </c>
      <c r="L618" t="str">
        <f>VLOOKUP(D618,Products!A:E,2,FALSE)</f>
        <v>Mouse</v>
      </c>
      <c r="M618" t="str">
        <f>VLOOKUP(D618,Products!A:E,3,FALSE)</f>
        <v>Technology</v>
      </c>
      <c r="N618">
        <f>VLOOKUP(D618,Products!A:E,4,FALSE)</f>
        <v>42</v>
      </c>
      <c r="O618" s="13">
        <f>VLOOKUP(D618,Products!A:E,5,FALSE)</f>
        <v>19</v>
      </c>
      <c r="P618" s="13" t="str">
        <f>VLOOKUP(C618,Customers!A:C,3,FALSE)</f>
        <v>Small Business</v>
      </c>
      <c r="Q618" s="13">
        <f t="shared" si="36"/>
        <v>84</v>
      </c>
      <c r="R618" s="13">
        <f t="shared" si="37"/>
        <v>38</v>
      </c>
      <c r="S618" s="13">
        <f t="shared" si="38"/>
        <v>46</v>
      </c>
      <c r="T618" s="14">
        <f t="shared" si="39"/>
        <v>0.54761904761904767</v>
      </c>
    </row>
    <row r="619" spans="1:20">
      <c r="A619" t="s">
        <v>1323</v>
      </c>
      <c r="B619" s="8">
        <v>45826</v>
      </c>
      <c r="C619" t="s">
        <v>589</v>
      </c>
      <c r="D619" t="s">
        <v>74</v>
      </c>
      <c r="E619" t="s">
        <v>705</v>
      </c>
      <c r="F619" t="s">
        <v>698</v>
      </c>
      <c r="G619">
        <v>2</v>
      </c>
      <c r="H619" s="9">
        <v>0</v>
      </c>
      <c r="I619" t="s">
        <v>699</v>
      </c>
      <c r="J619">
        <v>5</v>
      </c>
      <c r="K619">
        <v>5</v>
      </c>
      <c r="L619" t="str">
        <f>VLOOKUP(D619,Products!A:E,2,FALSE)</f>
        <v>Printer Paper</v>
      </c>
      <c r="M619" t="str">
        <f>VLOOKUP(D619,Products!A:E,3,FALSE)</f>
        <v>Office Supplies</v>
      </c>
      <c r="N619">
        <f>VLOOKUP(D619,Products!A:E,4,FALSE)</f>
        <v>17</v>
      </c>
      <c r="O619" s="13">
        <f>VLOOKUP(D619,Products!A:E,5,FALSE)</f>
        <v>8</v>
      </c>
      <c r="P619" s="13" t="str">
        <f>VLOOKUP(C619,Customers!A:C,3,FALSE)</f>
        <v>Corporate</v>
      </c>
      <c r="Q619" s="13">
        <f t="shared" si="36"/>
        <v>34</v>
      </c>
      <c r="R619" s="13">
        <f t="shared" si="37"/>
        <v>16</v>
      </c>
      <c r="S619" s="13">
        <f t="shared" si="38"/>
        <v>18</v>
      </c>
      <c r="T619" s="14">
        <f t="shared" si="39"/>
        <v>0.52941176470588236</v>
      </c>
    </row>
    <row r="620" spans="1:20">
      <c r="A620" t="s">
        <v>1324</v>
      </c>
      <c r="B620" s="8">
        <v>46243</v>
      </c>
      <c r="C620" t="s">
        <v>567</v>
      </c>
      <c r="D620" t="s">
        <v>79</v>
      </c>
      <c r="E620" t="s">
        <v>715</v>
      </c>
      <c r="F620" t="s">
        <v>702</v>
      </c>
      <c r="G620">
        <v>1</v>
      </c>
      <c r="H620" s="9">
        <v>0</v>
      </c>
      <c r="I620" t="s">
        <v>699</v>
      </c>
      <c r="J620">
        <v>4</v>
      </c>
      <c r="K620">
        <v>3</v>
      </c>
      <c r="L620" t="str">
        <f>VLOOKUP(D620,Products!A:E,2,FALSE)</f>
        <v>Desk Organiser</v>
      </c>
      <c r="M620" t="str">
        <f>VLOOKUP(D620,Products!A:E,3,FALSE)</f>
        <v>Office Supplies</v>
      </c>
      <c r="N620">
        <f>VLOOKUP(D620,Products!A:E,4,FALSE)</f>
        <v>28</v>
      </c>
      <c r="O620" s="13">
        <f>VLOOKUP(D620,Products!A:E,5,FALSE)</f>
        <v>12</v>
      </c>
      <c r="P620" s="13" t="str">
        <f>VLOOKUP(C620,Customers!A:C,3,FALSE)</f>
        <v>Consumer</v>
      </c>
      <c r="Q620" s="13">
        <f t="shared" si="36"/>
        <v>28</v>
      </c>
      <c r="R620" s="13">
        <f t="shared" si="37"/>
        <v>12</v>
      </c>
      <c r="S620" s="13">
        <f t="shared" si="38"/>
        <v>16</v>
      </c>
      <c r="T620" s="14">
        <f t="shared" si="39"/>
        <v>0.5714285714285714</v>
      </c>
    </row>
    <row r="621" spans="1:20">
      <c r="A621" t="s">
        <v>1325</v>
      </c>
      <c r="B621" s="8">
        <v>45949</v>
      </c>
      <c r="C621" t="s">
        <v>415</v>
      </c>
      <c r="D621" t="s">
        <v>48</v>
      </c>
      <c r="E621" t="s">
        <v>705</v>
      </c>
      <c r="F621" t="s">
        <v>702</v>
      </c>
      <c r="G621">
        <v>5</v>
      </c>
      <c r="H621" s="9">
        <v>0</v>
      </c>
      <c r="I621" t="s">
        <v>699</v>
      </c>
      <c r="J621">
        <v>1</v>
      </c>
      <c r="K621">
        <v>7</v>
      </c>
      <c r="L621" t="str">
        <f>VLOOKUP(D621,Products!A:E,2,FALSE)</f>
        <v>Monitor</v>
      </c>
      <c r="M621" t="str">
        <f>VLOOKUP(D621,Products!A:E,3,FALSE)</f>
        <v>Technology</v>
      </c>
      <c r="N621">
        <f>VLOOKUP(D621,Products!A:E,4,FALSE)</f>
        <v>310</v>
      </c>
      <c r="O621" s="13">
        <f>VLOOKUP(D621,Products!A:E,5,FALSE)</f>
        <v>190</v>
      </c>
      <c r="P621" s="13" t="str">
        <f>VLOOKUP(C621,Customers!A:C,3,FALSE)</f>
        <v>Small Business</v>
      </c>
      <c r="Q621" s="13">
        <f t="shared" si="36"/>
        <v>1550</v>
      </c>
      <c r="R621" s="13">
        <f t="shared" si="37"/>
        <v>950</v>
      </c>
      <c r="S621" s="13">
        <f t="shared" si="38"/>
        <v>600</v>
      </c>
      <c r="T621" s="14">
        <f t="shared" si="39"/>
        <v>0.38709677419354838</v>
      </c>
    </row>
    <row r="622" spans="1:20">
      <c r="A622" t="s">
        <v>1326</v>
      </c>
      <c r="B622" s="8">
        <v>45757</v>
      </c>
      <c r="C622" t="s">
        <v>525</v>
      </c>
      <c r="D622" t="s">
        <v>70</v>
      </c>
      <c r="E622" t="s">
        <v>697</v>
      </c>
      <c r="F622" t="s">
        <v>702</v>
      </c>
      <c r="G622">
        <v>1</v>
      </c>
      <c r="H622" s="9">
        <v>0</v>
      </c>
      <c r="I622" t="s">
        <v>699</v>
      </c>
      <c r="J622">
        <v>4</v>
      </c>
      <c r="K622">
        <v>1</v>
      </c>
      <c r="L622" t="str">
        <f>VLOOKUP(D622,Products!A:E,2,FALSE)</f>
        <v>USB-C Hub</v>
      </c>
      <c r="M622" t="str">
        <f>VLOOKUP(D622,Products!A:E,3,FALSE)</f>
        <v>Accessories</v>
      </c>
      <c r="N622">
        <f>VLOOKUP(D622,Products!A:E,4,FALSE)</f>
        <v>68</v>
      </c>
      <c r="O622" s="13">
        <f>VLOOKUP(D622,Products!A:E,5,FALSE)</f>
        <v>31</v>
      </c>
      <c r="P622" s="13" t="str">
        <f>VLOOKUP(C622,Customers!A:C,3,FALSE)</f>
        <v>Consumer</v>
      </c>
      <c r="Q622" s="13">
        <f t="shared" si="36"/>
        <v>68</v>
      </c>
      <c r="R622" s="13">
        <f t="shared" si="37"/>
        <v>31</v>
      </c>
      <c r="S622" s="13">
        <f t="shared" si="38"/>
        <v>37</v>
      </c>
      <c r="T622" s="14">
        <f t="shared" si="39"/>
        <v>0.54411764705882348</v>
      </c>
    </row>
    <row r="623" spans="1:20">
      <c r="A623" t="s">
        <v>1327</v>
      </c>
      <c r="B623" s="8">
        <v>45725</v>
      </c>
      <c r="C623" t="s">
        <v>399</v>
      </c>
      <c r="D623" t="s">
        <v>52</v>
      </c>
      <c r="E623" t="s">
        <v>708</v>
      </c>
      <c r="F623" t="s">
        <v>702</v>
      </c>
      <c r="G623">
        <v>2</v>
      </c>
      <c r="H623" s="9">
        <v>0.05</v>
      </c>
      <c r="I623" t="s">
        <v>699</v>
      </c>
      <c r="J623">
        <v>4</v>
      </c>
      <c r="K623">
        <v>4</v>
      </c>
      <c r="L623" t="str">
        <f>VLOOKUP(D623,Products!A:E,2,FALSE)</f>
        <v>Mouse</v>
      </c>
      <c r="M623" t="str">
        <f>VLOOKUP(D623,Products!A:E,3,FALSE)</f>
        <v>Technology</v>
      </c>
      <c r="N623">
        <f>VLOOKUP(D623,Products!A:E,4,FALSE)</f>
        <v>42</v>
      </c>
      <c r="O623" s="13">
        <f>VLOOKUP(D623,Products!A:E,5,FALSE)</f>
        <v>19</v>
      </c>
      <c r="P623" s="13" t="str">
        <f>VLOOKUP(C623,Customers!A:C,3,FALSE)</f>
        <v>Consumer</v>
      </c>
      <c r="Q623" s="13">
        <f t="shared" si="36"/>
        <v>79.8</v>
      </c>
      <c r="R623" s="13">
        <f t="shared" si="37"/>
        <v>38</v>
      </c>
      <c r="S623" s="13">
        <f t="shared" si="38"/>
        <v>41.8</v>
      </c>
      <c r="T623" s="14">
        <f t="shared" si="39"/>
        <v>0.52380952380952384</v>
      </c>
    </row>
    <row r="624" spans="1:20">
      <c r="A624" t="s">
        <v>1328</v>
      </c>
      <c r="B624" s="8">
        <v>45931</v>
      </c>
      <c r="C624" t="s">
        <v>107</v>
      </c>
      <c r="D624" t="s">
        <v>79</v>
      </c>
      <c r="E624" t="s">
        <v>715</v>
      </c>
      <c r="F624" t="s">
        <v>706</v>
      </c>
      <c r="G624">
        <v>2</v>
      </c>
      <c r="H624" s="9">
        <v>0</v>
      </c>
      <c r="I624" t="s">
        <v>699</v>
      </c>
      <c r="J624">
        <v>5</v>
      </c>
      <c r="K624">
        <v>1</v>
      </c>
      <c r="L624" t="str">
        <f>VLOOKUP(D624,Products!A:E,2,FALSE)</f>
        <v>Desk Organiser</v>
      </c>
      <c r="M624" t="str">
        <f>VLOOKUP(D624,Products!A:E,3,FALSE)</f>
        <v>Office Supplies</v>
      </c>
      <c r="N624">
        <f>VLOOKUP(D624,Products!A:E,4,FALSE)</f>
        <v>28</v>
      </c>
      <c r="O624" s="13">
        <f>VLOOKUP(D624,Products!A:E,5,FALSE)</f>
        <v>12</v>
      </c>
      <c r="P624" s="13" t="str">
        <f>VLOOKUP(C624,Customers!A:C,3,FALSE)</f>
        <v>Consumer</v>
      </c>
      <c r="Q624" s="13">
        <f t="shared" si="36"/>
        <v>56</v>
      </c>
      <c r="R624" s="13">
        <f t="shared" si="37"/>
        <v>24</v>
      </c>
      <c r="S624" s="13">
        <f t="shared" si="38"/>
        <v>32</v>
      </c>
      <c r="T624" s="14">
        <f t="shared" si="39"/>
        <v>0.5714285714285714</v>
      </c>
    </row>
    <row r="625" spans="1:20">
      <c r="A625" t="s">
        <v>1329</v>
      </c>
      <c r="B625" s="8">
        <v>45868</v>
      </c>
      <c r="C625" t="s">
        <v>431</v>
      </c>
      <c r="D625" t="s">
        <v>79</v>
      </c>
      <c r="E625" t="s">
        <v>715</v>
      </c>
      <c r="F625" t="s">
        <v>698</v>
      </c>
      <c r="G625">
        <v>2</v>
      </c>
      <c r="H625" s="9">
        <v>0.05</v>
      </c>
      <c r="I625" t="s">
        <v>699</v>
      </c>
      <c r="J625">
        <v>4</v>
      </c>
      <c r="K625">
        <v>4</v>
      </c>
      <c r="L625" t="str">
        <f>VLOOKUP(D625,Products!A:E,2,FALSE)</f>
        <v>Desk Organiser</v>
      </c>
      <c r="M625" t="str">
        <f>VLOOKUP(D625,Products!A:E,3,FALSE)</f>
        <v>Office Supplies</v>
      </c>
      <c r="N625">
        <f>VLOOKUP(D625,Products!A:E,4,FALSE)</f>
        <v>28</v>
      </c>
      <c r="O625" s="13">
        <f>VLOOKUP(D625,Products!A:E,5,FALSE)</f>
        <v>12</v>
      </c>
      <c r="P625" s="13" t="str">
        <f>VLOOKUP(C625,Customers!A:C,3,FALSE)</f>
        <v>Consumer</v>
      </c>
      <c r="Q625" s="13">
        <f t="shared" si="36"/>
        <v>53.199999999999996</v>
      </c>
      <c r="R625" s="13">
        <f t="shared" si="37"/>
        <v>24</v>
      </c>
      <c r="S625" s="13">
        <f t="shared" si="38"/>
        <v>29.199999999999996</v>
      </c>
      <c r="T625" s="14">
        <f t="shared" si="39"/>
        <v>0.54887218045112773</v>
      </c>
    </row>
    <row r="626" spans="1:20">
      <c r="A626" t="s">
        <v>1330</v>
      </c>
      <c r="B626" s="8">
        <v>45735</v>
      </c>
      <c r="C626" t="s">
        <v>635</v>
      </c>
      <c r="D626" t="s">
        <v>58</v>
      </c>
      <c r="E626" t="s">
        <v>708</v>
      </c>
      <c r="F626" t="s">
        <v>702</v>
      </c>
      <c r="G626">
        <v>8</v>
      </c>
      <c r="H626" s="9">
        <v>0</v>
      </c>
      <c r="I626" t="s">
        <v>699</v>
      </c>
      <c r="J626">
        <v>5</v>
      </c>
      <c r="K626">
        <v>1</v>
      </c>
      <c r="L626" t="str">
        <f>VLOOKUP(D626,Products!A:E,2,FALSE)</f>
        <v>Standing Desk</v>
      </c>
      <c r="M626" t="str">
        <f>VLOOKUP(D626,Products!A:E,3,FALSE)</f>
        <v>Furniture</v>
      </c>
      <c r="N626">
        <f>VLOOKUP(D626,Products!A:E,4,FALSE)</f>
        <v>540</v>
      </c>
      <c r="O626" s="13">
        <f>VLOOKUP(D626,Products!A:E,5,FALSE)</f>
        <v>320</v>
      </c>
      <c r="P626" s="13" t="str">
        <f>VLOOKUP(C626,Customers!A:C,3,FALSE)</f>
        <v>Consumer</v>
      </c>
      <c r="Q626" s="13">
        <f t="shared" si="36"/>
        <v>4320</v>
      </c>
      <c r="R626" s="13">
        <f t="shared" si="37"/>
        <v>2560</v>
      </c>
      <c r="S626" s="13">
        <f t="shared" si="38"/>
        <v>1760</v>
      </c>
      <c r="T626" s="14">
        <f t="shared" si="39"/>
        <v>0.40740740740740738</v>
      </c>
    </row>
    <row r="627" spans="1:20">
      <c r="A627" t="s">
        <v>1331</v>
      </c>
      <c r="B627" s="8">
        <v>46250</v>
      </c>
      <c r="C627" t="s">
        <v>183</v>
      </c>
      <c r="D627" t="s">
        <v>68</v>
      </c>
      <c r="E627" t="s">
        <v>708</v>
      </c>
      <c r="F627" t="s">
        <v>698</v>
      </c>
      <c r="G627">
        <v>2</v>
      </c>
      <c r="H627" s="9">
        <v>0</v>
      </c>
      <c r="I627" t="s">
        <v>699</v>
      </c>
      <c r="J627">
        <v>2</v>
      </c>
      <c r="K627">
        <v>6</v>
      </c>
      <c r="L627" t="str">
        <f>VLOOKUP(D627,Products!A:E,2,FALSE)</f>
        <v>Backpack</v>
      </c>
      <c r="M627" t="str">
        <f>VLOOKUP(D627,Products!A:E,3,FALSE)</f>
        <v>Accessories</v>
      </c>
      <c r="N627">
        <f>VLOOKUP(D627,Products!A:E,4,FALSE)</f>
        <v>85</v>
      </c>
      <c r="O627" s="13">
        <f>VLOOKUP(D627,Products!A:E,5,FALSE)</f>
        <v>39</v>
      </c>
      <c r="P627" s="13" t="str">
        <f>VLOOKUP(C627,Customers!A:C,3,FALSE)</f>
        <v>Corporate</v>
      </c>
      <c r="Q627" s="13">
        <f t="shared" si="36"/>
        <v>170</v>
      </c>
      <c r="R627" s="13">
        <f t="shared" si="37"/>
        <v>78</v>
      </c>
      <c r="S627" s="13">
        <f t="shared" si="38"/>
        <v>92</v>
      </c>
      <c r="T627" s="14">
        <f t="shared" si="39"/>
        <v>0.54117647058823526</v>
      </c>
    </row>
    <row r="628" spans="1:20">
      <c r="A628" t="s">
        <v>1332</v>
      </c>
      <c r="B628" s="8">
        <v>46101</v>
      </c>
      <c r="C628" t="s">
        <v>639</v>
      </c>
      <c r="D628" t="s">
        <v>68</v>
      </c>
      <c r="E628" t="s">
        <v>705</v>
      </c>
      <c r="F628" t="s">
        <v>702</v>
      </c>
      <c r="G628">
        <v>3</v>
      </c>
      <c r="H628" s="9">
        <v>0</v>
      </c>
      <c r="I628" t="s">
        <v>699</v>
      </c>
      <c r="J628">
        <v>3</v>
      </c>
      <c r="K628">
        <v>1</v>
      </c>
      <c r="L628" t="str">
        <f>VLOOKUP(D628,Products!A:E,2,FALSE)</f>
        <v>Backpack</v>
      </c>
      <c r="M628" t="str">
        <f>VLOOKUP(D628,Products!A:E,3,FALSE)</f>
        <v>Accessories</v>
      </c>
      <c r="N628">
        <f>VLOOKUP(D628,Products!A:E,4,FALSE)</f>
        <v>85</v>
      </c>
      <c r="O628" s="13">
        <f>VLOOKUP(D628,Products!A:E,5,FALSE)</f>
        <v>39</v>
      </c>
      <c r="P628" s="13" t="str">
        <f>VLOOKUP(C628,Customers!A:C,3,FALSE)</f>
        <v>Consumer</v>
      </c>
      <c r="Q628" s="13">
        <f t="shared" si="36"/>
        <v>255</v>
      </c>
      <c r="R628" s="13">
        <f t="shared" si="37"/>
        <v>117</v>
      </c>
      <c r="S628" s="13">
        <f t="shared" si="38"/>
        <v>138</v>
      </c>
      <c r="T628" s="14">
        <f t="shared" si="39"/>
        <v>0.54117647058823526</v>
      </c>
    </row>
    <row r="629" spans="1:20">
      <c r="A629" t="s">
        <v>1333</v>
      </c>
      <c r="B629" s="8">
        <v>46186</v>
      </c>
      <c r="C629" t="s">
        <v>277</v>
      </c>
      <c r="D629" t="s">
        <v>79</v>
      </c>
      <c r="E629" t="s">
        <v>705</v>
      </c>
      <c r="F629" t="s">
        <v>706</v>
      </c>
      <c r="G629">
        <v>4</v>
      </c>
      <c r="H629" s="9">
        <v>0.05</v>
      </c>
      <c r="I629" t="s">
        <v>703</v>
      </c>
      <c r="J629">
        <v>4</v>
      </c>
      <c r="K629">
        <v>9</v>
      </c>
      <c r="L629" t="str">
        <f>VLOOKUP(D629,Products!A:E,2,FALSE)</f>
        <v>Desk Organiser</v>
      </c>
      <c r="M629" t="str">
        <f>VLOOKUP(D629,Products!A:E,3,FALSE)</f>
        <v>Office Supplies</v>
      </c>
      <c r="N629">
        <f>VLOOKUP(D629,Products!A:E,4,FALSE)</f>
        <v>28</v>
      </c>
      <c r="O629" s="13">
        <f>VLOOKUP(D629,Products!A:E,5,FALSE)</f>
        <v>12</v>
      </c>
      <c r="P629" s="13" t="str">
        <f>VLOOKUP(C629,Customers!A:C,3,FALSE)</f>
        <v>Consumer</v>
      </c>
      <c r="Q629" s="13">
        <f t="shared" si="36"/>
        <v>106.39999999999999</v>
      </c>
      <c r="R629" s="13">
        <f t="shared" si="37"/>
        <v>48</v>
      </c>
      <c r="S629" s="13">
        <f t="shared" si="38"/>
        <v>58.399999999999991</v>
      </c>
      <c r="T629" s="14">
        <f t="shared" si="39"/>
        <v>0.54887218045112773</v>
      </c>
    </row>
    <row r="630" spans="1:20">
      <c r="A630" t="s">
        <v>1334</v>
      </c>
      <c r="B630" s="8">
        <v>46237</v>
      </c>
      <c r="C630" t="s">
        <v>147</v>
      </c>
      <c r="D630" t="s">
        <v>58</v>
      </c>
      <c r="E630" t="s">
        <v>708</v>
      </c>
      <c r="F630" t="s">
        <v>702</v>
      </c>
      <c r="G630">
        <v>1</v>
      </c>
      <c r="H630" s="9">
        <v>0.1</v>
      </c>
      <c r="I630" t="s">
        <v>699</v>
      </c>
      <c r="J630">
        <v>4</v>
      </c>
      <c r="K630">
        <v>3</v>
      </c>
      <c r="L630" t="str">
        <f>VLOOKUP(D630,Products!A:E,2,FALSE)</f>
        <v>Standing Desk</v>
      </c>
      <c r="M630" t="str">
        <f>VLOOKUP(D630,Products!A:E,3,FALSE)</f>
        <v>Furniture</v>
      </c>
      <c r="N630">
        <f>VLOOKUP(D630,Products!A:E,4,FALSE)</f>
        <v>540</v>
      </c>
      <c r="O630" s="13">
        <f>VLOOKUP(D630,Products!A:E,5,FALSE)</f>
        <v>320</v>
      </c>
      <c r="P630" s="13" t="str">
        <f>VLOOKUP(C630,Customers!A:C,3,FALSE)</f>
        <v>Small Business</v>
      </c>
      <c r="Q630" s="13">
        <f t="shared" si="36"/>
        <v>486</v>
      </c>
      <c r="R630" s="13">
        <f t="shared" si="37"/>
        <v>320</v>
      </c>
      <c r="S630" s="13">
        <f t="shared" si="38"/>
        <v>166</v>
      </c>
      <c r="T630" s="14">
        <f t="shared" si="39"/>
        <v>0.34156378600823045</v>
      </c>
    </row>
    <row r="631" spans="1:20">
      <c r="A631" t="s">
        <v>1335</v>
      </c>
      <c r="B631" s="8">
        <v>45723</v>
      </c>
      <c r="C631" t="s">
        <v>295</v>
      </c>
      <c r="D631" t="s">
        <v>74</v>
      </c>
      <c r="E631" t="s">
        <v>708</v>
      </c>
      <c r="F631" t="s">
        <v>702</v>
      </c>
      <c r="G631">
        <v>1</v>
      </c>
      <c r="H631" s="9">
        <v>0.1</v>
      </c>
      <c r="I631" t="s">
        <v>699</v>
      </c>
      <c r="J631">
        <v>3</v>
      </c>
      <c r="K631">
        <v>2</v>
      </c>
      <c r="L631" t="str">
        <f>VLOOKUP(D631,Products!A:E,2,FALSE)</f>
        <v>Printer Paper</v>
      </c>
      <c r="M631" t="str">
        <f>VLOOKUP(D631,Products!A:E,3,FALSE)</f>
        <v>Office Supplies</v>
      </c>
      <c r="N631">
        <f>VLOOKUP(D631,Products!A:E,4,FALSE)</f>
        <v>17</v>
      </c>
      <c r="O631" s="13">
        <f>VLOOKUP(D631,Products!A:E,5,FALSE)</f>
        <v>8</v>
      </c>
      <c r="P631" s="13" t="str">
        <f>VLOOKUP(C631,Customers!A:C,3,FALSE)</f>
        <v>Consumer</v>
      </c>
      <c r="Q631" s="13">
        <f t="shared" si="36"/>
        <v>15.3</v>
      </c>
      <c r="R631" s="13">
        <f t="shared" si="37"/>
        <v>8</v>
      </c>
      <c r="S631" s="13">
        <f t="shared" si="38"/>
        <v>7.3000000000000007</v>
      </c>
      <c r="T631" s="14">
        <f t="shared" si="39"/>
        <v>0.47712418300653597</v>
      </c>
    </row>
    <row r="632" spans="1:20">
      <c r="A632" t="s">
        <v>1336</v>
      </c>
      <c r="B632" s="8">
        <v>45854</v>
      </c>
      <c r="C632" t="s">
        <v>115</v>
      </c>
      <c r="D632" t="s">
        <v>61</v>
      </c>
      <c r="E632" t="s">
        <v>697</v>
      </c>
      <c r="F632" t="s">
        <v>702</v>
      </c>
      <c r="G632">
        <v>2</v>
      </c>
      <c r="H632" s="9">
        <v>0.2</v>
      </c>
      <c r="I632" t="s">
        <v>699</v>
      </c>
      <c r="J632">
        <v>5</v>
      </c>
      <c r="K632">
        <v>2</v>
      </c>
      <c r="L632" t="str">
        <f>VLOOKUP(D632,Products!A:E,2,FALSE)</f>
        <v>Office Chair</v>
      </c>
      <c r="M632" t="str">
        <f>VLOOKUP(D632,Products!A:E,3,FALSE)</f>
        <v>Furniture</v>
      </c>
      <c r="N632">
        <f>VLOOKUP(D632,Products!A:E,4,FALSE)</f>
        <v>255</v>
      </c>
      <c r="O632" s="13">
        <f>VLOOKUP(D632,Products!A:E,5,FALSE)</f>
        <v>145</v>
      </c>
      <c r="P632" s="13" t="str">
        <f>VLOOKUP(C632,Customers!A:C,3,FALSE)</f>
        <v>Corporate</v>
      </c>
      <c r="Q632" s="13">
        <f t="shared" si="36"/>
        <v>408</v>
      </c>
      <c r="R632" s="13">
        <f t="shared" si="37"/>
        <v>290</v>
      </c>
      <c r="S632" s="13">
        <f t="shared" si="38"/>
        <v>118</v>
      </c>
      <c r="T632" s="14">
        <f t="shared" si="39"/>
        <v>0.28921568627450983</v>
      </c>
    </row>
    <row r="633" spans="1:20">
      <c r="A633" t="s">
        <v>1337</v>
      </c>
      <c r="B633" s="8">
        <v>45821</v>
      </c>
      <c r="C633" t="s">
        <v>365</v>
      </c>
      <c r="D633" t="s">
        <v>54</v>
      </c>
      <c r="E633" t="s">
        <v>705</v>
      </c>
      <c r="F633" t="s">
        <v>698</v>
      </c>
      <c r="G633">
        <v>1</v>
      </c>
      <c r="H633" s="9">
        <v>0.05</v>
      </c>
      <c r="I633" t="s">
        <v>699</v>
      </c>
      <c r="J633">
        <v>2</v>
      </c>
      <c r="K633">
        <v>5</v>
      </c>
      <c r="L633" t="str">
        <f>VLOOKUP(D633,Products!A:E,2,FALSE)</f>
        <v>Webcam</v>
      </c>
      <c r="M633" t="str">
        <f>VLOOKUP(D633,Products!A:E,3,FALSE)</f>
        <v>Technology</v>
      </c>
      <c r="N633">
        <f>VLOOKUP(D633,Products!A:E,4,FALSE)</f>
        <v>115</v>
      </c>
      <c r="O633" s="13">
        <f>VLOOKUP(D633,Products!A:E,5,FALSE)</f>
        <v>58</v>
      </c>
      <c r="P633" s="13" t="str">
        <f>VLOOKUP(C633,Customers!A:C,3,FALSE)</f>
        <v>Consumer</v>
      </c>
      <c r="Q633" s="13">
        <f t="shared" si="36"/>
        <v>109.25</v>
      </c>
      <c r="R633" s="13">
        <f t="shared" si="37"/>
        <v>58</v>
      </c>
      <c r="S633" s="13">
        <f t="shared" si="38"/>
        <v>51.25</v>
      </c>
      <c r="T633" s="14">
        <f t="shared" si="39"/>
        <v>0.46910755148741418</v>
      </c>
    </row>
    <row r="634" spans="1:20">
      <c r="A634" t="s">
        <v>1338</v>
      </c>
      <c r="B634" s="8">
        <v>45714</v>
      </c>
      <c r="C634" t="s">
        <v>171</v>
      </c>
      <c r="D634" t="s">
        <v>68</v>
      </c>
      <c r="E634" t="s">
        <v>701</v>
      </c>
      <c r="F634" t="s">
        <v>706</v>
      </c>
      <c r="G634">
        <v>6</v>
      </c>
      <c r="H634" s="9">
        <v>0</v>
      </c>
      <c r="I634" t="s">
        <v>699</v>
      </c>
      <c r="J634">
        <v>5</v>
      </c>
      <c r="K634">
        <v>1</v>
      </c>
      <c r="L634" t="str">
        <f>VLOOKUP(D634,Products!A:E,2,FALSE)</f>
        <v>Backpack</v>
      </c>
      <c r="M634" t="str">
        <f>VLOOKUP(D634,Products!A:E,3,FALSE)</f>
        <v>Accessories</v>
      </c>
      <c r="N634">
        <f>VLOOKUP(D634,Products!A:E,4,FALSE)</f>
        <v>85</v>
      </c>
      <c r="O634" s="13">
        <f>VLOOKUP(D634,Products!A:E,5,FALSE)</f>
        <v>39</v>
      </c>
      <c r="P634" s="13" t="str">
        <f>VLOOKUP(C634,Customers!A:C,3,FALSE)</f>
        <v>Consumer</v>
      </c>
      <c r="Q634" s="13">
        <f t="shared" si="36"/>
        <v>510</v>
      </c>
      <c r="R634" s="13">
        <f t="shared" si="37"/>
        <v>234</v>
      </c>
      <c r="S634" s="13">
        <f t="shared" si="38"/>
        <v>276</v>
      </c>
      <c r="T634" s="14">
        <f t="shared" si="39"/>
        <v>0.54117647058823526</v>
      </c>
    </row>
    <row r="635" spans="1:20">
      <c r="A635" t="s">
        <v>1339</v>
      </c>
      <c r="B635" s="8">
        <v>46064</v>
      </c>
      <c r="C635" t="s">
        <v>229</v>
      </c>
      <c r="D635" t="s">
        <v>61</v>
      </c>
      <c r="E635" t="s">
        <v>705</v>
      </c>
      <c r="F635" t="s">
        <v>698</v>
      </c>
      <c r="G635">
        <v>6</v>
      </c>
      <c r="H635" s="9">
        <v>0.05</v>
      </c>
      <c r="I635" t="s">
        <v>699</v>
      </c>
      <c r="J635">
        <v>5</v>
      </c>
      <c r="K635">
        <v>5</v>
      </c>
      <c r="L635" t="str">
        <f>VLOOKUP(D635,Products!A:E,2,FALSE)</f>
        <v>Office Chair</v>
      </c>
      <c r="M635" t="str">
        <f>VLOOKUP(D635,Products!A:E,3,FALSE)</f>
        <v>Furniture</v>
      </c>
      <c r="N635">
        <f>VLOOKUP(D635,Products!A:E,4,FALSE)</f>
        <v>255</v>
      </c>
      <c r="O635" s="13">
        <f>VLOOKUP(D635,Products!A:E,5,FALSE)</f>
        <v>145</v>
      </c>
      <c r="P635" s="13" t="str">
        <f>VLOOKUP(C635,Customers!A:C,3,FALSE)</f>
        <v>Small Business</v>
      </c>
      <c r="Q635" s="13">
        <f t="shared" si="36"/>
        <v>1453.5</v>
      </c>
      <c r="R635" s="13">
        <f t="shared" si="37"/>
        <v>870</v>
      </c>
      <c r="S635" s="13">
        <f t="shared" si="38"/>
        <v>583.5</v>
      </c>
      <c r="T635" s="14">
        <f t="shared" si="39"/>
        <v>0.40144478844169246</v>
      </c>
    </row>
    <row r="636" spans="1:20">
      <c r="A636" t="s">
        <v>1340</v>
      </c>
      <c r="B636" s="8">
        <v>45915</v>
      </c>
      <c r="C636" t="s">
        <v>595</v>
      </c>
      <c r="D636" t="s">
        <v>50</v>
      </c>
      <c r="E636" t="s">
        <v>708</v>
      </c>
      <c r="F636" t="s">
        <v>702</v>
      </c>
      <c r="G636">
        <v>4</v>
      </c>
      <c r="H636" s="9">
        <v>0</v>
      </c>
      <c r="I636" t="s">
        <v>699</v>
      </c>
      <c r="J636">
        <v>4</v>
      </c>
      <c r="K636">
        <v>2</v>
      </c>
      <c r="L636" t="str">
        <f>VLOOKUP(D636,Products!A:E,2,FALSE)</f>
        <v>Keyboard</v>
      </c>
      <c r="M636" t="str">
        <f>VLOOKUP(D636,Products!A:E,3,FALSE)</f>
        <v>Technology</v>
      </c>
      <c r="N636">
        <f>VLOOKUP(D636,Products!A:E,4,FALSE)</f>
        <v>75</v>
      </c>
      <c r="O636" s="13">
        <f>VLOOKUP(D636,Products!A:E,5,FALSE)</f>
        <v>38</v>
      </c>
      <c r="P636" s="13" t="str">
        <f>VLOOKUP(C636,Customers!A:C,3,FALSE)</f>
        <v>Small Business</v>
      </c>
      <c r="Q636" s="13">
        <f t="shared" si="36"/>
        <v>300</v>
      </c>
      <c r="R636" s="13">
        <f t="shared" si="37"/>
        <v>152</v>
      </c>
      <c r="S636" s="13">
        <f t="shared" si="38"/>
        <v>148</v>
      </c>
      <c r="T636" s="14">
        <f t="shared" si="39"/>
        <v>0.49333333333333335</v>
      </c>
    </row>
    <row r="637" spans="1:20">
      <c r="A637" t="s">
        <v>1341</v>
      </c>
      <c r="B637" s="8">
        <v>46091</v>
      </c>
      <c r="C637" t="s">
        <v>309</v>
      </c>
      <c r="D637" t="s">
        <v>54</v>
      </c>
      <c r="E637" t="s">
        <v>705</v>
      </c>
      <c r="F637" t="s">
        <v>702</v>
      </c>
      <c r="G637">
        <v>1</v>
      </c>
      <c r="H637" s="9">
        <v>0</v>
      </c>
      <c r="I637" t="s">
        <v>699</v>
      </c>
      <c r="J637">
        <v>2</v>
      </c>
      <c r="K637">
        <v>8</v>
      </c>
      <c r="L637" t="str">
        <f>VLOOKUP(D637,Products!A:E,2,FALSE)</f>
        <v>Webcam</v>
      </c>
      <c r="M637" t="str">
        <f>VLOOKUP(D637,Products!A:E,3,FALSE)</f>
        <v>Technology</v>
      </c>
      <c r="N637">
        <f>VLOOKUP(D637,Products!A:E,4,FALSE)</f>
        <v>115</v>
      </c>
      <c r="O637" s="13">
        <f>VLOOKUP(D637,Products!A:E,5,FALSE)</f>
        <v>58</v>
      </c>
      <c r="P637" s="13" t="str">
        <f>VLOOKUP(C637,Customers!A:C,3,FALSE)</f>
        <v>Consumer</v>
      </c>
      <c r="Q637" s="13">
        <f t="shared" si="36"/>
        <v>115</v>
      </c>
      <c r="R637" s="13">
        <f t="shared" si="37"/>
        <v>58</v>
      </c>
      <c r="S637" s="13">
        <f t="shared" si="38"/>
        <v>57</v>
      </c>
      <c r="T637" s="14">
        <f t="shared" si="39"/>
        <v>0.4956521739130435</v>
      </c>
    </row>
    <row r="638" spans="1:20">
      <c r="A638" t="s">
        <v>1342</v>
      </c>
      <c r="B638" s="8">
        <v>45773</v>
      </c>
      <c r="C638" t="s">
        <v>411</v>
      </c>
      <c r="D638" t="s">
        <v>74</v>
      </c>
      <c r="E638" t="s">
        <v>715</v>
      </c>
      <c r="F638" t="s">
        <v>702</v>
      </c>
      <c r="G638">
        <v>1</v>
      </c>
      <c r="H638" s="9">
        <v>0.1</v>
      </c>
      <c r="I638" t="s">
        <v>699</v>
      </c>
      <c r="J638">
        <v>4</v>
      </c>
      <c r="K638">
        <v>3</v>
      </c>
      <c r="L638" t="str">
        <f>VLOOKUP(D638,Products!A:E,2,FALSE)</f>
        <v>Printer Paper</v>
      </c>
      <c r="M638" t="str">
        <f>VLOOKUP(D638,Products!A:E,3,FALSE)</f>
        <v>Office Supplies</v>
      </c>
      <c r="N638">
        <f>VLOOKUP(D638,Products!A:E,4,FALSE)</f>
        <v>17</v>
      </c>
      <c r="O638" s="13">
        <f>VLOOKUP(D638,Products!A:E,5,FALSE)</f>
        <v>8</v>
      </c>
      <c r="P638" s="13" t="str">
        <f>VLOOKUP(C638,Customers!A:C,3,FALSE)</f>
        <v>Consumer</v>
      </c>
      <c r="Q638" s="13">
        <f t="shared" si="36"/>
        <v>15.3</v>
      </c>
      <c r="R638" s="13">
        <f t="shared" si="37"/>
        <v>8</v>
      </c>
      <c r="S638" s="13">
        <f t="shared" si="38"/>
        <v>7.3000000000000007</v>
      </c>
      <c r="T638" s="14">
        <f t="shared" si="39"/>
        <v>0.47712418300653597</v>
      </c>
    </row>
    <row r="639" spans="1:20">
      <c r="A639" t="s">
        <v>1343</v>
      </c>
      <c r="B639" s="8">
        <v>45973</v>
      </c>
      <c r="C639" t="s">
        <v>107</v>
      </c>
      <c r="D639" t="s">
        <v>48</v>
      </c>
      <c r="E639" t="s">
        <v>697</v>
      </c>
      <c r="F639" t="s">
        <v>698</v>
      </c>
      <c r="G639">
        <v>7</v>
      </c>
      <c r="H639" s="9">
        <v>0.1</v>
      </c>
      <c r="I639" t="s">
        <v>699</v>
      </c>
      <c r="J639">
        <v>3</v>
      </c>
      <c r="K639">
        <v>5</v>
      </c>
      <c r="L639" t="str">
        <f>VLOOKUP(D639,Products!A:E,2,FALSE)</f>
        <v>Monitor</v>
      </c>
      <c r="M639" t="str">
        <f>VLOOKUP(D639,Products!A:E,3,FALSE)</f>
        <v>Technology</v>
      </c>
      <c r="N639">
        <f>VLOOKUP(D639,Products!A:E,4,FALSE)</f>
        <v>310</v>
      </c>
      <c r="O639" s="13">
        <f>VLOOKUP(D639,Products!A:E,5,FALSE)</f>
        <v>190</v>
      </c>
      <c r="P639" s="13" t="str">
        <f>VLOOKUP(C639,Customers!A:C,3,FALSE)</f>
        <v>Consumer</v>
      </c>
      <c r="Q639" s="13">
        <f t="shared" si="36"/>
        <v>1953</v>
      </c>
      <c r="R639" s="13">
        <f t="shared" si="37"/>
        <v>1330</v>
      </c>
      <c r="S639" s="13">
        <f t="shared" si="38"/>
        <v>623</v>
      </c>
      <c r="T639" s="14">
        <f t="shared" si="39"/>
        <v>0.31899641577060933</v>
      </c>
    </row>
    <row r="640" spans="1:20">
      <c r="A640" t="s">
        <v>1344</v>
      </c>
      <c r="B640" s="8">
        <v>46051</v>
      </c>
      <c r="C640" t="s">
        <v>403</v>
      </c>
      <c r="D640" t="s">
        <v>70</v>
      </c>
      <c r="E640" t="s">
        <v>697</v>
      </c>
      <c r="F640" t="s">
        <v>698</v>
      </c>
      <c r="G640">
        <v>2</v>
      </c>
      <c r="H640" s="9">
        <v>0</v>
      </c>
      <c r="I640" t="s">
        <v>699</v>
      </c>
      <c r="J640">
        <v>1</v>
      </c>
      <c r="K640">
        <v>7</v>
      </c>
      <c r="L640" t="str">
        <f>VLOOKUP(D640,Products!A:E,2,FALSE)</f>
        <v>USB-C Hub</v>
      </c>
      <c r="M640" t="str">
        <f>VLOOKUP(D640,Products!A:E,3,FALSE)</f>
        <v>Accessories</v>
      </c>
      <c r="N640">
        <f>VLOOKUP(D640,Products!A:E,4,FALSE)</f>
        <v>68</v>
      </c>
      <c r="O640" s="13">
        <f>VLOOKUP(D640,Products!A:E,5,FALSE)</f>
        <v>31</v>
      </c>
      <c r="P640" s="13" t="str">
        <f>VLOOKUP(C640,Customers!A:C,3,FALSE)</f>
        <v>Consumer</v>
      </c>
      <c r="Q640" s="13">
        <f t="shared" si="36"/>
        <v>136</v>
      </c>
      <c r="R640" s="13">
        <f t="shared" si="37"/>
        <v>62</v>
      </c>
      <c r="S640" s="13">
        <f t="shared" si="38"/>
        <v>74</v>
      </c>
      <c r="T640" s="14">
        <f t="shared" si="39"/>
        <v>0.54411764705882348</v>
      </c>
    </row>
    <row r="641" spans="1:20">
      <c r="A641" t="s">
        <v>1345</v>
      </c>
      <c r="B641" s="8">
        <v>45966</v>
      </c>
      <c r="C641" t="s">
        <v>179</v>
      </c>
      <c r="D641" t="s">
        <v>61</v>
      </c>
      <c r="E641" t="s">
        <v>708</v>
      </c>
      <c r="F641" t="s">
        <v>706</v>
      </c>
      <c r="G641">
        <v>1</v>
      </c>
      <c r="H641" s="9">
        <v>0</v>
      </c>
      <c r="I641" t="s">
        <v>699</v>
      </c>
      <c r="J641">
        <v>5</v>
      </c>
      <c r="K641">
        <v>4</v>
      </c>
      <c r="L641" t="str">
        <f>VLOOKUP(D641,Products!A:E,2,FALSE)</f>
        <v>Office Chair</v>
      </c>
      <c r="M641" t="str">
        <f>VLOOKUP(D641,Products!A:E,3,FALSE)</f>
        <v>Furniture</v>
      </c>
      <c r="N641">
        <f>VLOOKUP(D641,Products!A:E,4,FALSE)</f>
        <v>255</v>
      </c>
      <c r="O641" s="13">
        <f>VLOOKUP(D641,Products!A:E,5,FALSE)</f>
        <v>145</v>
      </c>
      <c r="P641" s="13" t="str">
        <f>VLOOKUP(C641,Customers!A:C,3,FALSE)</f>
        <v>Consumer</v>
      </c>
      <c r="Q641" s="13">
        <f t="shared" si="36"/>
        <v>255</v>
      </c>
      <c r="R641" s="13">
        <f t="shared" si="37"/>
        <v>145</v>
      </c>
      <c r="S641" s="13">
        <f t="shared" si="38"/>
        <v>110</v>
      </c>
      <c r="T641" s="14">
        <f t="shared" si="39"/>
        <v>0.43137254901960786</v>
      </c>
    </row>
    <row r="642" spans="1:20">
      <c r="A642" t="s">
        <v>1346</v>
      </c>
      <c r="B642" s="8">
        <v>45692</v>
      </c>
      <c r="C642" t="s">
        <v>367</v>
      </c>
      <c r="D642" t="s">
        <v>50</v>
      </c>
      <c r="E642" t="s">
        <v>697</v>
      </c>
      <c r="F642" t="s">
        <v>706</v>
      </c>
      <c r="G642">
        <v>2</v>
      </c>
      <c r="H642" s="9">
        <v>0</v>
      </c>
      <c r="I642" t="s">
        <v>699</v>
      </c>
      <c r="J642">
        <v>5</v>
      </c>
      <c r="K642">
        <v>1</v>
      </c>
      <c r="L642" t="str">
        <f>VLOOKUP(D642,Products!A:E,2,FALSE)</f>
        <v>Keyboard</v>
      </c>
      <c r="M642" t="str">
        <f>VLOOKUP(D642,Products!A:E,3,FALSE)</f>
        <v>Technology</v>
      </c>
      <c r="N642">
        <f>VLOOKUP(D642,Products!A:E,4,FALSE)</f>
        <v>75</v>
      </c>
      <c r="O642" s="13">
        <f>VLOOKUP(D642,Products!A:E,5,FALSE)</f>
        <v>38</v>
      </c>
      <c r="P642" s="13" t="str">
        <f>VLOOKUP(C642,Customers!A:C,3,FALSE)</f>
        <v>Consumer</v>
      </c>
      <c r="Q642" s="13">
        <f t="shared" ref="Q642:Q705" si="40">G642*N642*(1-H642)</f>
        <v>150</v>
      </c>
      <c r="R642" s="13">
        <f t="shared" ref="R642:R705" si="41">G642*O642</f>
        <v>76</v>
      </c>
      <c r="S642" s="13">
        <f t="shared" ref="S642:S705" si="42">Q642-R642</f>
        <v>74</v>
      </c>
      <c r="T642" s="14">
        <f t="shared" ref="T642:T705" si="43">IFERROR(S642/Q642,0)</f>
        <v>0.49333333333333335</v>
      </c>
    </row>
    <row r="643" spans="1:20">
      <c r="A643" t="s">
        <v>1347</v>
      </c>
      <c r="B643" s="8">
        <v>45822</v>
      </c>
      <c r="C643" t="s">
        <v>353</v>
      </c>
      <c r="D643" t="s">
        <v>50</v>
      </c>
      <c r="E643" t="s">
        <v>708</v>
      </c>
      <c r="F643" t="s">
        <v>698</v>
      </c>
      <c r="G643">
        <v>4</v>
      </c>
      <c r="H643" s="9">
        <v>0.1</v>
      </c>
      <c r="I643" t="s">
        <v>699</v>
      </c>
      <c r="J643">
        <v>1</v>
      </c>
      <c r="K643">
        <v>3</v>
      </c>
      <c r="L643" t="str">
        <f>VLOOKUP(D643,Products!A:E,2,FALSE)</f>
        <v>Keyboard</v>
      </c>
      <c r="M643" t="str">
        <f>VLOOKUP(D643,Products!A:E,3,FALSE)</f>
        <v>Technology</v>
      </c>
      <c r="N643">
        <f>VLOOKUP(D643,Products!A:E,4,FALSE)</f>
        <v>75</v>
      </c>
      <c r="O643" s="13">
        <f>VLOOKUP(D643,Products!A:E,5,FALSE)</f>
        <v>38</v>
      </c>
      <c r="P643" s="13" t="str">
        <f>VLOOKUP(C643,Customers!A:C,3,FALSE)</f>
        <v>Small Business</v>
      </c>
      <c r="Q643" s="13">
        <f t="shared" si="40"/>
        <v>270</v>
      </c>
      <c r="R643" s="13">
        <f t="shared" si="41"/>
        <v>152</v>
      </c>
      <c r="S643" s="13">
        <f t="shared" si="42"/>
        <v>118</v>
      </c>
      <c r="T643" s="14">
        <f t="shared" si="43"/>
        <v>0.43703703703703706</v>
      </c>
    </row>
    <row r="644" spans="1:20">
      <c r="A644" t="s">
        <v>1348</v>
      </c>
      <c r="B644" s="8">
        <v>46112</v>
      </c>
      <c r="C644" t="s">
        <v>225</v>
      </c>
      <c r="D644" t="s">
        <v>45</v>
      </c>
      <c r="E644" t="s">
        <v>708</v>
      </c>
      <c r="F644" t="s">
        <v>698</v>
      </c>
      <c r="G644">
        <v>1</v>
      </c>
      <c r="H644" s="9">
        <v>0</v>
      </c>
      <c r="I644" t="s">
        <v>699</v>
      </c>
      <c r="J644">
        <v>4</v>
      </c>
      <c r="K644">
        <v>2</v>
      </c>
      <c r="L644" t="str">
        <f>VLOOKUP(D644,Products!A:E,2,FALSE)</f>
        <v>Laptop</v>
      </c>
      <c r="M644" t="str">
        <f>VLOOKUP(D644,Products!A:E,3,FALSE)</f>
        <v>Technology</v>
      </c>
      <c r="N644">
        <f>VLOOKUP(D644,Products!A:E,4,FALSE)</f>
        <v>1100</v>
      </c>
      <c r="O644" s="13">
        <f>VLOOKUP(D644,Products!A:E,5,FALSE)</f>
        <v>720</v>
      </c>
      <c r="P644" s="13" t="str">
        <f>VLOOKUP(C644,Customers!A:C,3,FALSE)</f>
        <v>Consumer</v>
      </c>
      <c r="Q644" s="13">
        <f t="shared" si="40"/>
        <v>1100</v>
      </c>
      <c r="R644" s="13">
        <f t="shared" si="41"/>
        <v>720</v>
      </c>
      <c r="S644" s="13">
        <f t="shared" si="42"/>
        <v>380</v>
      </c>
      <c r="T644" s="14">
        <f t="shared" si="43"/>
        <v>0.34545454545454546</v>
      </c>
    </row>
    <row r="645" spans="1:20">
      <c r="A645" t="s">
        <v>1349</v>
      </c>
      <c r="B645" s="8">
        <v>46078</v>
      </c>
      <c r="C645" t="s">
        <v>413</v>
      </c>
      <c r="D645" t="s">
        <v>77</v>
      </c>
      <c r="E645" t="s">
        <v>715</v>
      </c>
      <c r="F645" t="s">
        <v>698</v>
      </c>
      <c r="G645">
        <v>1</v>
      </c>
      <c r="H645" s="9">
        <v>0.1</v>
      </c>
      <c r="I645" t="s">
        <v>699</v>
      </c>
      <c r="J645">
        <v>5</v>
      </c>
      <c r="K645">
        <v>2</v>
      </c>
      <c r="L645" t="str">
        <f>VLOOKUP(D645,Products!A:E,2,FALSE)</f>
        <v>File Folder Pack</v>
      </c>
      <c r="M645" t="str">
        <f>VLOOKUP(D645,Products!A:E,3,FALSE)</f>
        <v>Office Supplies</v>
      </c>
      <c r="N645">
        <f>VLOOKUP(D645,Products!A:E,4,FALSE)</f>
        <v>23</v>
      </c>
      <c r="O645" s="13">
        <f>VLOOKUP(D645,Products!A:E,5,FALSE)</f>
        <v>10</v>
      </c>
      <c r="P645" s="13" t="str">
        <f>VLOOKUP(C645,Customers!A:C,3,FALSE)</f>
        <v>Small Business</v>
      </c>
      <c r="Q645" s="13">
        <f t="shared" si="40"/>
        <v>20.7</v>
      </c>
      <c r="R645" s="13">
        <f t="shared" si="41"/>
        <v>10</v>
      </c>
      <c r="S645" s="13">
        <f t="shared" si="42"/>
        <v>10.7</v>
      </c>
      <c r="T645" s="14">
        <f t="shared" si="43"/>
        <v>0.51690821256038644</v>
      </c>
    </row>
    <row r="646" spans="1:20">
      <c r="A646" t="s">
        <v>1350</v>
      </c>
      <c r="B646" s="8">
        <v>45744</v>
      </c>
      <c r="C646" t="s">
        <v>511</v>
      </c>
      <c r="D646" t="s">
        <v>70</v>
      </c>
      <c r="E646" t="s">
        <v>705</v>
      </c>
      <c r="F646" t="s">
        <v>706</v>
      </c>
      <c r="G646">
        <v>7</v>
      </c>
      <c r="H646" s="9">
        <v>0.15</v>
      </c>
      <c r="I646" t="s">
        <v>699</v>
      </c>
      <c r="J646">
        <v>5</v>
      </c>
      <c r="K646">
        <v>5</v>
      </c>
      <c r="L646" t="str">
        <f>VLOOKUP(D646,Products!A:E,2,FALSE)</f>
        <v>USB-C Hub</v>
      </c>
      <c r="M646" t="str">
        <f>VLOOKUP(D646,Products!A:E,3,FALSE)</f>
        <v>Accessories</v>
      </c>
      <c r="N646">
        <f>VLOOKUP(D646,Products!A:E,4,FALSE)</f>
        <v>68</v>
      </c>
      <c r="O646" s="13">
        <f>VLOOKUP(D646,Products!A:E,5,FALSE)</f>
        <v>31</v>
      </c>
      <c r="P646" s="13" t="str">
        <f>VLOOKUP(C646,Customers!A:C,3,FALSE)</f>
        <v>Consumer</v>
      </c>
      <c r="Q646" s="13">
        <f t="shared" si="40"/>
        <v>404.59999999999997</v>
      </c>
      <c r="R646" s="13">
        <f t="shared" si="41"/>
        <v>217</v>
      </c>
      <c r="S646" s="13">
        <f t="shared" si="42"/>
        <v>187.59999999999997</v>
      </c>
      <c r="T646" s="14">
        <f t="shared" si="43"/>
        <v>0.4636678200692041</v>
      </c>
    </row>
    <row r="647" spans="1:20">
      <c r="A647" t="s">
        <v>1351</v>
      </c>
      <c r="B647" s="8">
        <v>45892</v>
      </c>
      <c r="C647" t="s">
        <v>177</v>
      </c>
      <c r="D647" t="s">
        <v>77</v>
      </c>
      <c r="E647" t="s">
        <v>705</v>
      </c>
      <c r="F647" t="s">
        <v>698</v>
      </c>
      <c r="G647">
        <v>1</v>
      </c>
      <c r="H647" s="9">
        <v>0</v>
      </c>
      <c r="I647" t="s">
        <v>699</v>
      </c>
      <c r="J647">
        <v>4</v>
      </c>
      <c r="K647">
        <v>1</v>
      </c>
      <c r="L647" t="str">
        <f>VLOOKUP(D647,Products!A:E,2,FALSE)</f>
        <v>File Folder Pack</v>
      </c>
      <c r="M647" t="str">
        <f>VLOOKUP(D647,Products!A:E,3,FALSE)</f>
        <v>Office Supplies</v>
      </c>
      <c r="N647">
        <f>VLOOKUP(D647,Products!A:E,4,FALSE)</f>
        <v>23</v>
      </c>
      <c r="O647" s="13">
        <f>VLOOKUP(D647,Products!A:E,5,FALSE)</f>
        <v>10</v>
      </c>
      <c r="P647" s="13" t="str">
        <f>VLOOKUP(C647,Customers!A:C,3,FALSE)</f>
        <v>Consumer</v>
      </c>
      <c r="Q647" s="13">
        <f t="shared" si="40"/>
        <v>23</v>
      </c>
      <c r="R647" s="13">
        <f t="shared" si="41"/>
        <v>10</v>
      </c>
      <c r="S647" s="13">
        <f t="shared" si="42"/>
        <v>13</v>
      </c>
      <c r="T647" s="14">
        <f t="shared" si="43"/>
        <v>0.56521739130434778</v>
      </c>
    </row>
    <row r="648" spans="1:20">
      <c r="A648" t="s">
        <v>1352</v>
      </c>
      <c r="B648" s="8">
        <v>46034</v>
      </c>
      <c r="C648" t="s">
        <v>261</v>
      </c>
      <c r="D648" t="s">
        <v>52</v>
      </c>
      <c r="E648" t="s">
        <v>705</v>
      </c>
      <c r="F648" t="s">
        <v>698</v>
      </c>
      <c r="G648">
        <v>4</v>
      </c>
      <c r="H648" s="9">
        <v>0.15</v>
      </c>
      <c r="I648" t="s">
        <v>699</v>
      </c>
      <c r="J648">
        <v>4</v>
      </c>
      <c r="K648">
        <v>2</v>
      </c>
      <c r="L648" t="str">
        <f>VLOOKUP(D648,Products!A:E,2,FALSE)</f>
        <v>Mouse</v>
      </c>
      <c r="M648" t="str">
        <f>VLOOKUP(D648,Products!A:E,3,FALSE)</f>
        <v>Technology</v>
      </c>
      <c r="N648">
        <f>VLOOKUP(D648,Products!A:E,4,FALSE)</f>
        <v>42</v>
      </c>
      <c r="O648" s="13">
        <f>VLOOKUP(D648,Products!A:E,5,FALSE)</f>
        <v>19</v>
      </c>
      <c r="P648" s="13" t="str">
        <f>VLOOKUP(C648,Customers!A:C,3,FALSE)</f>
        <v>Corporate</v>
      </c>
      <c r="Q648" s="13">
        <f t="shared" si="40"/>
        <v>142.79999999999998</v>
      </c>
      <c r="R648" s="13">
        <f t="shared" si="41"/>
        <v>76</v>
      </c>
      <c r="S648" s="13">
        <f t="shared" si="42"/>
        <v>66.799999999999983</v>
      </c>
      <c r="T648" s="14">
        <f t="shared" si="43"/>
        <v>0.46778711484593832</v>
      </c>
    </row>
    <row r="649" spans="1:20">
      <c r="A649" t="s">
        <v>1353</v>
      </c>
      <c r="B649" s="8">
        <v>45866</v>
      </c>
      <c r="C649" t="s">
        <v>281</v>
      </c>
      <c r="D649" t="s">
        <v>63</v>
      </c>
      <c r="E649" t="s">
        <v>708</v>
      </c>
      <c r="F649" t="s">
        <v>698</v>
      </c>
      <c r="G649">
        <v>1</v>
      </c>
      <c r="H649" s="9">
        <v>0.15</v>
      </c>
      <c r="I649" t="s">
        <v>699</v>
      </c>
      <c r="J649">
        <v>5</v>
      </c>
      <c r="K649">
        <v>3</v>
      </c>
      <c r="L649" t="str">
        <f>VLOOKUP(D649,Products!A:E,2,FALSE)</f>
        <v>Bookshelf</v>
      </c>
      <c r="M649" t="str">
        <f>VLOOKUP(D649,Products!A:E,3,FALSE)</f>
        <v>Furniture</v>
      </c>
      <c r="N649">
        <f>VLOOKUP(D649,Products!A:E,4,FALSE)</f>
        <v>185</v>
      </c>
      <c r="O649" s="13">
        <f>VLOOKUP(D649,Products!A:E,5,FALSE)</f>
        <v>105</v>
      </c>
      <c r="P649" s="13" t="str">
        <f>VLOOKUP(C649,Customers!A:C,3,FALSE)</f>
        <v>Corporate</v>
      </c>
      <c r="Q649" s="13">
        <f t="shared" si="40"/>
        <v>157.25</v>
      </c>
      <c r="R649" s="13">
        <f t="shared" si="41"/>
        <v>105</v>
      </c>
      <c r="S649" s="13">
        <f t="shared" si="42"/>
        <v>52.25</v>
      </c>
      <c r="T649" s="14">
        <f t="shared" si="43"/>
        <v>0.33227344992050872</v>
      </c>
    </row>
    <row r="650" spans="1:20">
      <c r="A650" t="s">
        <v>1354</v>
      </c>
      <c r="B650" s="8">
        <v>45851</v>
      </c>
      <c r="C650" t="s">
        <v>515</v>
      </c>
      <c r="D650" t="s">
        <v>56</v>
      </c>
      <c r="E650" t="s">
        <v>708</v>
      </c>
      <c r="F650" t="s">
        <v>702</v>
      </c>
      <c r="G650">
        <v>1</v>
      </c>
      <c r="H650" s="9">
        <v>0</v>
      </c>
      <c r="I650" t="s">
        <v>699</v>
      </c>
      <c r="J650">
        <v>5</v>
      </c>
      <c r="K650">
        <v>3</v>
      </c>
      <c r="L650" t="str">
        <f>VLOOKUP(D650,Products!A:E,2,FALSE)</f>
        <v>Headset</v>
      </c>
      <c r="M650" t="str">
        <f>VLOOKUP(D650,Products!A:E,3,FALSE)</f>
        <v>Technology</v>
      </c>
      <c r="N650">
        <f>VLOOKUP(D650,Products!A:E,4,FALSE)</f>
        <v>98</v>
      </c>
      <c r="O650" s="13">
        <f>VLOOKUP(D650,Products!A:E,5,FALSE)</f>
        <v>46</v>
      </c>
      <c r="P650" s="13" t="str">
        <f>VLOOKUP(C650,Customers!A:C,3,FALSE)</f>
        <v>Small Business</v>
      </c>
      <c r="Q650" s="13">
        <f t="shared" si="40"/>
        <v>98</v>
      </c>
      <c r="R650" s="13">
        <f t="shared" si="41"/>
        <v>46</v>
      </c>
      <c r="S650" s="13">
        <f t="shared" si="42"/>
        <v>52</v>
      </c>
      <c r="T650" s="14">
        <f t="shared" si="43"/>
        <v>0.53061224489795922</v>
      </c>
    </row>
    <row r="651" spans="1:20">
      <c r="A651" t="s">
        <v>1355</v>
      </c>
      <c r="B651" s="8">
        <v>46254</v>
      </c>
      <c r="C651" t="s">
        <v>555</v>
      </c>
      <c r="D651" t="s">
        <v>50</v>
      </c>
      <c r="E651" t="s">
        <v>705</v>
      </c>
      <c r="F651" t="s">
        <v>702</v>
      </c>
      <c r="G651">
        <v>2</v>
      </c>
      <c r="H651" s="9">
        <v>0.1</v>
      </c>
      <c r="I651" t="s">
        <v>699</v>
      </c>
      <c r="J651">
        <v>5</v>
      </c>
      <c r="K651">
        <v>4</v>
      </c>
      <c r="L651" t="str">
        <f>VLOOKUP(D651,Products!A:E,2,FALSE)</f>
        <v>Keyboard</v>
      </c>
      <c r="M651" t="str">
        <f>VLOOKUP(D651,Products!A:E,3,FALSE)</f>
        <v>Technology</v>
      </c>
      <c r="N651">
        <f>VLOOKUP(D651,Products!A:E,4,FALSE)</f>
        <v>75</v>
      </c>
      <c r="O651" s="13">
        <f>VLOOKUP(D651,Products!A:E,5,FALSE)</f>
        <v>38</v>
      </c>
      <c r="P651" s="13" t="str">
        <f>VLOOKUP(C651,Customers!A:C,3,FALSE)</f>
        <v>Consumer</v>
      </c>
      <c r="Q651" s="13">
        <f t="shared" si="40"/>
        <v>135</v>
      </c>
      <c r="R651" s="13">
        <f t="shared" si="41"/>
        <v>76</v>
      </c>
      <c r="S651" s="13">
        <f t="shared" si="42"/>
        <v>59</v>
      </c>
      <c r="T651" s="14">
        <f t="shared" si="43"/>
        <v>0.43703703703703706</v>
      </c>
    </row>
    <row r="652" spans="1:20">
      <c r="A652" t="s">
        <v>1356</v>
      </c>
      <c r="B652" s="8">
        <v>45920</v>
      </c>
      <c r="C652" t="s">
        <v>161</v>
      </c>
      <c r="D652" t="s">
        <v>52</v>
      </c>
      <c r="E652" t="s">
        <v>715</v>
      </c>
      <c r="F652" t="s">
        <v>702</v>
      </c>
      <c r="G652">
        <v>6</v>
      </c>
      <c r="H652" s="9">
        <v>0.05</v>
      </c>
      <c r="I652" t="s">
        <v>699</v>
      </c>
      <c r="J652">
        <v>4</v>
      </c>
      <c r="K652">
        <v>5</v>
      </c>
      <c r="L652" t="str">
        <f>VLOOKUP(D652,Products!A:E,2,FALSE)</f>
        <v>Mouse</v>
      </c>
      <c r="M652" t="str">
        <f>VLOOKUP(D652,Products!A:E,3,FALSE)</f>
        <v>Technology</v>
      </c>
      <c r="N652">
        <f>VLOOKUP(D652,Products!A:E,4,FALSE)</f>
        <v>42</v>
      </c>
      <c r="O652" s="13">
        <f>VLOOKUP(D652,Products!A:E,5,FALSE)</f>
        <v>19</v>
      </c>
      <c r="P652" s="13" t="str">
        <f>VLOOKUP(C652,Customers!A:C,3,FALSE)</f>
        <v>Corporate</v>
      </c>
      <c r="Q652" s="13">
        <f t="shared" si="40"/>
        <v>239.39999999999998</v>
      </c>
      <c r="R652" s="13">
        <f t="shared" si="41"/>
        <v>114</v>
      </c>
      <c r="S652" s="13">
        <f t="shared" si="42"/>
        <v>125.39999999999998</v>
      </c>
      <c r="T652" s="14">
        <f t="shared" si="43"/>
        <v>0.52380952380952372</v>
      </c>
    </row>
    <row r="653" spans="1:20">
      <c r="A653" t="s">
        <v>1357</v>
      </c>
      <c r="B653" s="8">
        <v>45704</v>
      </c>
      <c r="C653" t="s">
        <v>90</v>
      </c>
      <c r="D653" t="s">
        <v>63</v>
      </c>
      <c r="E653" t="s">
        <v>715</v>
      </c>
      <c r="F653" t="s">
        <v>702</v>
      </c>
      <c r="G653">
        <v>8</v>
      </c>
      <c r="H653" s="9">
        <v>0.1</v>
      </c>
      <c r="I653" t="s">
        <v>699</v>
      </c>
      <c r="J653">
        <v>5</v>
      </c>
      <c r="K653">
        <v>1</v>
      </c>
      <c r="L653" t="str">
        <f>VLOOKUP(D653,Products!A:E,2,FALSE)</f>
        <v>Bookshelf</v>
      </c>
      <c r="M653" t="str">
        <f>VLOOKUP(D653,Products!A:E,3,FALSE)</f>
        <v>Furniture</v>
      </c>
      <c r="N653">
        <f>VLOOKUP(D653,Products!A:E,4,FALSE)</f>
        <v>185</v>
      </c>
      <c r="O653" s="13">
        <f>VLOOKUP(D653,Products!A:E,5,FALSE)</f>
        <v>105</v>
      </c>
      <c r="P653" s="13" t="str">
        <f>VLOOKUP(C653,Customers!A:C,3,FALSE)</f>
        <v>Consumer</v>
      </c>
      <c r="Q653" s="13">
        <f t="shared" si="40"/>
        <v>1332</v>
      </c>
      <c r="R653" s="13">
        <f t="shared" si="41"/>
        <v>840</v>
      </c>
      <c r="S653" s="13">
        <f t="shared" si="42"/>
        <v>492</v>
      </c>
      <c r="T653" s="14">
        <f t="shared" si="43"/>
        <v>0.36936936936936937</v>
      </c>
    </row>
    <row r="654" spans="1:20">
      <c r="A654" t="s">
        <v>1358</v>
      </c>
      <c r="B654" s="8">
        <v>46252</v>
      </c>
      <c r="C654" t="s">
        <v>269</v>
      </c>
      <c r="D654" t="s">
        <v>63</v>
      </c>
      <c r="E654" t="s">
        <v>705</v>
      </c>
      <c r="F654" t="s">
        <v>698</v>
      </c>
      <c r="G654">
        <v>2</v>
      </c>
      <c r="H654" s="9">
        <v>0.05</v>
      </c>
      <c r="I654" t="s">
        <v>699</v>
      </c>
      <c r="J654">
        <v>5</v>
      </c>
      <c r="K654">
        <v>4</v>
      </c>
      <c r="L654" t="str">
        <f>VLOOKUP(D654,Products!A:E,2,FALSE)</f>
        <v>Bookshelf</v>
      </c>
      <c r="M654" t="str">
        <f>VLOOKUP(D654,Products!A:E,3,FALSE)</f>
        <v>Furniture</v>
      </c>
      <c r="N654">
        <f>VLOOKUP(D654,Products!A:E,4,FALSE)</f>
        <v>185</v>
      </c>
      <c r="O654" s="13">
        <f>VLOOKUP(D654,Products!A:E,5,FALSE)</f>
        <v>105</v>
      </c>
      <c r="P654" s="13" t="str">
        <f>VLOOKUP(C654,Customers!A:C,3,FALSE)</f>
        <v>Corporate</v>
      </c>
      <c r="Q654" s="13">
        <f t="shared" si="40"/>
        <v>351.5</v>
      </c>
      <c r="R654" s="13">
        <f t="shared" si="41"/>
        <v>210</v>
      </c>
      <c r="S654" s="13">
        <f t="shared" si="42"/>
        <v>141.5</v>
      </c>
      <c r="T654" s="14">
        <f t="shared" si="43"/>
        <v>0.40256045519203415</v>
      </c>
    </row>
    <row r="655" spans="1:20">
      <c r="A655" t="s">
        <v>1359</v>
      </c>
      <c r="B655" s="8">
        <v>45803</v>
      </c>
      <c r="C655" t="s">
        <v>353</v>
      </c>
      <c r="D655" t="s">
        <v>52</v>
      </c>
      <c r="E655" t="s">
        <v>708</v>
      </c>
      <c r="F655" t="s">
        <v>706</v>
      </c>
      <c r="G655">
        <v>2</v>
      </c>
      <c r="H655" s="9">
        <v>0.2</v>
      </c>
      <c r="I655" t="s">
        <v>699</v>
      </c>
      <c r="J655">
        <v>4</v>
      </c>
      <c r="K655">
        <v>4</v>
      </c>
      <c r="L655" t="str">
        <f>VLOOKUP(D655,Products!A:E,2,FALSE)</f>
        <v>Mouse</v>
      </c>
      <c r="M655" t="str">
        <f>VLOOKUP(D655,Products!A:E,3,FALSE)</f>
        <v>Technology</v>
      </c>
      <c r="N655">
        <f>VLOOKUP(D655,Products!A:E,4,FALSE)</f>
        <v>42</v>
      </c>
      <c r="O655" s="13">
        <f>VLOOKUP(D655,Products!A:E,5,FALSE)</f>
        <v>19</v>
      </c>
      <c r="P655" s="13" t="str">
        <f>VLOOKUP(C655,Customers!A:C,3,FALSE)</f>
        <v>Small Business</v>
      </c>
      <c r="Q655" s="13">
        <f t="shared" si="40"/>
        <v>67.2</v>
      </c>
      <c r="R655" s="13">
        <f t="shared" si="41"/>
        <v>38</v>
      </c>
      <c r="S655" s="13">
        <f t="shared" si="42"/>
        <v>29.200000000000003</v>
      </c>
      <c r="T655" s="14">
        <f t="shared" si="43"/>
        <v>0.43452380952380953</v>
      </c>
    </row>
    <row r="656" spans="1:20">
      <c r="A656" t="s">
        <v>1360</v>
      </c>
      <c r="B656" s="8">
        <v>45947</v>
      </c>
      <c r="C656" t="s">
        <v>355</v>
      </c>
      <c r="D656" t="s">
        <v>63</v>
      </c>
      <c r="E656" t="s">
        <v>715</v>
      </c>
      <c r="F656" t="s">
        <v>702</v>
      </c>
      <c r="G656">
        <v>1</v>
      </c>
      <c r="H656" s="9">
        <v>0.1</v>
      </c>
      <c r="I656" t="s">
        <v>699</v>
      </c>
      <c r="J656">
        <v>5</v>
      </c>
      <c r="K656">
        <v>5</v>
      </c>
      <c r="L656" t="str">
        <f>VLOOKUP(D656,Products!A:E,2,FALSE)</f>
        <v>Bookshelf</v>
      </c>
      <c r="M656" t="str">
        <f>VLOOKUP(D656,Products!A:E,3,FALSE)</f>
        <v>Furniture</v>
      </c>
      <c r="N656">
        <f>VLOOKUP(D656,Products!A:E,4,FALSE)</f>
        <v>185</v>
      </c>
      <c r="O656" s="13">
        <f>VLOOKUP(D656,Products!A:E,5,FALSE)</f>
        <v>105</v>
      </c>
      <c r="P656" s="13" t="str">
        <f>VLOOKUP(C656,Customers!A:C,3,FALSE)</f>
        <v>Consumer</v>
      </c>
      <c r="Q656" s="13">
        <f t="shared" si="40"/>
        <v>166.5</v>
      </c>
      <c r="R656" s="13">
        <f t="shared" si="41"/>
        <v>105</v>
      </c>
      <c r="S656" s="13">
        <f t="shared" si="42"/>
        <v>61.5</v>
      </c>
      <c r="T656" s="14">
        <f t="shared" si="43"/>
        <v>0.36936936936936937</v>
      </c>
    </row>
    <row r="657" spans="1:20">
      <c r="A657" t="s">
        <v>1361</v>
      </c>
      <c r="B657" s="8">
        <v>46108</v>
      </c>
      <c r="C657" t="s">
        <v>141</v>
      </c>
      <c r="D657" t="s">
        <v>58</v>
      </c>
      <c r="E657" t="s">
        <v>705</v>
      </c>
      <c r="F657" t="s">
        <v>702</v>
      </c>
      <c r="G657">
        <v>1</v>
      </c>
      <c r="H657" s="9">
        <v>0</v>
      </c>
      <c r="I657" t="s">
        <v>699</v>
      </c>
      <c r="J657">
        <v>4</v>
      </c>
      <c r="K657">
        <v>4</v>
      </c>
      <c r="L657" t="str">
        <f>VLOOKUP(D657,Products!A:E,2,FALSE)</f>
        <v>Standing Desk</v>
      </c>
      <c r="M657" t="str">
        <f>VLOOKUP(D657,Products!A:E,3,FALSE)</f>
        <v>Furniture</v>
      </c>
      <c r="N657">
        <f>VLOOKUP(D657,Products!A:E,4,FALSE)</f>
        <v>540</v>
      </c>
      <c r="O657" s="13">
        <f>VLOOKUP(D657,Products!A:E,5,FALSE)</f>
        <v>320</v>
      </c>
      <c r="P657" s="13" t="str">
        <f>VLOOKUP(C657,Customers!A:C,3,FALSE)</f>
        <v>Consumer</v>
      </c>
      <c r="Q657" s="13">
        <f t="shared" si="40"/>
        <v>540</v>
      </c>
      <c r="R657" s="13">
        <f t="shared" si="41"/>
        <v>320</v>
      </c>
      <c r="S657" s="13">
        <f t="shared" si="42"/>
        <v>220</v>
      </c>
      <c r="T657" s="14">
        <f t="shared" si="43"/>
        <v>0.40740740740740738</v>
      </c>
    </row>
    <row r="658" spans="1:20">
      <c r="A658" t="s">
        <v>1362</v>
      </c>
      <c r="B658" s="8">
        <v>45699</v>
      </c>
      <c r="C658" t="s">
        <v>539</v>
      </c>
      <c r="D658" t="s">
        <v>70</v>
      </c>
      <c r="E658" t="s">
        <v>697</v>
      </c>
      <c r="F658" t="s">
        <v>698</v>
      </c>
      <c r="G658">
        <v>2</v>
      </c>
      <c r="H658" s="9">
        <v>0</v>
      </c>
      <c r="I658" t="s">
        <v>699</v>
      </c>
      <c r="J658">
        <v>3</v>
      </c>
      <c r="K658">
        <v>3</v>
      </c>
      <c r="L658" t="str">
        <f>VLOOKUP(D658,Products!A:E,2,FALSE)</f>
        <v>USB-C Hub</v>
      </c>
      <c r="M658" t="str">
        <f>VLOOKUP(D658,Products!A:E,3,FALSE)</f>
        <v>Accessories</v>
      </c>
      <c r="N658">
        <f>VLOOKUP(D658,Products!A:E,4,FALSE)</f>
        <v>68</v>
      </c>
      <c r="O658" s="13">
        <f>VLOOKUP(D658,Products!A:E,5,FALSE)</f>
        <v>31</v>
      </c>
      <c r="P658" s="13" t="str">
        <f>VLOOKUP(C658,Customers!A:C,3,FALSE)</f>
        <v>Corporate</v>
      </c>
      <c r="Q658" s="13">
        <f t="shared" si="40"/>
        <v>136</v>
      </c>
      <c r="R658" s="13">
        <f t="shared" si="41"/>
        <v>62</v>
      </c>
      <c r="S658" s="13">
        <f t="shared" si="42"/>
        <v>74</v>
      </c>
      <c r="T658" s="14">
        <f t="shared" si="43"/>
        <v>0.54411764705882348</v>
      </c>
    </row>
    <row r="659" spans="1:20">
      <c r="A659" t="s">
        <v>1363</v>
      </c>
      <c r="B659" s="8">
        <v>45753</v>
      </c>
      <c r="C659" t="s">
        <v>295</v>
      </c>
      <c r="D659" t="s">
        <v>65</v>
      </c>
      <c r="E659" t="s">
        <v>705</v>
      </c>
      <c r="F659" t="s">
        <v>702</v>
      </c>
      <c r="G659">
        <v>2</v>
      </c>
      <c r="H659" s="9">
        <v>0</v>
      </c>
      <c r="I659" t="s">
        <v>699</v>
      </c>
      <c r="J659">
        <v>4</v>
      </c>
      <c r="K659">
        <v>5</v>
      </c>
      <c r="L659" t="str">
        <f>VLOOKUP(D659,Products!A:E,2,FALSE)</f>
        <v>Laptop Stand</v>
      </c>
      <c r="M659" t="str">
        <f>VLOOKUP(D659,Products!A:E,3,FALSE)</f>
        <v>Accessories</v>
      </c>
      <c r="N659">
        <f>VLOOKUP(D659,Products!A:E,4,FALSE)</f>
        <v>48</v>
      </c>
      <c r="O659" s="13">
        <f>VLOOKUP(D659,Products!A:E,5,FALSE)</f>
        <v>22</v>
      </c>
      <c r="P659" s="13" t="str">
        <f>VLOOKUP(C659,Customers!A:C,3,FALSE)</f>
        <v>Consumer</v>
      </c>
      <c r="Q659" s="13">
        <f t="shared" si="40"/>
        <v>96</v>
      </c>
      <c r="R659" s="13">
        <f t="shared" si="41"/>
        <v>44</v>
      </c>
      <c r="S659" s="13">
        <f t="shared" si="42"/>
        <v>52</v>
      </c>
      <c r="T659" s="14">
        <f t="shared" si="43"/>
        <v>0.54166666666666663</v>
      </c>
    </row>
    <row r="660" spans="1:20">
      <c r="A660" t="s">
        <v>1364</v>
      </c>
      <c r="B660" s="8">
        <v>45662</v>
      </c>
      <c r="C660" t="s">
        <v>625</v>
      </c>
      <c r="D660" t="s">
        <v>56</v>
      </c>
      <c r="E660" t="s">
        <v>708</v>
      </c>
      <c r="F660" t="s">
        <v>702</v>
      </c>
      <c r="G660">
        <v>4</v>
      </c>
      <c r="H660" s="9">
        <v>0.1</v>
      </c>
      <c r="I660" t="s">
        <v>699</v>
      </c>
      <c r="J660">
        <v>1</v>
      </c>
      <c r="K660">
        <v>5</v>
      </c>
      <c r="L660" t="str">
        <f>VLOOKUP(D660,Products!A:E,2,FALSE)</f>
        <v>Headset</v>
      </c>
      <c r="M660" t="str">
        <f>VLOOKUP(D660,Products!A:E,3,FALSE)</f>
        <v>Technology</v>
      </c>
      <c r="N660">
        <f>VLOOKUP(D660,Products!A:E,4,FALSE)</f>
        <v>98</v>
      </c>
      <c r="O660" s="13">
        <f>VLOOKUP(D660,Products!A:E,5,FALSE)</f>
        <v>46</v>
      </c>
      <c r="P660" s="13" t="str">
        <f>VLOOKUP(C660,Customers!A:C,3,FALSE)</f>
        <v>Consumer</v>
      </c>
      <c r="Q660" s="13">
        <f t="shared" si="40"/>
        <v>352.8</v>
      </c>
      <c r="R660" s="13">
        <f t="shared" si="41"/>
        <v>184</v>
      </c>
      <c r="S660" s="13">
        <f t="shared" si="42"/>
        <v>168.8</v>
      </c>
      <c r="T660" s="14">
        <f t="shared" si="43"/>
        <v>0.47845804988662133</v>
      </c>
    </row>
    <row r="661" spans="1:20">
      <c r="A661" t="s">
        <v>1365</v>
      </c>
      <c r="B661" s="8">
        <v>46040</v>
      </c>
      <c r="C661" t="s">
        <v>195</v>
      </c>
      <c r="D661" t="s">
        <v>68</v>
      </c>
      <c r="E661" t="s">
        <v>705</v>
      </c>
      <c r="F661" t="s">
        <v>702</v>
      </c>
      <c r="G661">
        <v>5</v>
      </c>
      <c r="H661" s="9">
        <v>0.05</v>
      </c>
      <c r="I661" t="s">
        <v>699</v>
      </c>
      <c r="J661">
        <v>5</v>
      </c>
      <c r="K661">
        <v>5</v>
      </c>
      <c r="L661" t="str">
        <f>VLOOKUP(D661,Products!A:E,2,FALSE)</f>
        <v>Backpack</v>
      </c>
      <c r="M661" t="str">
        <f>VLOOKUP(D661,Products!A:E,3,FALSE)</f>
        <v>Accessories</v>
      </c>
      <c r="N661">
        <f>VLOOKUP(D661,Products!A:E,4,FALSE)</f>
        <v>85</v>
      </c>
      <c r="O661" s="13">
        <f>VLOOKUP(D661,Products!A:E,5,FALSE)</f>
        <v>39</v>
      </c>
      <c r="P661" s="13" t="str">
        <f>VLOOKUP(C661,Customers!A:C,3,FALSE)</f>
        <v>Corporate</v>
      </c>
      <c r="Q661" s="13">
        <f t="shared" si="40"/>
        <v>403.75</v>
      </c>
      <c r="R661" s="13">
        <f t="shared" si="41"/>
        <v>195</v>
      </c>
      <c r="S661" s="13">
        <f t="shared" si="42"/>
        <v>208.75</v>
      </c>
      <c r="T661" s="14">
        <f t="shared" si="43"/>
        <v>0.51702786377708976</v>
      </c>
    </row>
    <row r="662" spans="1:20">
      <c r="A662" t="s">
        <v>1366</v>
      </c>
      <c r="B662" s="8">
        <v>45663</v>
      </c>
      <c r="C662" t="s">
        <v>423</v>
      </c>
      <c r="D662" t="s">
        <v>48</v>
      </c>
      <c r="E662" t="s">
        <v>701</v>
      </c>
      <c r="F662" t="s">
        <v>706</v>
      </c>
      <c r="G662">
        <v>2</v>
      </c>
      <c r="H662" s="9">
        <v>0.1</v>
      </c>
      <c r="I662" t="s">
        <v>699</v>
      </c>
      <c r="J662">
        <v>5</v>
      </c>
      <c r="K662">
        <v>5</v>
      </c>
      <c r="L662" t="str">
        <f>VLOOKUP(D662,Products!A:E,2,FALSE)</f>
        <v>Monitor</v>
      </c>
      <c r="M662" t="str">
        <f>VLOOKUP(D662,Products!A:E,3,FALSE)</f>
        <v>Technology</v>
      </c>
      <c r="N662">
        <f>VLOOKUP(D662,Products!A:E,4,FALSE)</f>
        <v>310</v>
      </c>
      <c r="O662" s="13">
        <f>VLOOKUP(D662,Products!A:E,5,FALSE)</f>
        <v>190</v>
      </c>
      <c r="P662" s="13" t="str">
        <f>VLOOKUP(C662,Customers!A:C,3,FALSE)</f>
        <v>Consumer</v>
      </c>
      <c r="Q662" s="13">
        <f t="shared" si="40"/>
        <v>558</v>
      </c>
      <c r="R662" s="13">
        <f t="shared" si="41"/>
        <v>380</v>
      </c>
      <c r="S662" s="13">
        <f t="shared" si="42"/>
        <v>178</v>
      </c>
      <c r="T662" s="14">
        <f t="shared" si="43"/>
        <v>0.31899641577060933</v>
      </c>
    </row>
    <row r="663" spans="1:20">
      <c r="A663" t="s">
        <v>1367</v>
      </c>
      <c r="B663" s="8">
        <v>45790</v>
      </c>
      <c r="C663" t="s">
        <v>303</v>
      </c>
      <c r="D663" t="s">
        <v>48</v>
      </c>
      <c r="E663" t="s">
        <v>697</v>
      </c>
      <c r="F663" t="s">
        <v>702</v>
      </c>
      <c r="G663">
        <v>4</v>
      </c>
      <c r="H663" s="9">
        <v>0.1</v>
      </c>
      <c r="I663" t="s">
        <v>699</v>
      </c>
      <c r="J663">
        <v>4</v>
      </c>
      <c r="K663">
        <v>1</v>
      </c>
      <c r="L663" t="str">
        <f>VLOOKUP(D663,Products!A:E,2,FALSE)</f>
        <v>Monitor</v>
      </c>
      <c r="M663" t="str">
        <f>VLOOKUP(D663,Products!A:E,3,FALSE)</f>
        <v>Technology</v>
      </c>
      <c r="N663">
        <f>VLOOKUP(D663,Products!A:E,4,FALSE)</f>
        <v>310</v>
      </c>
      <c r="O663" s="13">
        <f>VLOOKUP(D663,Products!A:E,5,FALSE)</f>
        <v>190</v>
      </c>
      <c r="P663" s="13" t="str">
        <f>VLOOKUP(C663,Customers!A:C,3,FALSE)</f>
        <v>Consumer</v>
      </c>
      <c r="Q663" s="13">
        <f t="shared" si="40"/>
        <v>1116</v>
      </c>
      <c r="R663" s="13">
        <f t="shared" si="41"/>
        <v>760</v>
      </c>
      <c r="S663" s="13">
        <f t="shared" si="42"/>
        <v>356</v>
      </c>
      <c r="T663" s="14">
        <f t="shared" si="43"/>
        <v>0.31899641577060933</v>
      </c>
    </row>
    <row r="664" spans="1:20">
      <c r="A664" t="s">
        <v>1368</v>
      </c>
      <c r="B664" s="8">
        <v>46066</v>
      </c>
      <c r="C664" t="s">
        <v>347</v>
      </c>
      <c r="D664" t="s">
        <v>56</v>
      </c>
      <c r="E664" t="s">
        <v>708</v>
      </c>
      <c r="F664" t="s">
        <v>698</v>
      </c>
      <c r="G664">
        <v>2</v>
      </c>
      <c r="H664" s="9">
        <v>0</v>
      </c>
      <c r="I664" t="s">
        <v>699</v>
      </c>
      <c r="J664">
        <v>4</v>
      </c>
      <c r="K664">
        <v>4</v>
      </c>
      <c r="L664" t="str">
        <f>VLOOKUP(D664,Products!A:E,2,FALSE)</f>
        <v>Headset</v>
      </c>
      <c r="M664" t="str">
        <f>VLOOKUP(D664,Products!A:E,3,FALSE)</f>
        <v>Technology</v>
      </c>
      <c r="N664">
        <f>VLOOKUP(D664,Products!A:E,4,FALSE)</f>
        <v>98</v>
      </c>
      <c r="O664" s="13">
        <f>VLOOKUP(D664,Products!A:E,5,FALSE)</f>
        <v>46</v>
      </c>
      <c r="P664" s="13" t="str">
        <f>VLOOKUP(C664,Customers!A:C,3,FALSE)</f>
        <v>Consumer</v>
      </c>
      <c r="Q664" s="13">
        <f t="shared" si="40"/>
        <v>196</v>
      </c>
      <c r="R664" s="13">
        <f t="shared" si="41"/>
        <v>92</v>
      </c>
      <c r="S664" s="13">
        <f t="shared" si="42"/>
        <v>104</v>
      </c>
      <c r="T664" s="14">
        <f t="shared" si="43"/>
        <v>0.53061224489795922</v>
      </c>
    </row>
    <row r="665" spans="1:20">
      <c r="A665" t="s">
        <v>1369</v>
      </c>
      <c r="B665" s="8">
        <v>45949</v>
      </c>
      <c r="C665" t="s">
        <v>243</v>
      </c>
      <c r="D665" t="s">
        <v>52</v>
      </c>
      <c r="E665" t="s">
        <v>708</v>
      </c>
      <c r="F665" t="s">
        <v>698</v>
      </c>
      <c r="G665">
        <v>4</v>
      </c>
      <c r="H665" s="9">
        <v>0.15</v>
      </c>
      <c r="I665" t="s">
        <v>699</v>
      </c>
      <c r="J665">
        <v>4</v>
      </c>
      <c r="K665">
        <v>3</v>
      </c>
      <c r="L665" t="str">
        <f>VLOOKUP(D665,Products!A:E,2,FALSE)</f>
        <v>Mouse</v>
      </c>
      <c r="M665" t="str">
        <f>VLOOKUP(D665,Products!A:E,3,FALSE)</f>
        <v>Technology</v>
      </c>
      <c r="N665">
        <f>VLOOKUP(D665,Products!A:E,4,FALSE)</f>
        <v>42</v>
      </c>
      <c r="O665" s="13">
        <f>VLOOKUP(D665,Products!A:E,5,FALSE)</f>
        <v>19</v>
      </c>
      <c r="P665" s="13" t="str">
        <f>VLOOKUP(C665,Customers!A:C,3,FALSE)</f>
        <v>Consumer</v>
      </c>
      <c r="Q665" s="13">
        <f t="shared" si="40"/>
        <v>142.79999999999998</v>
      </c>
      <c r="R665" s="13">
        <f t="shared" si="41"/>
        <v>76</v>
      </c>
      <c r="S665" s="13">
        <f t="shared" si="42"/>
        <v>66.799999999999983</v>
      </c>
      <c r="T665" s="14">
        <f t="shared" si="43"/>
        <v>0.46778711484593832</v>
      </c>
    </row>
    <row r="666" spans="1:20">
      <c r="A666" t="s">
        <v>1370</v>
      </c>
      <c r="B666" s="8">
        <v>45756</v>
      </c>
      <c r="C666" t="s">
        <v>463</v>
      </c>
      <c r="D666" t="s">
        <v>58</v>
      </c>
      <c r="E666" t="s">
        <v>715</v>
      </c>
      <c r="F666" t="s">
        <v>706</v>
      </c>
      <c r="G666">
        <v>2</v>
      </c>
      <c r="H666" s="9">
        <v>0.05</v>
      </c>
      <c r="I666" t="s">
        <v>699</v>
      </c>
      <c r="J666">
        <v>5</v>
      </c>
      <c r="K666">
        <v>3</v>
      </c>
      <c r="L666" t="str">
        <f>VLOOKUP(D666,Products!A:E,2,FALSE)</f>
        <v>Standing Desk</v>
      </c>
      <c r="M666" t="str">
        <f>VLOOKUP(D666,Products!A:E,3,FALSE)</f>
        <v>Furniture</v>
      </c>
      <c r="N666">
        <f>VLOOKUP(D666,Products!A:E,4,FALSE)</f>
        <v>540</v>
      </c>
      <c r="O666" s="13">
        <f>VLOOKUP(D666,Products!A:E,5,FALSE)</f>
        <v>320</v>
      </c>
      <c r="P666" s="13" t="str">
        <f>VLOOKUP(C666,Customers!A:C,3,FALSE)</f>
        <v>Consumer</v>
      </c>
      <c r="Q666" s="13">
        <f t="shared" si="40"/>
        <v>1026</v>
      </c>
      <c r="R666" s="13">
        <f t="shared" si="41"/>
        <v>640</v>
      </c>
      <c r="S666" s="13">
        <f t="shared" si="42"/>
        <v>386</v>
      </c>
      <c r="T666" s="14">
        <f t="shared" si="43"/>
        <v>0.37621832358674462</v>
      </c>
    </row>
    <row r="667" spans="1:20">
      <c r="A667" t="s">
        <v>1371</v>
      </c>
      <c r="B667" s="8">
        <v>45848</v>
      </c>
      <c r="C667" t="s">
        <v>531</v>
      </c>
      <c r="D667" t="s">
        <v>74</v>
      </c>
      <c r="E667" t="s">
        <v>705</v>
      </c>
      <c r="F667" t="s">
        <v>698</v>
      </c>
      <c r="G667">
        <v>8</v>
      </c>
      <c r="H667" s="9">
        <v>0.1</v>
      </c>
      <c r="I667" t="s">
        <v>699</v>
      </c>
      <c r="J667">
        <v>5</v>
      </c>
      <c r="K667">
        <v>4</v>
      </c>
      <c r="L667" t="str">
        <f>VLOOKUP(D667,Products!A:E,2,FALSE)</f>
        <v>Printer Paper</v>
      </c>
      <c r="M667" t="str">
        <f>VLOOKUP(D667,Products!A:E,3,FALSE)</f>
        <v>Office Supplies</v>
      </c>
      <c r="N667">
        <f>VLOOKUP(D667,Products!A:E,4,FALSE)</f>
        <v>17</v>
      </c>
      <c r="O667" s="13">
        <f>VLOOKUP(D667,Products!A:E,5,FALSE)</f>
        <v>8</v>
      </c>
      <c r="P667" s="13" t="str">
        <f>VLOOKUP(C667,Customers!A:C,3,FALSE)</f>
        <v>Corporate</v>
      </c>
      <c r="Q667" s="13">
        <f t="shared" si="40"/>
        <v>122.4</v>
      </c>
      <c r="R667" s="13">
        <f t="shared" si="41"/>
        <v>64</v>
      </c>
      <c r="S667" s="13">
        <f t="shared" si="42"/>
        <v>58.400000000000006</v>
      </c>
      <c r="T667" s="14">
        <f t="shared" si="43"/>
        <v>0.47712418300653597</v>
      </c>
    </row>
    <row r="668" spans="1:20">
      <c r="A668" t="s">
        <v>1372</v>
      </c>
      <c r="B668" s="8">
        <v>46197</v>
      </c>
      <c r="C668" t="s">
        <v>623</v>
      </c>
      <c r="D668" t="s">
        <v>50</v>
      </c>
      <c r="E668" t="s">
        <v>708</v>
      </c>
      <c r="F668" t="s">
        <v>702</v>
      </c>
      <c r="G668">
        <v>6</v>
      </c>
      <c r="H668" s="9">
        <v>0.05</v>
      </c>
      <c r="I668" t="s">
        <v>699</v>
      </c>
      <c r="J668">
        <v>3</v>
      </c>
      <c r="K668">
        <v>3</v>
      </c>
      <c r="L668" t="str">
        <f>VLOOKUP(D668,Products!A:E,2,FALSE)</f>
        <v>Keyboard</v>
      </c>
      <c r="M668" t="str">
        <f>VLOOKUP(D668,Products!A:E,3,FALSE)</f>
        <v>Technology</v>
      </c>
      <c r="N668">
        <f>VLOOKUP(D668,Products!A:E,4,FALSE)</f>
        <v>75</v>
      </c>
      <c r="O668" s="13">
        <f>VLOOKUP(D668,Products!A:E,5,FALSE)</f>
        <v>38</v>
      </c>
      <c r="P668" s="13" t="str">
        <f>VLOOKUP(C668,Customers!A:C,3,FALSE)</f>
        <v>Corporate</v>
      </c>
      <c r="Q668" s="13">
        <f t="shared" si="40"/>
        <v>427.5</v>
      </c>
      <c r="R668" s="13">
        <f t="shared" si="41"/>
        <v>228</v>
      </c>
      <c r="S668" s="13">
        <f t="shared" si="42"/>
        <v>199.5</v>
      </c>
      <c r="T668" s="14">
        <f t="shared" si="43"/>
        <v>0.46666666666666667</v>
      </c>
    </row>
    <row r="669" spans="1:20">
      <c r="A669" t="s">
        <v>1373</v>
      </c>
      <c r="B669" s="8">
        <v>45912</v>
      </c>
      <c r="C669" t="s">
        <v>621</v>
      </c>
      <c r="D669" t="s">
        <v>74</v>
      </c>
      <c r="E669" t="s">
        <v>708</v>
      </c>
      <c r="F669" t="s">
        <v>702</v>
      </c>
      <c r="G669">
        <v>1</v>
      </c>
      <c r="H669" s="9">
        <v>0</v>
      </c>
      <c r="I669" t="s">
        <v>699</v>
      </c>
      <c r="J669">
        <v>4</v>
      </c>
      <c r="K669">
        <v>1</v>
      </c>
      <c r="L669" t="str">
        <f>VLOOKUP(D669,Products!A:E,2,FALSE)</f>
        <v>Printer Paper</v>
      </c>
      <c r="M669" t="str">
        <f>VLOOKUP(D669,Products!A:E,3,FALSE)</f>
        <v>Office Supplies</v>
      </c>
      <c r="N669">
        <f>VLOOKUP(D669,Products!A:E,4,FALSE)</f>
        <v>17</v>
      </c>
      <c r="O669" s="13">
        <f>VLOOKUP(D669,Products!A:E,5,FALSE)</f>
        <v>8</v>
      </c>
      <c r="P669" s="13" t="str">
        <f>VLOOKUP(C669,Customers!A:C,3,FALSE)</f>
        <v>Small Business</v>
      </c>
      <c r="Q669" s="13">
        <f t="shared" si="40"/>
        <v>17</v>
      </c>
      <c r="R669" s="13">
        <f t="shared" si="41"/>
        <v>8</v>
      </c>
      <c r="S669" s="13">
        <f t="shared" si="42"/>
        <v>9</v>
      </c>
      <c r="T669" s="14">
        <f t="shared" si="43"/>
        <v>0.52941176470588236</v>
      </c>
    </row>
    <row r="670" spans="1:20">
      <c r="A670" t="s">
        <v>1374</v>
      </c>
      <c r="B670" s="8">
        <v>46133</v>
      </c>
      <c r="C670" t="s">
        <v>669</v>
      </c>
      <c r="D670" t="s">
        <v>63</v>
      </c>
      <c r="E670" t="s">
        <v>708</v>
      </c>
      <c r="F670" t="s">
        <v>698</v>
      </c>
      <c r="G670">
        <v>4</v>
      </c>
      <c r="H670" s="9">
        <v>0</v>
      </c>
      <c r="I670" t="s">
        <v>699</v>
      </c>
      <c r="J670">
        <v>4</v>
      </c>
      <c r="K670">
        <v>2</v>
      </c>
      <c r="L670" t="str">
        <f>VLOOKUP(D670,Products!A:E,2,FALSE)</f>
        <v>Bookshelf</v>
      </c>
      <c r="M670" t="str">
        <f>VLOOKUP(D670,Products!A:E,3,FALSE)</f>
        <v>Furniture</v>
      </c>
      <c r="N670">
        <f>VLOOKUP(D670,Products!A:E,4,FALSE)</f>
        <v>185</v>
      </c>
      <c r="O670" s="13">
        <f>VLOOKUP(D670,Products!A:E,5,FALSE)</f>
        <v>105</v>
      </c>
      <c r="P670" s="13" t="str">
        <f>VLOOKUP(C670,Customers!A:C,3,FALSE)</f>
        <v>Corporate</v>
      </c>
      <c r="Q670" s="13">
        <f t="shared" si="40"/>
        <v>740</v>
      </c>
      <c r="R670" s="13">
        <f t="shared" si="41"/>
        <v>420</v>
      </c>
      <c r="S670" s="13">
        <f t="shared" si="42"/>
        <v>320</v>
      </c>
      <c r="T670" s="14">
        <f t="shared" si="43"/>
        <v>0.43243243243243246</v>
      </c>
    </row>
    <row r="671" spans="1:20">
      <c r="A671" t="s">
        <v>1375</v>
      </c>
      <c r="B671" s="8">
        <v>46060</v>
      </c>
      <c r="C671" t="s">
        <v>133</v>
      </c>
      <c r="D671" t="s">
        <v>50</v>
      </c>
      <c r="E671" t="s">
        <v>708</v>
      </c>
      <c r="F671" t="s">
        <v>698</v>
      </c>
      <c r="G671">
        <v>1</v>
      </c>
      <c r="H671" s="9">
        <v>0.1</v>
      </c>
      <c r="I671" t="s">
        <v>699</v>
      </c>
      <c r="J671">
        <v>4</v>
      </c>
      <c r="K671">
        <v>3</v>
      </c>
      <c r="L671" t="str">
        <f>VLOOKUP(D671,Products!A:E,2,FALSE)</f>
        <v>Keyboard</v>
      </c>
      <c r="M671" t="str">
        <f>VLOOKUP(D671,Products!A:E,3,FALSE)</f>
        <v>Technology</v>
      </c>
      <c r="N671">
        <f>VLOOKUP(D671,Products!A:E,4,FALSE)</f>
        <v>75</v>
      </c>
      <c r="O671" s="13">
        <f>VLOOKUP(D671,Products!A:E,5,FALSE)</f>
        <v>38</v>
      </c>
      <c r="P671" s="13" t="str">
        <f>VLOOKUP(C671,Customers!A:C,3,FALSE)</f>
        <v>Consumer</v>
      </c>
      <c r="Q671" s="13">
        <f t="shared" si="40"/>
        <v>67.5</v>
      </c>
      <c r="R671" s="13">
        <f t="shared" si="41"/>
        <v>38</v>
      </c>
      <c r="S671" s="13">
        <f t="shared" si="42"/>
        <v>29.5</v>
      </c>
      <c r="T671" s="14">
        <f t="shared" si="43"/>
        <v>0.43703703703703706</v>
      </c>
    </row>
    <row r="672" spans="1:20">
      <c r="A672" t="s">
        <v>1376</v>
      </c>
      <c r="B672" s="8">
        <v>46007</v>
      </c>
      <c r="C672" t="s">
        <v>277</v>
      </c>
      <c r="D672" t="s">
        <v>58</v>
      </c>
      <c r="E672" t="s">
        <v>705</v>
      </c>
      <c r="F672" t="s">
        <v>698</v>
      </c>
      <c r="G672">
        <v>3</v>
      </c>
      <c r="H672" s="9">
        <v>0.15</v>
      </c>
      <c r="I672" t="s">
        <v>699</v>
      </c>
      <c r="J672">
        <v>4</v>
      </c>
      <c r="K672">
        <v>1</v>
      </c>
      <c r="L672" t="str">
        <f>VLOOKUP(D672,Products!A:E,2,FALSE)</f>
        <v>Standing Desk</v>
      </c>
      <c r="M672" t="str">
        <f>VLOOKUP(D672,Products!A:E,3,FALSE)</f>
        <v>Furniture</v>
      </c>
      <c r="N672">
        <f>VLOOKUP(D672,Products!A:E,4,FALSE)</f>
        <v>540</v>
      </c>
      <c r="O672" s="13">
        <f>VLOOKUP(D672,Products!A:E,5,FALSE)</f>
        <v>320</v>
      </c>
      <c r="P672" s="13" t="str">
        <f>VLOOKUP(C672,Customers!A:C,3,FALSE)</f>
        <v>Consumer</v>
      </c>
      <c r="Q672" s="13">
        <f t="shared" si="40"/>
        <v>1377</v>
      </c>
      <c r="R672" s="13">
        <f t="shared" si="41"/>
        <v>960</v>
      </c>
      <c r="S672" s="13">
        <f t="shared" si="42"/>
        <v>417</v>
      </c>
      <c r="T672" s="14">
        <f t="shared" si="43"/>
        <v>0.30283224400871461</v>
      </c>
    </row>
    <row r="673" spans="1:20">
      <c r="A673" t="s">
        <v>1377</v>
      </c>
      <c r="B673" s="8">
        <v>46062</v>
      </c>
      <c r="C673" t="s">
        <v>205</v>
      </c>
      <c r="D673" t="s">
        <v>45</v>
      </c>
      <c r="E673" t="s">
        <v>705</v>
      </c>
      <c r="F673" t="s">
        <v>702</v>
      </c>
      <c r="G673">
        <v>3</v>
      </c>
      <c r="H673" s="9">
        <v>0.15</v>
      </c>
      <c r="I673" t="s">
        <v>703</v>
      </c>
      <c r="J673">
        <v>4</v>
      </c>
      <c r="K673">
        <v>7</v>
      </c>
      <c r="L673" t="str">
        <f>VLOOKUP(D673,Products!A:E,2,FALSE)</f>
        <v>Laptop</v>
      </c>
      <c r="M673" t="str">
        <f>VLOOKUP(D673,Products!A:E,3,FALSE)</f>
        <v>Technology</v>
      </c>
      <c r="N673">
        <f>VLOOKUP(D673,Products!A:E,4,FALSE)</f>
        <v>1100</v>
      </c>
      <c r="O673" s="13">
        <f>VLOOKUP(D673,Products!A:E,5,FALSE)</f>
        <v>720</v>
      </c>
      <c r="P673" s="13" t="str">
        <f>VLOOKUP(C673,Customers!A:C,3,FALSE)</f>
        <v>Consumer</v>
      </c>
      <c r="Q673" s="13">
        <f t="shared" si="40"/>
        <v>2805</v>
      </c>
      <c r="R673" s="13">
        <f t="shared" si="41"/>
        <v>2160</v>
      </c>
      <c r="S673" s="13">
        <f t="shared" si="42"/>
        <v>645</v>
      </c>
      <c r="T673" s="14">
        <f t="shared" si="43"/>
        <v>0.22994652406417113</v>
      </c>
    </row>
    <row r="674" spans="1:20">
      <c r="A674" t="s">
        <v>1378</v>
      </c>
      <c r="B674" s="8">
        <v>46027</v>
      </c>
      <c r="C674" t="s">
        <v>491</v>
      </c>
      <c r="D674" t="s">
        <v>65</v>
      </c>
      <c r="E674" t="s">
        <v>705</v>
      </c>
      <c r="F674" t="s">
        <v>702</v>
      </c>
      <c r="G674">
        <v>1</v>
      </c>
      <c r="H674" s="9">
        <v>0.1</v>
      </c>
      <c r="I674" t="s">
        <v>699</v>
      </c>
      <c r="J674">
        <v>3</v>
      </c>
      <c r="K674">
        <v>1</v>
      </c>
      <c r="L674" t="str">
        <f>VLOOKUP(D674,Products!A:E,2,FALSE)</f>
        <v>Laptop Stand</v>
      </c>
      <c r="M674" t="str">
        <f>VLOOKUP(D674,Products!A:E,3,FALSE)</f>
        <v>Accessories</v>
      </c>
      <c r="N674">
        <f>VLOOKUP(D674,Products!A:E,4,FALSE)</f>
        <v>48</v>
      </c>
      <c r="O674" s="13">
        <f>VLOOKUP(D674,Products!A:E,5,FALSE)</f>
        <v>22</v>
      </c>
      <c r="P674" s="13" t="str">
        <f>VLOOKUP(C674,Customers!A:C,3,FALSE)</f>
        <v>Small Business</v>
      </c>
      <c r="Q674" s="13">
        <f t="shared" si="40"/>
        <v>43.2</v>
      </c>
      <c r="R674" s="13">
        <f t="shared" si="41"/>
        <v>22</v>
      </c>
      <c r="S674" s="13">
        <f t="shared" si="42"/>
        <v>21.200000000000003</v>
      </c>
      <c r="T674" s="14">
        <f t="shared" si="43"/>
        <v>0.49074074074074076</v>
      </c>
    </row>
    <row r="675" spans="1:20">
      <c r="A675" t="s">
        <v>1379</v>
      </c>
      <c r="B675" s="8">
        <v>45872</v>
      </c>
      <c r="C675" t="s">
        <v>579</v>
      </c>
      <c r="D675" t="s">
        <v>54</v>
      </c>
      <c r="E675" t="s">
        <v>701</v>
      </c>
      <c r="F675" t="s">
        <v>702</v>
      </c>
      <c r="G675">
        <v>3</v>
      </c>
      <c r="H675" s="9">
        <v>0.1</v>
      </c>
      <c r="I675" t="s">
        <v>699</v>
      </c>
      <c r="J675">
        <v>4</v>
      </c>
      <c r="K675">
        <v>4</v>
      </c>
      <c r="L675" t="str">
        <f>VLOOKUP(D675,Products!A:E,2,FALSE)</f>
        <v>Webcam</v>
      </c>
      <c r="M675" t="str">
        <f>VLOOKUP(D675,Products!A:E,3,FALSE)</f>
        <v>Technology</v>
      </c>
      <c r="N675">
        <f>VLOOKUP(D675,Products!A:E,4,FALSE)</f>
        <v>115</v>
      </c>
      <c r="O675" s="13">
        <f>VLOOKUP(D675,Products!A:E,5,FALSE)</f>
        <v>58</v>
      </c>
      <c r="P675" s="13" t="str">
        <f>VLOOKUP(C675,Customers!A:C,3,FALSE)</f>
        <v>Consumer</v>
      </c>
      <c r="Q675" s="13">
        <f t="shared" si="40"/>
        <v>310.5</v>
      </c>
      <c r="R675" s="13">
        <f t="shared" si="41"/>
        <v>174</v>
      </c>
      <c r="S675" s="13">
        <f t="shared" si="42"/>
        <v>136.5</v>
      </c>
      <c r="T675" s="14">
        <f t="shared" si="43"/>
        <v>0.43961352657004832</v>
      </c>
    </row>
    <row r="676" spans="1:20">
      <c r="A676" t="s">
        <v>1380</v>
      </c>
      <c r="B676" s="8">
        <v>45809</v>
      </c>
      <c r="C676" t="s">
        <v>571</v>
      </c>
      <c r="D676" t="s">
        <v>74</v>
      </c>
      <c r="E676" t="s">
        <v>705</v>
      </c>
      <c r="F676" t="s">
        <v>702</v>
      </c>
      <c r="G676">
        <v>1</v>
      </c>
      <c r="H676" s="9">
        <v>0.1</v>
      </c>
      <c r="I676" t="s">
        <v>703</v>
      </c>
      <c r="J676">
        <v>4</v>
      </c>
      <c r="K676">
        <v>6</v>
      </c>
      <c r="L676" t="str">
        <f>VLOOKUP(D676,Products!A:E,2,FALSE)</f>
        <v>Printer Paper</v>
      </c>
      <c r="M676" t="str">
        <f>VLOOKUP(D676,Products!A:E,3,FALSE)</f>
        <v>Office Supplies</v>
      </c>
      <c r="N676">
        <f>VLOOKUP(D676,Products!A:E,4,FALSE)</f>
        <v>17</v>
      </c>
      <c r="O676" s="13">
        <f>VLOOKUP(D676,Products!A:E,5,FALSE)</f>
        <v>8</v>
      </c>
      <c r="P676" s="13" t="str">
        <f>VLOOKUP(C676,Customers!A:C,3,FALSE)</f>
        <v>Corporate</v>
      </c>
      <c r="Q676" s="13">
        <f t="shared" si="40"/>
        <v>15.3</v>
      </c>
      <c r="R676" s="13">
        <f t="shared" si="41"/>
        <v>8</v>
      </c>
      <c r="S676" s="13">
        <f t="shared" si="42"/>
        <v>7.3000000000000007</v>
      </c>
      <c r="T676" s="14">
        <f t="shared" si="43"/>
        <v>0.47712418300653597</v>
      </c>
    </row>
    <row r="677" spans="1:20">
      <c r="A677" t="s">
        <v>1381</v>
      </c>
      <c r="B677" s="8">
        <v>45864</v>
      </c>
      <c r="C677" t="s">
        <v>387</v>
      </c>
      <c r="D677" t="s">
        <v>72</v>
      </c>
      <c r="E677" t="s">
        <v>705</v>
      </c>
      <c r="F677" t="s">
        <v>702</v>
      </c>
      <c r="G677">
        <v>3</v>
      </c>
      <c r="H677" s="9">
        <v>0.1</v>
      </c>
      <c r="I677" t="s">
        <v>703</v>
      </c>
      <c r="J677">
        <v>5</v>
      </c>
      <c r="K677">
        <v>8</v>
      </c>
      <c r="L677" t="str">
        <f>VLOOKUP(D677,Products!A:E,2,FALSE)</f>
        <v>Phone Charger</v>
      </c>
      <c r="M677" t="str">
        <f>VLOOKUP(D677,Products!A:E,3,FALSE)</f>
        <v>Accessories</v>
      </c>
      <c r="N677">
        <f>VLOOKUP(D677,Products!A:E,4,FALSE)</f>
        <v>32</v>
      </c>
      <c r="O677" s="13">
        <f>VLOOKUP(D677,Products!A:E,5,FALSE)</f>
        <v>13</v>
      </c>
      <c r="P677" s="13" t="str">
        <f>VLOOKUP(C677,Customers!A:C,3,FALSE)</f>
        <v>Small Business</v>
      </c>
      <c r="Q677" s="13">
        <f t="shared" si="40"/>
        <v>86.4</v>
      </c>
      <c r="R677" s="13">
        <f t="shared" si="41"/>
        <v>39</v>
      </c>
      <c r="S677" s="13">
        <f t="shared" si="42"/>
        <v>47.400000000000006</v>
      </c>
      <c r="T677" s="14">
        <f t="shared" si="43"/>
        <v>0.54861111111111116</v>
      </c>
    </row>
    <row r="678" spans="1:20">
      <c r="A678" t="s">
        <v>1382</v>
      </c>
      <c r="B678" s="8">
        <v>45695</v>
      </c>
      <c r="C678" t="s">
        <v>585</v>
      </c>
      <c r="D678" t="s">
        <v>72</v>
      </c>
      <c r="E678" t="s">
        <v>715</v>
      </c>
      <c r="F678" t="s">
        <v>698</v>
      </c>
      <c r="G678">
        <v>3</v>
      </c>
      <c r="H678" s="9">
        <v>0.1</v>
      </c>
      <c r="I678" t="s">
        <v>699</v>
      </c>
      <c r="J678">
        <v>4</v>
      </c>
      <c r="K678">
        <v>1</v>
      </c>
      <c r="L678" t="str">
        <f>VLOOKUP(D678,Products!A:E,2,FALSE)</f>
        <v>Phone Charger</v>
      </c>
      <c r="M678" t="str">
        <f>VLOOKUP(D678,Products!A:E,3,FALSE)</f>
        <v>Accessories</v>
      </c>
      <c r="N678">
        <f>VLOOKUP(D678,Products!A:E,4,FALSE)</f>
        <v>32</v>
      </c>
      <c r="O678" s="13">
        <f>VLOOKUP(D678,Products!A:E,5,FALSE)</f>
        <v>13</v>
      </c>
      <c r="P678" s="13" t="str">
        <f>VLOOKUP(C678,Customers!A:C,3,FALSE)</f>
        <v>Consumer</v>
      </c>
      <c r="Q678" s="13">
        <f t="shared" si="40"/>
        <v>86.4</v>
      </c>
      <c r="R678" s="13">
        <f t="shared" si="41"/>
        <v>39</v>
      </c>
      <c r="S678" s="13">
        <f t="shared" si="42"/>
        <v>47.400000000000006</v>
      </c>
      <c r="T678" s="14">
        <f t="shared" si="43"/>
        <v>0.54861111111111116</v>
      </c>
    </row>
    <row r="679" spans="1:20">
      <c r="A679" t="s">
        <v>1383</v>
      </c>
      <c r="B679" s="8">
        <v>46198</v>
      </c>
      <c r="C679" t="s">
        <v>105</v>
      </c>
      <c r="D679" t="s">
        <v>74</v>
      </c>
      <c r="E679" t="s">
        <v>715</v>
      </c>
      <c r="F679" t="s">
        <v>698</v>
      </c>
      <c r="G679">
        <v>1</v>
      </c>
      <c r="H679" s="9">
        <v>0.05</v>
      </c>
      <c r="I679" t="s">
        <v>699</v>
      </c>
      <c r="J679">
        <v>3</v>
      </c>
      <c r="K679">
        <v>5</v>
      </c>
      <c r="L679" t="str">
        <f>VLOOKUP(D679,Products!A:E,2,FALSE)</f>
        <v>Printer Paper</v>
      </c>
      <c r="M679" t="str">
        <f>VLOOKUP(D679,Products!A:E,3,FALSE)</f>
        <v>Office Supplies</v>
      </c>
      <c r="N679">
        <f>VLOOKUP(D679,Products!A:E,4,FALSE)</f>
        <v>17</v>
      </c>
      <c r="O679" s="13">
        <f>VLOOKUP(D679,Products!A:E,5,FALSE)</f>
        <v>8</v>
      </c>
      <c r="P679" s="13" t="str">
        <f>VLOOKUP(C679,Customers!A:C,3,FALSE)</f>
        <v>Consumer</v>
      </c>
      <c r="Q679" s="13">
        <f t="shared" si="40"/>
        <v>16.149999999999999</v>
      </c>
      <c r="R679" s="13">
        <f t="shared" si="41"/>
        <v>8</v>
      </c>
      <c r="S679" s="13">
        <f t="shared" si="42"/>
        <v>8.1499999999999986</v>
      </c>
      <c r="T679" s="14">
        <f t="shared" si="43"/>
        <v>0.50464396284829716</v>
      </c>
    </row>
    <row r="680" spans="1:20">
      <c r="A680" t="s">
        <v>1384</v>
      </c>
      <c r="B680" s="8">
        <v>46013</v>
      </c>
      <c r="C680" t="s">
        <v>545</v>
      </c>
      <c r="D680" t="s">
        <v>74</v>
      </c>
      <c r="E680" t="s">
        <v>705</v>
      </c>
      <c r="F680" t="s">
        <v>702</v>
      </c>
      <c r="G680">
        <v>1</v>
      </c>
      <c r="H680" s="9">
        <v>0</v>
      </c>
      <c r="I680" t="s">
        <v>699</v>
      </c>
      <c r="J680">
        <v>3</v>
      </c>
      <c r="K680">
        <v>3</v>
      </c>
      <c r="L680" t="str">
        <f>VLOOKUP(D680,Products!A:E,2,FALSE)</f>
        <v>Printer Paper</v>
      </c>
      <c r="M680" t="str">
        <f>VLOOKUP(D680,Products!A:E,3,FALSE)</f>
        <v>Office Supplies</v>
      </c>
      <c r="N680">
        <f>VLOOKUP(D680,Products!A:E,4,FALSE)</f>
        <v>17</v>
      </c>
      <c r="O680" s="13">
        <f>VLOOKUP(D680,Products!A:E,5,FALSE)</f>
        <v>8</v>
      </c>
      <c r="P680" s="13" t="str">
        <f>VLOOKUP(C680,Customers!A:C,3,FALSE)</f>
        <v>Small Business</v>
      </c>
      <c r="Q680" s="13">
        <f t="shared" si="40"/>
        <v>17</v>
      </c>
      <c r="R680" s="13">
        <f t="shared" si="41"/>
        <v>8</v>
      </c>
      <c r="S680" s="13">
        <f t="shared" si="42"/>
        <v>9</v>
      </c>
      <c r="T680" s="14">
        <f t="shared" si="43"/>
        <v>0.52941176470588236</v>
      </c>
    </row>
    <row r="681" spans="1:20">
      <c r="A681" t="s">
        <v>1385</v>
      </c>
      <c r="B681" s="8">
        <v>46137</v>
      </c>
      <c r="C681" t="s">
        <v>221</v>
      </c>
      <c r="D681" t="s">
        <v>65</v>
      </c>
      <c r="E681" t="s">
        <v>701</v>
      </c>
      <c r="F681" t="s">
        <v>702</v>
      </c>
      <c r="G681">
        <v>2</v>
      </c>
      <c r="H681" s="9">
        <v>0.2</v>
      </c>
      <c r="I681" t="s">
        <v>699</v>
      </c>
      <c r="J681">
        <v>4</v>
      </c>
      <c r="K681">
        <v>4</v>
      </c>
      <c r="L681" t="str">
        <f>VLOOKUP(D681,Products!A:E,2,FALSE)</f>
        <v>Laptop Stand</v>
      </c>
      <c r="M681" t="str">
        <f>VLOOKUP(D681,Products!A:E,3,FALSE)</f>
        <v>Accessories</v>
      </c>
      <c r="N681">
        <f>VLOOKUP(D681,Products!A:E,4,FALSE)</f>
        <v>48</v>
      </c>
      <c r="O681" s="13">
        <f>VLOOKUP(D681,Products!A:E,5,FALSE)</f>
        <v>22</v>
      </c>
      <c r="P681" s="13" t="str">
        <f>VLOOKUP(C681,Customers!A:C,3,FALSE)</f>
        <v>Consumer</v>
      </c>
      <c r="Q681" s="13">
        <f t="shared" si="40"/>
        <v>76.800000000000011</v>
      </c>
      <c r="R681" s="13">
        <f t="shared" si="41"/>
        <v>44</v>
      </c>
      <c r="S681" s="13">
        <f t="shared" si="42"/>
        <v>32.800000000000011</v>
      </c>
      <c r="T681" s="14">
        <f t="shared" si="43"/>
        <v>0.42708333333333343</v>
      </c>
    </row>
    <row r="682" spans="1:20">
      <c r="A682" t="s">
        <v>1386</v>
      </c>
      <c r="B682" s="8">
        <v>45823</v>
      </c>
      <c r="C682" t="s">
        <v>299</v>
      </c>
      <c r="D682" t="s">
        <v>65</v>
      </c>
      <c r="E682" t="s">
        <v>701</v>
      </c>
      <c r="F682" t="s">
        <v>702</v>
      </c>
      <c r="G682">
        <v>2</v>
      </c>
      <c r="H682" s="9">
        <v>0</v>
      </c>
      <c r="I682" t="s">
        <v>699</v>
      </c>
      <c r="J682">
        <v>4</v>
      </c>
      <c r="K682">
        <v>4</v>
      </c>
      <c r="L682" t="str">
        <f>VLOOKUP(D682,Products!A:E,2,FALSE)</f>
        <v>Laptop Stand</v>
      </c>
      <c r="M682" t="str">
        <f>VLOOKUP(D682,Products!A:E,3,FALSE)</f>
        <v>Accessories</v>
      </c>
      <c r="N682">
        <f>VLOOKUP(D682,Products!A:E,4,FALSE)</f>
        <v>48</v>
      </c>
      <c r="O682" s="13">
        <f>VLOOKUP(D682,Products!A:E,5,FALSE)</f>
        <v>22</v>
      </c>
      <c r="P682" s="13" t="str">
        <f>VLOOKUP(C682,Customers!A:C,3,FALSE)</f>
        <v>Consumer</v>
      </c>
      <c r="Q682" s="13">
        <f t="shared" si="40"/>
        <v>96</v>
      </c>
      <c r="R682" s="13">
        <f t="shared" si="41"/>
        <v>44</v>
      </c>
      <c r="S682" s="13">
        <f t="shared" si="42"/>
        <v>52</v>
      </c>
      <c r="T682" s="14">
        <f t="shared" si="43"/>
        <v>0.54166666666666663</v>
      </c>
    </row>
    <row r="683" spans="1:20">
      <c r="A683" t="s">
        <v>1387</v>
      </c>
      <c r="B683" s="8">
        <v>46163</v>
      </c>
      <c r="C683" t="s">
        <v>397</v>
      </c>
      <c r="D683" t="s">
        <v>61</v>
      </c>
      <c r="E683" t="s">
        <v>705</v>
      </c>
      <c r="F683" t="s">
        <v>702</v>
      </c>
      <c r="G683">
        <v>1</v>
      </c>
      <c r="H683" s="9">
        <v>0.15</v>
      </c>
      <c r="I683" t="s">
        <v>699</v>
      </c>
      <c r="J683">
        <v>3</v>
      </c>
      <c r="K683">
        <v>5</v>
      </c>
      <c r="L683" t="str">
        <f>VLOOKUP(D683,Products!A:E,2,FALSE)</f>
        <v>Office Chair</v>
      </c>
      <c r="M683" t="str">
        <f>VLOOKUP(D683,Products!A:E,3,FALSE)</f>
        <v>Furniture</v>
      </c>
      <c r="N683">
        <f>VLOOKUP(D683,Products!A:E,4,FALSE)</f>
        <v>255</v>
      </c>
      <c r="O683" s="13">
        <f>VLOOKUP(D683,Products!A:E,5,FALSE)</f>
        <v>145</v>
      </c>
      <c r="P683" s="13" t="str">
        <f>VLOOKUP(C683,Customers!A:C,3,FALSE)</f>
        <v>Consumer</v>
      </c>
      <c r="Q683" s="13">
        <f t="shared" si="40"/>
        <v>216.75</v>
      </c>
      <c r="R683" s="13">
        <f t="shared" si="41"/>
        <v>145</v>
      </c>
      <c r="S683" s="13">
        <f t="shared" si="42"/>
        <v>71.75</v>
      </c>
      <c r="T683" s="14">
        <f t="shared" si="43"/>
        <v>0.33102652825836215</v>
      </c>
    </row>
    <row r="684" spans="1:20">
      <c r="A684" t="s">
        <v>1388</v>
      </c>
      <c r="B684" s="8">
        <v>45690</v>
      </c>
      <c r="C684" t="s">
        <v>151</v>
      </c>
      <c r="D684" t="s">
        <v>68</v>
      </c>
      <c r="E684" t="s">
        <v>715</v>
      </c>
      <c r="F684" t="s">
        <v>698</v>
      </c>
      <c r="G684">
        <v>1</v>
      </c>
      <c r="H684" s="9">
        <v>0</v>
      </c>
      <c r="I684" t="s">
        <v>699</v>
      </c>
      <c r="J684">
        <v>4</v>
      </c>
      <c r="K684">
        <v>3</v>
      </c>
      <c r="L684" t="str">
        <f>VLOOKUP(D684,Products!A:E,2,FALSE)</f>
        <v>Backpack</v>
      </c>
      <c r="M684" t="str">
        <f>VLOOKUP(D684,Products!A:E,3,FALSE)</f>
        <v>Accessories</v>
      </c>
      <c r="N684">
        <f>VLOOKUP(D684,Products!A:E,4,FALSE)</f>
        <v>85</v>
      </c>
      <c r="O684" s="13">
        <f>VLOOKUP(D684,Products!A:E,5,FALSE)</f>
        <v>39</v>
      </c>
      <c r="P684" s="13" t="str">
        <f>VLOOKUP(C684,Customers!A:C,3,FALSE)</f>
        <v>Corporate</v>
      </c>
      <c r="Q684" s="13">
        <f t="shared" si="40"/>
        <v>85</v>
      </c>
      <c r="R684" s="13">
        <f t="shared" si="41"/>
        <v>39</v>
      </c>
      <c r="S684" s="13">
        <f t="shared" si="42"/>
        <v>46</v>
      </c>
      <c r="T684" s="14">
        <f t="shared" si="43"/>
        <v>0.54117647058823526</v>
      </c>
    </row>
    <row r="685" spans="1:20">
      <c r="A685" t="s">
        <v>1389</v>
      </c>
      <c r="B685" s="8">
        <v>45705</v>
      </c>
      <c r="C685" t="s">
        <v>657</v>
      </c>
      <c r="D685" t="s">
        <v>63</v>
      </c>
      <c r="E685" t="s">
        <v>697</v>
      </c>
      <c r="F685" t="s">
        <v>706</v>
      </c>
      <c r="G685">
        <v>5</v>
      </c>
      <c r="H685" s="9">
        <v>0.05</v>
      </c>
      <c r="I685" t="s">
        <v>699</v>
      </c>
      <c r="J685">
        <v>2</v>
      </c>
      <c r="K685">
        <v>8</v>
      </c>
      <c r="L685" t="str">
        <f>VLOOKUP(D685,Products!A:E,2,FALSE)</f>
        <v>Bookshelf</v>
      </c>
      <c r="M685" t="str">
        <f>VLOOKUP(D685,Products!A:E,3,FALSE)</f>
        <v>Furniture</v>
      </c>
      <c r="N685">
        <f>VLOOKUP(D685,Products!A:E,4,FALSE)</f>
        <v>185</v>
      </c>
      <c r="O685" s="13">
        <f>VLOOKUP(D685,Products!A:E,5,FALSE)</f>
        <v>105</v>
      </c>
      <c r="P685" s="13" t="str">
        <f>VLOOKUP(C685,Customers!A:C,3,FALSE)</f>
        <v>Small Business</v>
      </c>
      <c r="Q685" s="13">
        <f t="shared" si="40"/>
        <v>878.75</v>
      </c>
      <c r="R685" s="13">
        <f t="shared" si="41"/>
        <v>525</v>
      </c>
      <c r="S685" s="13">
        <f t="shared" si="42"/>
        <v>353.75</v>
      </c>
      <c r="T685" s="14">
        <f t="shared" si="43"/>
        <v>0.40256045519203415</v>
      </c>
    </row>
    <row r="686" spans="1:20">
      <c r="A686" t="s">
        <v>1390</v>
      </c>
      <c r="B686" s="8">
        <v>45771</v>
      </c>
      <c r="C686" t="s">
        <v>195</v>
      </c>
      <c r="D686" t="s">
        <v>52</v>
      </c>
      <c r="E686" t="s">
        <v>697</v>
      </c>
      <c r="F686" t="s">
        <v>702</v>
      </c>
      <c r="G686">
        <v>1</v>
      </c>
      <c r="H686" s="9">
        <v>0.05</v>
      </c>
      <c r="I686" t="s">
        <v>699</v>
      </c>
      <c r="J686">
        <v>5</v>
      </c>
      <c r="K686">
        <v>2</v>
      </c>
      <c r="L686" t="str">
        <f>VLOOKUP(D686,Products!A:E,2,FALSE)</f>
        <v>Mouse</v>
      </c>
      <c r="M686" t="str">
        <f>VLOOKUP(D686,Products!A:E,3,FALSE)</f>
        <v>Technology</v>
      </c>
      <c r="N686">
        <f>VLOOKUP(D686,Products!A:E,4,FALSE)</f>
        <v>42</v>
      </c>
      <c r="O686" s="13">
        <f>VLOOKUP(D686,Products!A:E,5,FALSE)</f>
        <v>19</v>
      </c>
      <c r="P686" s="13" t="str">
        <f>VLOOKUP(C686,Customers!A:C,3,FALSE)</f>
        <v>Corporate</v>
      </c>
      <c r="Q686" s="13">
        <f t="shared" si="40"/>
        <v>39.9</v>
      </c>
      <c r="R686" s="13">
        <f t="shared" si="41"/>
        <v>19</v>
      </c>
      <c r="S686" s="13">
        <f t="shared" si="42"/>
        <v>20.9</v>
      </c>
      <c r="T686" s="14">
        <f t="shared" si="43"/>
        <v>0.52380952380952384</v>
      </c>
    </row>
    <row r="687" spans="1:20">
      <c r="A687" t="s">
        <v>1391</v>
      </c>
      <c r="B687" s="8">
        <v>45957</v>
      </c>
      <c r="C687" t="s">
        <v>539</v>
      </c>
      <c r="D687" t="s">
        <v>79</v>
      </c>
      <c r="E687" t="s">
        <v>701</v>
      </c>
      <c r="F687" t="s">
        <v>702</v>
      </c>
      <c r="G687">
        <v>3</v>
      </c>
      <c r="H687" s="9">
        <v>0</v>
      </c>
      <c r="I687" t="s">
        <v>699</v>
      </c>
      <c r="J687">
        <v>5</v>
      </c>
      <c r="K687">
        <v>4</v>
      </c>
      <c r="L687" t="str">
        <f>VLOOKUP(D687,Products!A:E,2,FALSE)</f>
        <v>Desk Organiser</v>
      </c>
      <c r="M687" t="str">
        <f>VLOOKUP(D687,Products!A:E,3,FALSE)</f>
        <v>Office Supplies</v>
      </c>
      <c r="N687">
        <f>VLOOKUP(D687,Products!A:E,4,FALSE)</f>
        <v>28</v>
      </c>
      <c r="O687" s="13">
        <f>VLOOKUP(D687,Products!A:E,5,FALSE)</f>
        <v>12</v>
      </c>
      <c r="P687" s="13" t="str">
        <f>VLOOKUP(C687,Customers!A:C,3,FALSE)</f>
        <v>Corporate</v>
      </c>
      <c r="Q687" s="13">
        <f t="shared" si="40"/>
        <v>84</v>
      </c>
      <c r="R687" s="13">
        <f t="shared" si="41"/>
        <v>36</v>
      </c>
      <c r="S687" s="13">
        <f t="shared" si="42"/>
        <v>48</v>
      </c>
      <c r="T687" s="14">
        <f t="shared" si="43"/>
        <v>0.5714285714285714</v>
      </c>
    </row>
    <row r="688" spans="1:20">
      <c r="A688" t="s">
        <v>1392</v>
      </c>
      <c r="B688" s="8">
        <v>46083</v>
      </c>
      <c r="C688" t="s">
        <v>92</v>
      </c>
      <c r="D688" t="s">
        <v>61</v>
      </c>
      <c r="E688" t="s">
        <v>697</v>
      </c>
      <c r="F688" t="s">
        <v>702</v>
      </c>
      <c r="G688">
        <v>1</v>
      </c>
      <c r="H688" s="9">
        <v>0</v>
      </c>
      <c r="I688" t="s">
        <v>699</v>
      </c>
      <c r="J688">
        <v>5</v>
      </c>
      <c r="K688">
        <v>4</v>
      </c>
      <c r="L688" t="str">
        <f>VLOOKUP(D688,Products!A:E,2,FALSE)</f>
        <v>Office Chair</v>
      </c>
      <c r="M688" t="str">
        <f>VLOOKUP(D688,Products!A:E,3,FALSE)</f>
        <v>Furniture</v>
      </c>
      <c r="N688">
        <f>VLOOKUP(D688,Products!A:E,4,FALSE)</f>
        <v>255</v>
      </c>
      <c r="O688" s="13">
        <f>VLOOKUP(D688,Products!A:E,5,FALSE)</f>
        <v>145</v>
      </c>
      <c r="P688" s="13" t="str">
        <f>VLOOKUP(C688,Customers!A:C,3,FALSE)</f>
        <v>Consumer</v>
      </c>
      <c r="Q688" s="13">
        <f t="shared" si="40"/>
        <v>255</v>
      </c>
      <c r="R688" s="13">
        <f t="shared" si="41"/>
        <v>145</v>
      </c>
      <c r="S688" s="13">
        <f t="shared" si="42"/>
        <v>110</v>
      </c>
      <c r="T688" s="14">
        <f t="shared" si="43"/>
        <v>0.43137254901960786</v>
      </c>
    </row>
    <row r="689" spans="1:20">
      <c r="A689" t="s">
        <v>1393</v>
      </c>
      <c r="B689" s="8">
        <v>46027</v>
      </c>
      <c r="C689" t="s">
        <v>337</v>
      </c>
      <c r="D689" t="s">
        <v>54</v>
      </c>
      <c r="E689" t="s">
        <v>701</v>
      </c>
      <c r="F689" t="s">
        <v>698</v>
      </c>
      <c r="G689">
        <v>4</v>
      </c>
      <c r="H689" s="9">
        <v>0</v>
      </c>
      <c r="I689" t="s">
        <v>699</v>
      </c>
      <c r="J689">
        <v>5</v>
      </c>
      <c r="K689">
        <v>4</v>
      </c>
      <c r="L689" t="str">
        <f>VLOOKUP(D689,Products!A:E,2,FALSE)</f>
        <v>Webcam</v>
      </c>
      <c r="M689" t="str">
        <f>VLOOKUP(D689,Products!A:E,3,FALSE)</f>
        <v>Technology</v>
      </c>
      <c r="N689">
        <f>VLOOKUP(D689,Products!A:E,4,FALSE)</f>
        <v>115</v>
      </c>
      <c r="O689" s="13">
        <f>VLOOKUP(D689,Products!A:E,5,FALSE)</f>
        <v>58</v>
      </c>
      <c r="P689" s="13" t="str">
        <f>VLOOKUP(C689,Customers!A:C,3,FALSE)</f>
        <v>Consumer</v>
      </c>
      <c r="Q689" s="13">
        <f t="shared" si="40"/>
        <v>460</v>
      </c>
      <c r="R689" s="13">
        <f t="shared" si="41"/>
        <v>232</v>
      </c>
      <c r="S689" s="13">
        <f t="shared" si="42"/>
        <v>228</v>
      </c>
      <c r="T689" s="14">
        <f t="shared" si="43"/>
        <v>0.4956521739130435</v>
      </c>
    </row>
    <row r="690" spans="1:20">
      <c r="A690" t="s">
        <v>1394</v>
      </c>
      <c r="B690" s="8">
        <v>46186</v>
      </c>
      <c r="C690" t="s">
        <v>457</v>
      </c>
      <c r="D690" t="s">
        <v>45</v>
      </c>
      <c r="E690" t="s">
        <v>715</v>
      </c>
      <c r="F690" t="s">
        <v>698</v>
      </c>
      <c r="G690">
        <v>4</v>
      </c>
      <c r="H690" s="9">
        <v>0.05</v>
      </c>
      <c r="I690" t="s">
        <v>699</v>
      </c>
      <c r="J690">
        <v>4</v>
      </c>
      <c r="K690">
        <v>4</v>
      </c>
      <c r="L690" t="str">
        <f>VLOOKUP(D690,Products!A:E,2,FALSE)</f>
        <v>Laptop</v>
      </c>
      <c r="M690" t="str">
        <f>VLOOKUP(D690,Products!A:E,3,FALSE)</f>
        <v>Technology</v>
      </c>
      <c r="N690">
        <f>VLOOKUP(D690,Products!A:E,4,FALSE)</f>
        <v>1100</v>
      </c>
      <c r="O690" s="13">
        <f>VLOOKUP(D690,Products!A:E,5,FALSE)</f>
        <v>720</v>
      </c>
      <c r="P690" s="13" t="str">
        <f>VLOOKUP(C690,Customers!A:C,3,FALSE)</f>
        <v>Consumer</v>
      </c>
      <c r="Q690" s="13">
        <f t="shared" si="40"/>
        <v>4180</v>
      </c>
      <c r="R690" s="13">
        <f t="shared" si="41"/>
        <v>2880</v>
      </c>
      <c r="S690" s="13">
        <f t="shared" si="42"/>
        <v>1300</v>
      </c>
      <c r="T690" s="14">
        <f t="shared" si="43"/>
        <v>0.31100478468899523</v>
      </c>
    </row>
    <row r="691" spans="1:20">
      <c r="A691" t="s">
        <v>1395</v>
      </c>
      <c r="B691" s="8">
        <v>45826</v>
      </c>
      <c r="C691" t="s">
        <v>531</v>
      </c>
      <c r="D691" t="s">
        <v>48</v>
      </c>
      <c r="E691" t="s">
        <v>708</v>
      </c>
      <c r="F691" t="s">
        <v>702</v>
      </c>
      <c r="G691">
        <v>6</v>
      </c>
      <c r="H691" s="9">
        <v>0</v>
      </c>
      <c r="I691" t="s">
        <v>699</v>
      </c>
      <c r="J691">
        <v>5</v>
      </c>
      <c r="K691">
        <v>5</v>
      </c>
      <c r="L691" t="str">
        <f>VLOOKUP(D691,Products!A:E,2,FALSE)</f>
        <v>Monitor</v>
      </c>
      <c r="M691" t="str">
        <f>VLOOKUP(D691,Products!A:E,3,FALSE)</f>
        <v>Technology</v>
      </c>
      <c r="N691">
        <f>VLOOKUP(D691,Products!A:E,4,FALSE)</f>
        <v>310</v>
      </c>
      <c r="O691" s="13">
        <f>VLOOKUP(D691,Products!A:E,5,FALSE)</f>
        <v>190</v>
      </c>
      <c r="P691" s="13" t="str">
        <f>VLOOKUP(C691,Customers!A:C,3,FALSE)</f>
        <v>Corporate</v>
      </c>
      <c r="Q691" s="13">
        <f t="shared" si="40"/>
        <v>1860</v>
      </c>
      <c r="R691" s="13">
        <f t="shared" si="41"/>
        <v>1140</v>
      </c>
      <c r="S691" s="13">
        <f t="shared" si="42"/>
        <v>720</v>
      </c>
      <c r="T691" s="14">
        <f t="shared" si="43"/>
        <v>0.38709677419354838</v>
      </c>
    </row>
    <row r="692" spans="1:20">
      <c r="A692" t="s">
        <v>1396</v>
      </c>
      <c r="B692" s="8">
        <v>45960</v>
      </c>
      <c r="C692" t="s">
        <v>515</v>
      </c>
      <c r="D692" t="s">
        <v>72</v>
      </c>
      <c r="E692" t="s">
        <v>697</v>
      </c>
      <c r="F692" t="s">
        <v>698</v>
      </c>
      <c r="G692">
        <v>5</v>
      </c>
      <c r="H692" s="9">
        <v>0.1</v>
      </c>
      <c r="I692" t="s">
        <v>699</v>
      </c>
      <c r="J692">
        <v>4</v>
      </c>
      <c r="K692">
        <v>3</v>
      </c>
      <c r="L692" t="str">
        <f>VLOOKUP(D692,Products!A:E,2,FALSE)</f>
        <v>Phone Charger</v>
      </c>
      <c r="M692" t="str">
        <f>VLOOKUP(D692,Products!A:E,3,FALSE)</f>
        <v>Accessories</v>
      </c>
      <c r="N692">
        <f>VLOOKUP(D692,Products!A:E,4,FALSE)</f>
        <v>32</v>
      </c>
      <c r="O692" s="13">
        <f>VLOOKUP(D692,Products!A:E,5,FALSE)</f>
        <v>13</v>
      </c>
      <c r="P692" s="13" t="str">
        <f>VLOOKUP(C692,Customers!A:C,3,FALSE)</f>
        <v>Small Business</v>
      </c>
      <c r="Q692" s="13">
        <f t="shared" si="40"/>
        <v>144</v>
      </c>
      <c r="R692" s="13">
        <f t="shared" si="41"/>
        <v>65</v>
      </c>
      <c r="S692" s="13">
        <f t="shared" si="42"/>
        <v>79</v>
      </c>
      <c r="T692" s="14">
        <f t="shared" si="43"/>
        <v>0.54861111111111116</v>
      </c>
    </row>
    <row r="693" spans="1:20">
      <c r="A693" t="s">
        <v>1397</v>
      </c>
      <c r="B693" s="8">
        <v>46198</v>
      </c>
      <c r="C693" t="s">
        <v>237</v>
      </c>
      <c r="D693" t="s">
        <v>72</v>
      </c>
      <c r="E693" t="s">
        <v>715</v>
      </c>
      <c r="F693" t="s">
        <v>702</v>
      </c>
      <c r="G693">
        <v>2</v>
      </c>
      <c r="H693" s="9">
        <v>0.1</v>
      </c>
      <c r="I693" t="s">
        <v>699</v>
      </c>
      <c r="J693">
        <v>5</v>
      </c>
      <c r="K693">
        <v>4</v>
      </c>
      <c r="L693" t="str">
        <f>VLOOKUP(D693,Products!A:E,2,FALSE)</f>
        <v>Phone Charger</v>
      </c>
      <c r="M693" t="str">
        <f>VLOOKUP(D693,Products!A:E,3,FALSE)</f>
        <v>Accessories</v>
      </c>
      <c r="N693">
        <f>VLOOKUP(D693,Products!A:E,4,FALSE)</f>
        <v>32</v>
      </c>
      <c r="O693" s="13">
        <f>VLOOKUP(D693,Products!A:E,5,FALSE)</f>
        <v>13</v>
      </c>
      <c r="P693" s="13" t="str">
        <f>VLOOKUP(C693,Customers!A:C,3,FALSE)</f>
        <v>Consumer</v>
      </c>
      <c r="Q693" s="13">
        <f t="shared" si="40"/>
        <v>57.6</v>
      </c>
      <c r="R693" s="13">
        <f t="shared" si="41"/>
        <v>26</v>
      </c>
      <c r="S693" s="13">
        <f t="shared" si="42"/>
        <v>31.6</v>
      </c>
      <c r="T693" s="14">
        <f t="shared" si="43"/>
        <v>0.54861111111111116</v>
      </c>
    </row>
    <row r="694" spans="1:20">
      <c r="A694" t="s">
        <v>1398</v>
      </c>
      <c r="B694" s="8">
        <v>45860</v>
      </c>
      <c r="C694" t="s">
        <v>395</v>
      </c>
      <c r="D694" t="s">
        <v>50</v>
      </c>
      <c r="E694" t="s">
        <v>705</v>
      </c>
      <c r="F694" t="s">
        <v>702</v>
      </c>
      <c r="G694">
        <v>4</v>
      </c>
      <c r="H694" s="9">
        <v>0.1</v>
      </c>
      <c r="I694" t="s">
        <v>699</v>
      </c>
      <c r="J694">
        <v>5</v>
      </c>
      <c r="K694">
        <v>3</v>
      </c>
      <c r="L694" t="str">
        <f>VLOOKUP(D694,Products!A:E,2,FALSE)</f>
        <v>Keyboard</v>
      </c>
      <c r="M694" t="str">
        <f>VLOOKUP(D694,Products!A:E,3,FALSE)</f>
        <v>Technology</v>
      </c>
      <c r="N694">
        <f>VLOOKUP(D694,Products!A:E,4,FALSE)</f>
        <v>75</v>
      </c>
      <c r="O694" s="13">
        <f>VLOOKUP(D694,Products!A:E,5,FALSE)</f>
        <v>38</v>
      </c>
      <c r="P694" s="13" t="str">
        <f>VLOOKUP(C694,Customers!A:C,3,FALSE)</f>
        <v>Consumer</v>
      </c>
      <c r="Q694" s="13">
        <f t="shared" si="40"/>
        <v>270</v>
      </c>
      <c r="R694" s="13">
        <f t="shared" si="41"/>
        <v>152</v>
      </c>
      <c r="S694" s="13">
        <f t="shared" si="42"/>
        <v>118</v>
      </c>
      <c r="T694" s="14">
        <f t="shared" si="43"/>
        <v>0.43703703703703706</v>
      </c>
    </row>
    <row r="695" spans="1:20">
      <c r="A695" t="s">
        <v>1399</v>
      </c>
      <c r="B695" s="8">
        <v>45876</v>
      </c>
      <c r="C695" t="s">
        <v>181</v>
      </c>
      <c r="D695" t="s">
        <v>65</v>
      </c>
      <c r="E695" t="s">
        <v>715</v>
      </c>
      <c r="F695" t="s">
        <v>698</v>
      </c>
      <c r="G695">
        <v>1</v>
      </c>
      <c r="H695" s="9">
        <v>0</v>
      </c>
      <c r="I695" t="s">
        <v>699</v>
      </c>
      <c r="J695">
        <v>4</v>
      </c>
      <c r="K695">
        <v>2</v>
      </c>
      <c r="L695" t="str">
        <f>VLOOKUP(D695,Products!A:E,2,FALSE)</f>
        <v>Laptop Stand</v>
      </c>
      <c r="M695" t="str">
        <f>VLOOKUP(D695,Products!A:E,3,FALSE)</f>
        <v>Accessories</v>
      </c>
      <c r="N695">
        <f>VLOOKUP(D695,Products!A:E,4,FALSE)</f>
        <v>48</v>
      </c>
      <c r="O695" s="13">
        <f>VLOOKUP(D695,Products!A:E,5,FALSE)</f>
        <v>22</v>
      </c>
      <c r="P695" s="13" t="str">
        <f>VLOOKUP(C695,Customers!A:C,3,FALSE)</f>
        <v>Consumer</v>
      </c>
      <c r="Q695" s="13">
        <f t="shared" si="40"/>
        <v>48</v>
      </c>
      <c r="R695" s="13">
        <f t="shared" si="41"/>
        <v>22</v>
      </c>
      <c r="S695" s="13">
        <f t="shared" si="42"/>
        <v>26</v>
      </c>
      <c r="T695" s="14">
        <f t="shared" si="43"/>
        <v>0.54166666666666663</v>
      </c>
    </row>
    <row r="696" spans="1:20">
      <c r="A696" t="s">
        <v>1400</v>
      </c>
      <c r="B696" s="8">
        <v>45969</v>
      </c>
      <c r="C696" t="s">
        <v>519</v>
      </c>
      <c r="D696" t="s">
        <v>52</v>
      </c>
      <c r="E696" t="s">
        <v>701</v>
      </c>
      <c r="F696" t="s">
        <v>706</v>
      </c>
      <c r="G696">
        <v>1</v>
      </c>
      <c r="H696" s="9">
        <v>0.05</v>
      </c>
      <c r="I696" t="s">
        <v>699</v>
      </c>
      <c r="J696">
        <v>5</v>
      </c>
      <c r="K696">
        <v>1</v>
      </c>
      <c r="L696" t="str">
        <f>VLOOKUP(D696,Products!A:E,2,FALSE)</f>
        <v>Mouse</v>
      </c>
      <c r="M696" t="str">
        <f>VLOOKUP(D696,Products!A:E,3,FALSE)</f>
        <v>Technology</v>
      </c>
      <c r="N696">
        <f>VLOOKUP(D696,Products!A:E,4,FALSE)</f>
        <v>42</v>
      </c>
      <c r="O696" s="13">
        <f>VLOOKUP(D696,Products!A:E,5,FALSE)</f>
        <v>19</v>
      </c>
      <c r="P696" s="13" t="str">
        <f>VLOOKUP(C696,Customers!A:C,3,FALSE)</f>
        <v>Corporate</v>
      </c>
      <c r="Q696" s="13">
        <f t="shared" si="40"/>
        <v>39.9</v>
      </c>
      <c r="R696" s="13">
        <f t="shared" si="41"/>
        <v>19</v>
      </c>
      <c r="S696" s="13">
        <f t="shared" si="42"/>
        <v>20.9</v>
      </c>
      <c r="T696" s="14">
        <f t="shared" si="43"/>
        <v>0.52380952380952384</v>
      </c>
    </row>
    <row r="697" spans="1:20">
      <c r="A697" t="s">
        <v>1401</v>
      </c>
      <c r="B697" s="8">
        <v>46117</v>
      </c>
      <c r="C697" t="s">
        <v>391</v>
      </c>
      <c r="D697" t="s">
        <v>45</v>
      </c>
      <c r="E697" t="s">
        <v>715</v>
      </c>
      <c r="F697" t="s">
        <v>706</v>
      </c>
      <c r="G697">
        <v>4</v>
      </c>
      <c r="H697" s="9">
        <v>0.2</v>
      </c>
      <c r="I697" t="s">
        <v>699</v>
      </c>
      <c r="J697">
        <v>5</v>
      </c>
      <c r="K697">
        <v>5</v>
      </c>
      <c r="L697" t="str">
        <f>VLOOKUP(D697,Products!A:E,2,FALSE)</f>
        <v>Laptop</v>
      </c>
      <c r="M697" t="str">
        <f>VLOOKUP(D697,Products!A:E,3,FALSE)</f>
        <v>Technology</v>
      </c>
      <c r="N697">
        <f>VLOOKUP(D697,Products!A:E,4,FALSE)</f>
        <v>1100</v>
      </c>
      <c r="O697" s="13">
        <f>VLOOKUP(D697,Products!A:E,5,FALSE)</f>
        <v>720</v>
      </c>
      <c r="P697" s="13" t="str">
        <f>VLOOKUP(C697,Customers!A:C,3,FALSE)</f>
        <v>Consumer</v>
      </c>
      <c r="Q697" s="13">
        <f t="shared" si="40"/>
        <v>3520</v>
      </c>
      <c r="R697" s="13">
        <f t="shared" si="41"/>
        <v>2880</v>
      </c>
      <c r="S697" s="13">
        <f t="shared" si="42"/>
        <v>640</v>
      </c>
      <c r="T697" s="14">
        <f t="shared" si="43"/>
        <v>0.18181818181818182</v>
      </c>
    </row>
    <row r="698" spans="1:20">
      <c r="A698" t="s">
        <v>1402</v>
      </c>
      <c r="B698" s="8">
        <v>45897</v>
      </c>
      <c r="C698" t="s">
        <v>445</v>
      </c>
      <c r="D698" t="s">
        <v>65</v>
      </c>
      <c r="E698" t="s">
        <v>708</v>
      </c>
      <c r="F698" t="s">
        <v>698</v>
      </c>
      <c r="G698">
        <v>4</v>
      </c>
      <c r="H698" s="9">
        <v>0.1</v>
      </c>
      <c r="I698" t="s">
        <v>699</v>
      </c>
      <c r="J698">
        <v>4</v>
      </c>
      <c r="K698">
        <v>2</v>
      </c>
      <c r="L698" t="str">
        <f>VLOOKUP(D698,Products!A:E,2,FALSE)</f>
        <v>Laptop Stand</v>
      </c>
      <c r="M698" t="str">
        <f>VLOOKUP(D698,Products!A:E,3,FALSE)</f>
        <v>Accessories</v>
      </c>
      <c r="N698">
        <f>VLOOKUP(D698,Products!A:E,4,FALSE)</f>
        <v>48</v>
      </c>
      <c r="O698" s="13">
        <f>VLOOKUP(D698,Products!A:E,5,FALSE)</f>
        <v>22</v>
      </c>
      <c r="P698" s="13" t="str">
        <f>VLOOKUP(C698,Customers!A:C,3,FALSE)</f>
        <v>Consumer</v>
      </c>
      <c r="Q698" s="13">
        <f t="shared" si="40"/>
        <v>172.8</v>
      </c>
      <c r="R698" s="13">
        <f t="shared" si="41"/>
        <v>88</v>
      </c>
      <c r="S698" s="13">
        <f t="shared" si="42"/>
        <v>84.800000000000011</v>
      </c>
      <c r="T698" s="14">
        <f t="shared" si="43"/>
        <v>0.49074074074074076</v>
      </c>
    </row>
    <row r="699" spans="1:20">
      <c r="A699" t="s">
        <v>1403</v>
      </c>
      <c r="B699" s="8">
        <v>45765</v>
      </c>
      <c r="C699" t="s">
        <v>421</v>
      </c>
      <c r="D699" t="s">
        <v>58</v>
      </c>
      <c r="E699" t="s">
        <v>697</v>
      </c>
      <c r="F699" t="s">
        <v>702</v>
      </c>
      <c r="G699">
        <v>1</v>
      </c>
      <c r="H699" s="9">
        <v>0.1</v>
      </c>
      <c r="I699" t="s">
        <v>699</v>
      </c>
      <c r="J699">
        <v>2</v>
      </c>
      <c r="K699">
        <v>5</v>
      </c>
      <c r="L699" t="str">
        <f>VLOOKUP(D699,Products!A:E,2,FALSE)</f>
        <v>Standing Desk</v>
      </c>
      <c r="M699" t="str">
        <f>VLOOKUP(D699,Products!A:E,3,FALSE)</f>
        <v>Furniture</v>
      </c>
      <c r="N699">
        <f>VLOOKUP(D699,Products!A:E,4,FALSE)</f>
        <v>540</v>
      </c>
      <c r="O699" s="13">
        <f>VLOOKUP(D699,Products!A:E,5,FALSE)</f>
        <v>320</v>
      </c>
      <c r="P699" s="13" t="str">
        <f>VLOOKUP(C699,Customers!A:C,3,FALSE)</f>
        <v>Corporate</v>
      </c>
      <c r="Q699" s="13">
        <f t="shared" si="40"/>
        <v>486</v>
      </c>
      <c r="R699" s="13">
        <f t="shared" si="41"/>
        <v>320</v>
      </c>
      <c r="S699" s="13">
        <f t="shared" si="42"/>
        <v>166</v>
      </c>
      <c r="T699" s="14">
        <f t="shared" si="43"/>
        <v>0.34156378600823045</v>
      </c>
    </row>
    <row r="700" spans="1:20">
      <c r="A700" t="s">
        <v>1404</v>
      </c>
      <c r="B700" s="8">
        <v>45791</v>
      </c>
      <c r="C700" t="s">
        <v>573</v>
      </c>
      <c r="D700" t="s">
        <v>58</v>
      </c>
      <c r="E700" t="s">
        <v>715</v>
      </c>
      <c r="F700" t="s">
        <v>702</v>
      </c>
      <c r="G700">
        <v>2</v>
      </c>
      <c r="H700" s="9">
        <v>0.05</v>
      </c>
      <c r="I700" t="s">
        <v>699</v>
      </c>
      <c r="J700">
        <v>4</v>
      </c>
      <c r="K700">
        <v>3</v>
      </c>
      <c r="L700" t="str">
        <f>VLOOKUP(D700,Products!A:E,2,FALSE)</f>
        <v>Standing Desk</v>
      </c>
      <c r="M700" t="str">
        <f>VLOOKUP(D700,Products!A:E,3,FALSE)</f>
        <v>Furniture</v>
      </c>
      <c r="N700">
        <f>VLOOKUP(D700,Products!A:E,4,FALSE)</f>
        <v>540</v>
      </c>
      <c r="O700" s="13">
        <f>VLOOKUP(D700,Products!A:E,5,FALSE)</f>
        <v>320</v>
      </c>
      <c r="P700" s="13" t="str">
        <f>VLOOKUP(C700,Customers!A:C,3,FALSE)</f>
        <v>Small Business</v>
      </c>
      <c r="Q700" s="13">
        <f t="shared" si="40"/>
        <v>1026</v>
      </c>
      <c r="R700" s="13">
        <f t="shared" si="41"/>
        <v>640</v>
      </c>
      <c r="S700" s="13">
        <f t="shared" si="42"/>
        <v>386</v>
      </c>
      <c r="T700" s="14">
        <f t="shared" si="43"/>
        <v>0.37621832358674462</v>
      </c>
    </row>
    <row r="701" spans="1:20">
      <c r="A701" t="s">
        <v>1405</v>
      </c>
      <c r="B701" s="8">
        <v>46256</v>
      </c>
      <c r="C701" t="s">
        <v>597</v>
      </c>
      <c r="D701" t="s">
        <v>74</v>
      </c>
      <c r="E701" t="s">
        <v>697</v>
      </c>
      <c r="F701" t="s">
        <v>698</v>
      </c>
      <c r="G701">
        <v>7</v>
      </c>
      <c r="H701" s="9">
        <v>0.1</v>
      </c>
      <c r="I701" t="s">
        <v>699</v>
      </c>
      <c r="J701">
        <v>3</v>
      </c>
      <c r="K701">
        <v>5</v>
      </c>
      <c r="L701" t="str">
        <f>VLOOKUP(D701,Products!A:E,2,FALSE)</f>
        <v>Printer Paper</v>
      </c>
      <c r="M701" t="str">
        <f>VLOOKUP(D701,Products!A:E,3,FALSE)</f>
        <v>Office Supplies</v>
      </c>
      <c r="N701">
        <f>VLOOKUP(D701,Products!A:E,4,FALSE)</f>
        <v>17</v>
      </c>
      <c r="O701" s="13">
        <f>VLOOKUP(D701,Products!A:E,5,FALSE)</f>
        <v>8</v>
      </c>
      <c r="P701" s="13" t="str">
        <f>VLOOKUP(C701,Customers!A:C,3,FALSE)</f>
        <v>Small Business</v>
      </c>
      <c r="Q701" s="13">
        <f t="shared" si="40"/>
        <v>107.10000000000001</v>
      </c>
      <c r="R701" s="13">
        <f t="shared" si="41"/>
        <v>56</v>
      </c>
      <c r="S701" s="13">
        <f t="shared" si="42"/>
        <v>51.100000000000009</v>
      </c>
      <c r="T701" s="14">
        <f t="shared" si="43"/>
        <v>0.47712418300653597</v>
      </c>
    </row>
    <row r="702" spans="1:20">
      <c r="A702" t="s">
        <v>1406</v>
      </c>
      <c r="B702" s="8">
        <v>45788</v>
      </c>
      <c r="C702" t="s">
        <v>583</v>
      </c>
      <c r="D702" t="s">
        <v>77</v>
      </c>
      <c r="E702" t="s">
        <v>705</v>
      </c>
      <c r="F702" t="s">
        <v>698</v>
      </c>
      <c r="G702">
        <v>5</v>
      </c>
      <c r="H702" s="9">
        <v>0</v>
      </c>
      <c r="I702" t="s">
        <v>699</v>
      </c>
      <c r="J702">
        <v>4</v>
      </c>
      <c r="K702">
        <v>2</v>
      </c>
      <c r="L702" t="str">
        <f>VLOOKUP(D702,Products!A:E,2,FALSE)</f>
        <v>File Folder Pack</v>
      </c>
      <c r="M702" t="str">
        <f>VLOOKUP(D702,Products!A:E,3,FALSE)</f>
        <v>Office Supplies</v>
      </c>
      <c r="N702">
        <f>VLOOKUP(D702,Products!A:E,4,FALSE)</f>
        <v>23</v>
      </c>
      <c r="O702" s="13">
        <f>VLOOKUP(D702,Products!A:E,5,FALSE)</f>
        <v>10</v>
      </c>
      <c r="P702" s="13" t="str">
        <f>VLOOKUP(C702,Customers!A:C,3,FALSE)</f>
        <v>Corporate</v>
      </c>
      <c r="Q702" s="13">
        <f t="shared" si="40"/>
        <v>115</v>
      </c>
      <c r="R702" s="13">
        <f t="shared" si="41"/>
        <v>50</v>
      </c>
      <c r="S702" s="13">
        <f t="shared" si="42"/>
        <v>65</v>
      </c>
      <c r="T702" s="14">
        <f t="shared" si="43"/>
        <v>0.56521739130434778</v>
      </c>
    </row>
    <row r="703" spans="1:20">
      <c r="A703" t="s">
        <v>1407</v>
      </c>
      <c r="B703" s="8">
        <v>46230</v>
      </c>
      <c r="C703" t="s">
        <v>465</v>
      </c>
      <c r="D703" t="s">
        <v>52</v>
      </c>
      <c r="E703" t="s">
        <v>701</v>
      </c>
      <c r="F703" t="s">
        <v>702</v>
      </c>
      <c r="G703">
        <v>1</v>
      </c>
      <c r="H703" s="9">
        <v>0.05</v>
      </c>
      <c r="I703" t="s">
        <v>699</v>
      </c>
      <c r="J703">
        <v>3</v>
      </c>
      <c r="K703">
        <v>3</v>
      </c>
      <c r="L703" t="str">
        <f>VLOOKUP(D703,Products!A:E,2,FALSE)</f>
        <v>Mouse</v>
      </c>
      <c r="M703" t="str">
        <f>VLOOKUP(D703,Products!A:E,3,FALSE)</f>
        <v>Technology</v>
      </c>
      <c r="N703">
        <f>VLOOKUP(D703,Products!A:E,4,FALSE)</f>
        <v>42</v>
      </c>
      <c r="O703" s="13">
        <f>VLOOKUP(D703,Products!A:E,5,FALSE)</f>
        <v>19</v>
      </c>
      <c r="P703" s="13" t="str">
        <f>VLOOKUP(C703,Customers!A:C,3,FALSE)</f>
        <v>Consumer</v>
      </c>
      <c r="Q703" s="13">
        <f t="shared" si="40"/>
        <v>39.9</v>
      </c>
      <c r="R703" s="13">
        <f t="shared" si="41"/>
        <v>19</v>
      </c>
      <c r="S703" s="13">
        <f t="shared" si="42"/>
        <v>20.9</v>
      </c>
      <c r="T703" s="14">
        <f t="shared" si="43"/>
        <v>0.52380952380952384</v>
      </c>
    </row>
    <row r="704" spans="1:20">
      <c r="A704" t="s">
        <v>1408</v>
      </c>
      <c r="B704" s="8">
        <v>45970</v>
      </c>
      <c r="C704" t="s">
        <v>469</v>
      </c>
      <c r="D704" t="s">
        <v>65</v>
      </c>
      <c r="E704" t="s">
        <v>708</v>
      </c>
      <c r="F704" t="s">
        <v>702</v>
      </c>
      <c r="G704">
        <v>1</v>
      </c>
      <c r="H704" s="9">
        <v>0.1</v>
      </c>
      <c r="I704" t="s">
        <v>699</v>
      </c>
      <c r="J704">
        <v>5</v>
      </c>
      <c r="K704">
        <v>3</v>
      </c>
      <c r="L704" t="str">
        <f>VLOOKUP(D704,Products!A:E,2,FALSE)</f>
        <v>Laptop Stand</v>
      </c>
      <c r="M704" t="str">
        <f>VLOOKUP(D704,Products!A:E,3,FALSE)</f>
        <v>Accessories</v>
      </c>
      <c r="N704">
        <f>VLOOKUP(D704,Products!A:E,4,FALSE)</f>
        <v>48</v>
      </c>
      <c r="O704" s="13">
        <f>VLOOKUP(D704,Products!A:E,5,FALSE)</f>
        <v>22</v>
      </c>
      <c r="P704" s="13" t="str">
        <f>VLOOKUP(C704,Customers!A:C,3,FALSE)</f>
        <v>Consumer</v>
      </c>
      <c r="Q704" s="13">
        <f t="shared" si="40"/>
        <v>43.2</v>
      </c>
      <c r="R704" s="13">
        <f t="shared" si="41"/>
        <v>22</v>
      </c>
      <c r="S704" s="13">
        <f t="shared" si="42"/>
        <v>21.200000000000003</v>
      </c>
      <c r="T704" s="14">
        <f t="shared" si="43"/>
        <v>0.49074074074074076</v>
      </c>
    </row>
    <row r="705" spans="1:20">
      <c r="A705" t="s">
        <v>1409</v>
      </c>
      <c r="B705" s="8">
        <v>45948</v>
      </c>
      <c r="C705" t="s">
        <v>307</v>
      </c>
      <c r="D705" t="s">
        <v>56</v>
      </c>
      <c r="E705" t="s">
        <v>697</v>
      </c>
      <c r="F705" t="s">
        <v>698</v>
      </c>
      <c r="G705">
        <v>1</v>
      </c>
      <c r="H705" s="9">
        <v>0</v>
      </c>
      <c r="I705" t="s">
        <v>699</v>
      </c>
      <c r="J705">
        <v>4</v>
      </c>
      <c r="K705">
        <v>5</v>
      </c>
      <c r="L705" t="str">
        <f>VLOOKUP(D705,Products!A:E,2,FALSE)</f>
        <v>Headset</v>
      </c>
      <c r="M705" t="str">
        <f>VLOOKUP(D705,Products!A:E,3,FALSE)</f>
        <v>Technology</v>
      </c>
      <c r="N705">
        <f>VLOOKUP(D705,Products!A:E,4,FALSE)</f>
        <v>98</v>
      </c>
      <c r="O705" s="13">
        <f>VLOOKUP(D705,Products!A:E,5,FALSE)</f>
        <v>46</v>
      </c>
      <c r="P705" s="13" t="str">
        <f>VLOOKUP(C705,Customers!A:C,3,FALSE)</f>
        <v>Small Business</v>
      </c>
      <c r="Q705" s="13">
        <f t="shared" si="40"/>
        <v>98</v>
      </c>
      <c r="R705" s="13">
        <f t="shared" si="41"/>
        <v>46</v>
      </c>
      <c r="S705" s="13">
        <f t="shared" si="42"/>
        <v>52</v>
      </c>
      <c r="T705" s="14">
        <f t="shared" si="43"/>
        <v>0.53061224489795922</v>
      </c>
    </row>
    <row r="706" spans="1:20">
      <c r="A706" t="s">
        <v>1410</v>
      </c>
      <c r="B706" s="8">
        <v>45975</v>
      </c>
      <c r="C706" t="s">
        <v>665</v>
      </c>
      <c r="D706" t="s">
        <v>77</v>
      </c>
      <c r="E706" t="s">
        <v>697</v>
      </c>
      <c r="F706" t="s">
        <v>698</v>
      </c>
      <c r="G706">
        <v>2</v>
      </c>
      <c r="H706" s="9">
        <v>0.1</v>
      </c>
      <c r="I706" t="s">
        <v>699</v>
      </c>
      <c r="J706">
        <v>5</v>
      </c>
      <c r="K706">
        <v>5</v>
      </c>
      <c r="L706" t="str">
        <f>VLOOKUP(D706,Products!A:E,2,FALSE)</f>
        <v>File Folder Pack</v>
      </c>
      <c r="M706" t="str">
        <f>VLOOKUP(D706,Products!A:E,3,FALSE)</f>
        <v>Office Supplies</v>
      </c>
      <c r="N706">
        <f>VLOOKUP(D706,Products!A:E,4,FALSE)</f>
        <v>23</v>
      </c>
      <c r="O706" s="13">
        <f>VLOOKUP(D706,Products!A:E,5,FALSE)</f>
        <v>10</v>
      </c>
      <c r="P706" s="13" t="str">
        <f>VLOOKUP(C706,Customers!A:C,3,FALSE)</f>
        <v>Consumer</v>
      </c>
      <c r="Q706" s="13">
        <f t="shared" ref="Q706:Q769" si="44">G706*N706*(1-H706)</f>
        <v>41.4</v>
      </c>
      <c r="R706" s="13">
        <f t="shared" ref="R706:R769" si="45">G706*O706</f>
        <v>20</v>
      </c>
      <c r="S706" s="13">
        <f t="shared" ref="S706:S769" si="46">Q706-R706</f>
        <v>21.4</v>
      </c>
      <c r="T706" s="14">
        <f t="shared" ref="T706:T769" si="47">IFERROR(S706/Q706,0)</f>
        <v>0.51690821256038644</v>
      </c>
    </row>
    <row r="707" spans="1:20">
      <c r="A707" t="s">
        <v>1411</v>
      </c>
      <c r="B707" s="8">
        <v>46129</v>
      </c>
      <c r="C707" t="s">
        <v>547</v>
      </c>
      <c r="D707" t="s">
        <v>77</v>
      </c>
      <c r="E707" t="s">
        <v>705</v>
      </c>
      <c r="F707" t="s">
        <v>698</v>
      </c>
      <c r="G707">
        <v>1</v>
      </c>
      <c r="H707" s="9">
        <v>0.05</v>
      </c>
      <c r="I707" t="s">
        <v>699</v>
      </c>
      <c r="J707">
        <v>4</v>
      </c>
      <c r="K707">
        <v>4</v>
      </c>
      <c r="L707" t="str">
        <f>VLOOKUP(D707,Products!A:E,2,FALSE)</f>
        <v>File Folder Pack</v>
      </c>
      <c r="M707" t="str">
        <f>VLOOKUP(D707,Products!A:E,3,FALSE)</f>
        <v>Office Supplies</v>
      </c>
      <c r="N707">
        <f>VLOOKUP(D707,Products!A:E,4,FALSE)</f>
        <v>23</v>
      </c>
      <c r="O707" s="13">
        <f>VLOOKUP(D707,Products!A:E,5,FALSE)</f>
        <v>10</v>
      </c>
      <c r="P707" s="13" t="str">
        <f>VLOOKUP(C707,Customers!A:C,3,FALSE)</f>
        <v>Consumer</v>
      </c>
      <c r="Q707" s="13">
        <f t="shared" si="44"/>
        <v>21.849999999999998</v>
      </c>
      <c r="R707" s="13">
        <f t="shared" si="45"/>
        <v>10</v>
      </c>
      <c r="S707" s="13">
        <f t="shared" si="46"/>
        <v>11.849999999999998</v>
      </c>
      <c r="T707" s="14">
        <f t="shared" si="47"/>
        <v>0.54233409610983974</v>
      </c>
    </row>
    <row r="708" spans="1:20">
      <c r="A708" t="s">
        <v>1412</v>
      </c>
      <c r="B708" s="8">
        <v>46005</v>
      </c>
      <c r="C708" t="s">
        <v>639</v>
      </c>
      <c r="D708" t="s">
        <v>48</v>
      </c>
      <c r="E708" t="s">
        <v>697</v>
      </c>
      <c r="F708" t="s">
        <v>706</v>
      </c>
      <c r="G708">
        <v>4</v>
      </c>
      <c r="H708" s="9">
        <v>0.05</v>
      </c>
      <c r="I708" t="s">
        <v>699</v>
      </c>
      <c r="J708">
        <v>5</v>
      </c>
      <c r="K708">
        <v>5</v>
      </c>
      <c r="L708" t="str">
        <f>VLOOKUP(D708,Products!A:E,2,FALSE)</f>
        <v>Monitor</v>
      </c>
      <c r="M708" t="str">
        <f>VLOOKUP(D708,Products!A:E,3,FALSE)</f>
        <v>Technology</v>
      </c>
      <c r="N708">
        <f>VLOOKUP(D708,Products!A:E,4,FALSE)</f>
        <v>310</v>
      </c>
      <c r="O708" s="13">
        <f>VLOOKUP(D708,Products!A:E,5,FALSE)</f>
        <v>190</v>
      </c>
      <c r="P708" s="13" t="str">
        <f>VLOOKUP(C708,Customers!A:C,3,FALSE)</f>
        <v>Consumer</v>
      </c>
      <c r="Q708" s="13">
        <f t="shared" si="44"/>
        <v>1178</v>
      </c>
      <c r="R708" s="13">
        <f t="shared" si="45"/>
        <v>760</v>
      </c>
      <c r="S708" s="13">
        <f t="shared" si="46"/>
        <v>418</v>
      </c>
      <c r="T708" s="14">
        <f t="shared" si="47"/>
        <v>0.35483870967741937</v>
      </c>
    </row>
    <row r="709" spans="1:20">
      <c r="A709" t="s">
        <v>1413</v>
      </c>
      <c r="B709" s="8">
        <v>45974</v>
      </c>
      <c r="C709" t="s">
        <v>661</v>
      </c>
      <c r="D709" t="s">
        <v>52</v>
      </c>
      <c r="E709" t="s">
        <v>701</v>
      </c>
      <c r="F709" t="s">
        <v>702</v>
      </c>
      <c r="G709">
        <v>7</v>
      </c>
      <c r="H709" s="9">
        <v>0.05</v>
      </c>
      <c r="I709" t="s">
        <v>699</v>
      </c>
      <c r="J709">
        <v>5</v>
      </c>
      <c r="K709">
        <v>5</v>
      </c>
      <c r="L709" t="str">
        <f>VLOOKUP(D709,Products!A:E,2,FALSE)</f>
        <v>Mouse</v>
      </c>
      <c r="M709" t="str">
        <f>VLOOKUP(D709,Products!A:E,3,FALSE)</f>
        <v>Technology</v>
      </c>
      <c r="N709">
        <f>VLOOKUP(D709,Products!A:E,4,FALSE)</f>
        <v>42</v>
      </c>
      <c r="O709" s="13">
        <f>VLOOKUP(D709,Products!A:E,5,FALSE)</f>
        <v>19</v>
      </c>
      <c r="P709" s="13" t="str">
        <f>VLOOKUP(C709,Customers!A:C,3,FALSE)</f>
        <v>Consumer</v>
      </c>
      <c r="Q709" s="13">
        <f t="shared" si="44"/>
        <v>279.3</v>
      </c>
      <c r="R709" s="13">
        <f t="shared" si="45"/>
        <v>133</v>
      </c>
      <c r="S709" s="13">
        <f t="shared" si="46"/>
        <v>146.30000000000001</v>
      </c>
      <c r="T709" s="14">
        <f t="shared" si="47"/>
        <v>0.52380952380952384</v>
      </c>
    </row>
    <row r="710" spans="1:20">
      <c r="A710" t="s">
        <v>1414</v>
      </c>
      <c r="B710" s="8">
        <v>45851</v>
      </c>
      <c r="C710" t="s">
        <v>573</v>
      </c>
      <c r="D710" t="s">
        <v>45</v>
      </c>
      <c r="E710" t="s">
        <v>705</v>
      </c>
      <c r="F710" t="s">
        <v>706</v>
      </c>
      <c r="G710">
        <v>1</v>
      </c>
      <c r="H710" s="9">
        <v>0</v>
      </c>
      <c r="I710" t="s">
        <v>699</v>
      </c>
      <c r="J710">
        <v>3</v>
      </c>
      <c r="K710">
        <v>5</v>
      </c>
      <c r="L710" t="str">
        <f>VLOOKUP(D710,Products!A:E,2,FALSE)</f>
        <v>Laptop</v>
      </c>
      <c r="M710" t="str">
        <f>VLOOKUP(D710,Products!A:E,3,FALSE)</f>
        <v>Technology</v>
      </c>
      <c r="N710">
        <f>VLOOKUP(D710,Products!A:E,4,FALSE)</f>
        <v>1100</v>
      </c>
      <c r="O710" s="13">
        <f>VLOOKUP(D710,Products!A:E,5,FALSE)</f>
        <v>720</v>
      </c>
      <c r="P710" s="13" t="str">
        <f>VLOOKUP(C710,Customers!A:C,3,FALSE)</f>
        <v>Small Business</v>
      </c>
      <c r="Q710" s="13">
        <f t="shared" si="44"/>
        <v>1100</v>
      </c>
      <c r="R710" s="13">
        <f t="shared" si="45"/>
        <v>720</v>
      </c>
      <c r="S710" s="13">
        <f t="shared" si="46"/>
        <v>380</v>
      </c>
      <c r="T710" s="14">
        <f t="shared" si="47"/>
        <v>0.34545454545454546</v>
      </c>
    </row>
    <row r="711" spans="1:20">
      <c r="A711" t="s">
        <v>1415</v>
      </c>
      <c r="B711" s="8">
        <v>46112</v>
      </c>
      <c r="C711" t="s">
        <v>173</v>
      </c>
      <c r="D711" t="s">
        <v>68</v>
      </c>
      <c r="E711" t="s">
        <v>708</v>
      </c>
      <c r="F711" t="s">
        <v>702</v>
      </c>
      <c r="G711">
        <v>5</v>
      </c>
      <c r="H711" s="9">
        <v>0</v>
      </c>
      <c r="I711" t="s">
        <v>699</v>
      </c>
      <c r="J711">
        <v>4</v>
      </c>
      <c r="K711">
        <v>5</v>
      </c>
      <c r="L711" t="str">
        <f>VLOOKUP(D711,Products!A:E,2,FALSE)</f>
        <v>Backpack</v>
      </c>
      <c r="M711" t="str">
        <f>VLOOKUP(D711,Products!A:E,3,FALSE)</f>
        <v>Accessories</v>
      </c>
      <c r="N711">
        <f>VLOOKUP(D711,Products!A:E,4,FALSE)</f>
        <v>85</v>
      </c>
      <c r="O711" s="13">
        <f>VLOOKUP(D711,Products!A:E,5,FALSE)</f>
        <v>39</v>
      </c>
      <c r="P711" s="13" t="str">
        <f>VLOOKUP(C711,Customers!A:C,3,FALSE)</f>
        <v>Consumer</v>
      </c>
      <c r="Q711" s="13">
        <f t="shared" si="44"/>
        <v>425</v>
      </c>
      <c r="R711" s="13">
        <f t="shared" si="45"/>
        <v>195</v>
      </c>
      <c r="S711" s="13">
        <f t="shared" si="46"/>
        <v>230</v>
      </c>
      <c r="T711" s="14">
        <f t="shared" si="47"/>
        <v>0.54117647058823526</v>
      </c>
    </row>
    <row r="712" spans="1:20">
      <c r="A712" t="s">
        <v>1416</v>
      </c>
      <c r="B712" s="8">
        <v>45982</v>
      </c>
      <c r="C712" t="s">
        <v>477</v>
      </c>
      <c r="D712" t="s">
        <v>63</v>
      </c>
      <c r="E712" t="s">
        <v>705</v>
      </c>
      <c r="F712" t="s">
        <v>706</v>
      </c>
      <c r="G712">
        <v>2</v>
      </c>
      <c r="H712" s="9">
        <v>0</v>
      </c>
      <c r="I712" t="s">
        <v>699</v>
      </c>
      <c r="J712">
        <v>5</v>
      </c>
      <c r="K712">
        <v>2</v>
      </c>
      <c r="L712" t="str">
        <f>VLOOKUP(D712,Products!A:E,2,FALSE)</f>
        <v>Bookshelf</v>
      </c>
      <c r="M712" t="str">
        <f>VLOOKUP(D712,Products!A:E,3,FALSE)</f>
        <v>Furniture</v>
      </c>
      <c r="N712">
        <f>VLOOKUP(D712,Products!A:E,4,FALSE)</f>
        <v>185</v>
      </c>
      <c r="O712" s="13">
        <f>VLOOKUP(D712,Products!A:E,5,FALSE)</f>
        <v>105</v>
      </c>
      <c r="P712" s="13" t="str">
        <f>VLOOKUP(C712,Customers!A:C,3,FALSE)</f>
        <v>Small Business</v>
      </c>
      <c r="Q712" s="13">
        <f t="shared" si="44"/>
        <v>370</v>
      </c>
      <c r="R712" s="13">
        <f t="shared" si="45"/>
        <v>210</v>
      </c>
      <c r="S712" s="13">
        <f t="shared" si="46"/>
        <v>160</v>
      </c>
      <c r="T712" s="14">
        <f t="shared" si="47"/>
        <v>0.43243243243243246</v>
      </c>
    </row>
    <row r="713" spans="1:20">
      <c r="A713" t="s">
        <v>1417</v>
      </c>
      <c r="B713" s="8">
        <v>45972</v>
      </c>
      <c r="C713" t="s">
        <v>503</v>
      </c>
      <c r="D713" t="s">
        <v>56</v>
      </c>
      <c r="E713" t="s">
        <v>705</v>
      </c>
      <c r="F713" t="s">
        <v>706</v>
      </c>
      <c r="G713">
        <v>1</v>
      </c>
      <c r="H713" s="9">
        <v>0.1</v>
      </c>
      <c r="I713" t="s">
        <v>699</v>
      </c>
      <c r="J713">
        <v>2</v>
      </c>
      <c r="K713">
        <v>6</v>
      </c>
      <c r="L713" t="str">
        <f>VLOOKUP(D713,Products!A:E,2,FALSE)</f>
        <v>Headset</v>
      </c>
      <c r="M713" t="str">
        <f>VLOOKUP(D713,Products!A:E,3,FALSE)</f>
        <v>Technology</v>
      </c>
      <c r="N713">
        <f>VLOOKUP(D713,Products!A:E,4,FALSE)</f>
        <v>98</v>
      </c>
      <c r="O713" s="13">
        <f>VLOOKUP(D713,Products!A:E,5,FALSE)</f>
        <v>46</v>
      </c>
      <c r="P713" s="13" t="str">
        <f>VLOOKUP(C713,Customers!A:C,3,FALSE)</f>
        <v>Consumer</v>
      </c>
      <c r="Q713" s="13">
        <f t="shared" si="44"/>
        <v>88.2</v>
      </c>
      <c r="R713" s="13">
        <f t="shared" si="45"/>
        <v>46</v>
      </c>
      <c r="S713" s="13">
        <f t="shared" si="46"/>
        <v>42.2</v>
      </c>
      <c r="T713" s="14">
        <f t="shared" si="47"/>
        <v>0.47845804988662133</v>
      </c>
    </row>
    <row r="714" spans="1:20">
      <c r="A714" t="s">
        <v>1418</v>
      </c>
      <c r="B714" s="8">
        <v>45989</v>
      </c>
      <c r="C714" t="s">
        <v>351</v>
      </c>
      <c r="D714" t="s">
        <v>72</v>
      </c>
      <c r="E714" t="s">
        <v>697</v>
      </c>
      <c r="F714" t="s">
        <v>706</v>
      </c>
      <c r="G714">
        <v>1</v>
      </c>
      <c r="H714" s="9">
        <v>0</v>
      </c>
      <c r="I714" t="s">
        <v>699</v>
      </c>
      <c r="J714">
        <v>3</v>
      </c>
      <c r="K714">
        <v>5</v>
      </c>
      <c r="L714" t="str">
        <f>VLOOKUP(D714,Products!A:E,2,FALSE)</f>
        <v>Phone Charger</v>
      </c>
      <c r="M714" t="str">
        <f>VLOOKUP(D714,Products!A:E,3,FALSE)</f>
        <v>Accessories</v>
      </c>
      <c r="N714">
        <f>VLOOKUP(D714,Products!A:E,4,FALSE)</f>
        <v>32</v>
      </c>
      <c r="O714" s="13">
        <f>VLOOKUP(D714,Products!A:E,5,FALSE)</f>
        <v>13</v>
      </c>
      <c r="P714" s="13" t="str">
        <f>VLOOKUP(C714,Customers!A:C,3,FALSE)</f>
        <v>Small Business</v>
      </c>
      <c r="Q714" s="13">
        <f t="shared" si="44"/>
        <v>32</v>
      </c>
      <c r="R714" s="13">
        <f t="shared" si="45"/>
        <v>13</v>
      </c>
      <c r="S714" s="13">
        <f t="shared" si="46"/>
        <v>19</v>
      </c>
      <c r="T714" s="14">
        <f t="shared" si="47"/>
        <v>0.59375</v>
      </c>
    </row>
    <row r="715" spans="1:20">
      <c r="A715" t="s">
        <v>1419</v>
      </c>
      <c r="B715" s="8">
        <v>46174</v>
      </c>
      <c r="C715" t="s">
        <v>481</v>
      </c>
      <c r="D715" t="s">
        <v>52</v>
      </c>
      <c r="E715" t="s">
        <v>708</v>
      </c>
      <c r="F715" t="s">
        <v>702</v>
      </c>
      <c r="G715">
        <v>3</v>
      </c>
      <c r="H715" s="9">
        <v>0</v>
      </c>
      <c r="I715" t="s">
        <v>699</v>
      </c>
      <c r="J715">
        <v>5</v>
      </c>
      <c r="K715">
        <v>1</v>
      </c>
      <c r="L715" t="str">
        <f>VLOOKUP(D715,Products!A:E,2,FALSE)</f>
        <v>Mouse</v>
      </c>
      <c r="M715" t="str">
        <f>VLOOKUP(D715,Products!A:E,3,FALSE)</f>
        <v>Technology</v>
      </c>
      <c r="N715">
        <f>VLOOKUP(D715,Products!A:E,4,FALSE)</f>
        <v>42</v>
      </c>
      <c r="O715" s="13">
        <f>VLOOKUP(D715,Products!A:E,5,FALSE)</f>
        <v>19</v>
      </c>
      <c r="P715" s="13" t="str">
        <f>VLOOKUP(C715,Customers!A:C,3,FALSE)</f>
        <v>Consumer</v>
      </c>
      <c r="Q715" s="13">
        <f t="shared" si="44"/>
        <v>126</v>
      </c>
      <c r="R715" s="13">
        <f t="shared" si="45"/>
        <v>57</v>
      </c>
      <c r="S715" s="13">
        <f t="shared" si="46"/>
        <v>69</v>
      </c>
      <c r="T715" s="14">
        <f t="shared" si="47"/>
        <v>0.54761904761904767</v>
      </c>
    </row>
    <row r="716" spans="1:20">
      <c r="A716" t="s">
        <v>1420</v>
      </c>
      <c r="B716" s="8">
        <v>45933</v>
      </c>
      <c r="C716" t="s">
        <v>653</v>
      </c>
      <c r="D716" t="s">
        <v>52</v>
      </c>
      <c r="E716" t="s">
        <v>708</v>
      </c>
      <c r="F716" t="s">
        <v>698</v>
      </c>
      <c r="G716">
        <v>4</v>
      </c>
      <c r="H716" s="9">
        <v>0</v>
      </c>
      <c r="I716" t="s">
        <v>699</v>
      </c>
      <c r="J716">
        <v>2</v>
      </c>
      <c r="K716">
        <v>7</v>
      </c>
      <c r="L716" t="str">
        <f>VLOOKUP(D716,Products!A:E,2,FALSE)</f>
        <v>Mouse</v>
      </c>
      <c r="M716" t="str">
        <f>VLOOKUP(D716,Products!A:E,3,FALSE)</f>
        <v>Technology</v>
      </c>
      <c r="N716">
        <f>VLOOKUP(D716,Products!A:E,4,FALSE)</f>
        <v>42</v>
      </c>
      <c r="O716" s="13">
        <f>VLOOKUP(D716,Products!A:E,5,FALSE)</f>
        <v>19</v>
      </c>
      <c r="P716" s="13" t="str">
        <f>VLOOKUP(C716,Customers!A:C,3,FALSE)</f>
        <v>Consumer</v>
      </c>
      <c r="Q716" s="13">
        <f t="shared" si="44"/>
        <v>168</v>
      </c>
      <c r="R716" s="13">
        <f t="shared" si="45"/>
        <v>76</v>
      </c>
      <c r="S716" s="13">
        <f t="shared" si="46"/>
        <v>92</v>
      </c>
      <c r="T716" s="14">
        <f t="shared" si="47"/>
        <v>0.54761904761904767</v>
      </c>
    </row>
    <row r="717" spans="1:20">
      <c r="A717" t="s">
        <v>1421</v>
      </c>
      <c r="B717" s="8">
        <v>45803</v>
      </c>
      <c r="C717" t="s">
        <v>469</v>
      </c>
      <c r="D717" t="s">
        <v>56</v>
      </c>
      <c r="E717" t="s">
        <v>697</v>
      </c>
      <c r="F717" t="s">
        <v>698</v>
      </c>
      <c r="G717">
        <v>2</v>
      </c>
      <c r="H717" s="9">
        <v>0.15</v>
      </c>
      <c r="I717" t="s">
        <v>699</v>
      </c>
      <c r="J717">
        <v>1</v>
      </c>
      <c r="K717">
        <v>7</v>
      </c>
      <c r="L717" t="str">
        <f>VLOOKUP(D717,Products!A:E,2,FALSE)</f>
        <v>Headset</v>
      </c>
      <c r="M717" t="str">
        <f>VLOOKUP(D717,Products!A:E,3,FALSE)</f>
        <v>Technology</v>
      </c>
      <c r="N717">
        <f>VLOOKUP(D717,Products!A:E,4,FALSE)</f>
        <v>98</v>
      </c>
      <c r="O717" s="13">
        <f>VLOOKUP(D717,Products!A:E,5,FALSE)</f>
        <v>46</v>
      </c>
      <c r="P717" s="13" t="str">
        <f>VLOOKUP(C717,Customers!A:C,3,FALSE)</f>
        <v>Consumer</v>
      </c>
      <c r="Q717" s="13">
        <f t="shared" si="44"/>
        <v>166.6</v>
      </c>
      <c r="R717" s="13">
        <f t="shared" si="45"/>
        <v>92</v>
      </c>
      <c r="S717" s="13">
        <f t="shared" si="46"/>
        <v>74.599999999999994</v>
      </c>
      <c r="T717" s="14">
        <f t="shared" si="47"/>
        <v>0.44777911164465783</v>
      </c>
    </row>
    <row r="718" spans="1:20">
      <c r="A718" t="s">
        <v>1422</v>
      </c>
      <c r="B718" s="8">
        <v>45829</v>
      </c>
      <c r="C718" t="s">
        <v>84</v>
      </c>
      <c r="D718" t="s">
        <v>48</v>
      </c>
      <c r="E718" t="s">
        <v>697</v>
      </c>
      <c r="F718" t="s">
        <v>698</v>
      </c>
      <c r="G718">
        <v>3</v>
      </c>
      <c r="H718" s="9">
        <v>0.15</v>
      </c>
      <c r="I718" t="s">
        <v>699</v>
      </c>
      <c r="J718">
        <v>4</v>
      </c>
      <c r="K718">
        <v>2</v>
      </c>
      <c r="L718" t="str">
        <f>VLOOKUP(D718,Products!A:E,2,FALSE)</f>
        <v>Monitor</v>
      </c>
      <c r="M718" t="str">
        <f>VLOOKUP(D718,Products!A:E,3,FALSE)</f>
        <v>Technology</v>
      </c>
      <c r="N718">
        <f>VLOOKUP(D718,Products!A:E,4,FALSE)</f>
        <v>310</v>
      </c>
      <c r="O718" s="13">
        <f>VLOOKUP(D718,Products!A:E,5,FALSE)</f>
        <v>190</v>
      </c>
      <c r="P718" s="13" t="str">
        <f>VLOOKUP(C718,Customers!A:C,3,FALSE)</f>
        <v>Corporate</v>
      </c>
      <c r="Q718" s="13">
        <f t="shared" si="44"/>
        <v>790.5</v>
      </c>
      <c r="R718" s="13">
        <f t="shared" si="45"/>
        <v>570</v>
      </c>
      <c r="S718" s="13">
        <f t="shared" si="46"/>
        <v>220.5</v>
      </c>
      <c r="T718" s="14">
        <f t="shared" si="47"/>
        <v>0.27893738140417457</v>
      </c>
    </row>
    <row r="719" spans="1:20">
      <c r="A719" t="s">
        <v>1423</v>
      </c>
      <c r="B719" s="8">
        <v>46257</v>
      </c>
      <c r="C719" t="s">
        <v>609</v>
      </c>
      <c r="D719" t="s">
        <v>65</v>
      </c>
      <c r="E719" t="s">
        <v>705</v>
      </c>
      <c r="F719" t="s">
        <v>698</v>
      </c>
      <c r="G719">
        <v>3</v>
      </c>
      <c r="H719" s="9">
        <v>0</v>
      </c>
      <c r="I719" t="s">
        <v>699</v>
      </c>
      <c r="J719">
        <v>3</v>
      </c>
      <c r="K719">
        <v>2</v>
      </c>
      <c r="L719" t="str">
        <f>VLOOKUP(D719,Products!A:E,2,FALSE)</f>
        <v>Laptop Stand</v>
      </c>
      <c r="M719" t="str">
        <f>VLOOKUP(D719,Products!A:E,3,FALSE)</f>
        <v>Accessories</v>
      </c>
      <c r="N719">
        <f>VLOOKUP(D719,Products!A:E,4,FALSE)</f>
        <v>48</v>
      </c>
      <c r="O719" s="13">
        <f>VLOOKUP(D719,Products!A:E,5,FALSE)</f>
        <v>22</v>
      </c>
      <c r="P719" s="13" t="str">
        <f>VLOOKUP(C719,Customers!A:C,3,FALSE)</f>
        <v>Small Business</v>
      </c>
      <c r="Q719" s="13">
        <f t="shared" si="44"/>
        <v>144</v>
      </c>
      <c r="R719" s="13">
        <f t="shared" si="45"/>
        <v>66</v>
      </c>
      <c r="S719" s="13">
        <f t="shared" si="46"/>
        <v>78</v>
      </c>
      <c r="T719" s="14">
        <f t="shared" si="47"/>
        <v>0.54166666666666663</v>
      </c>
    </row>
    <row r="720" spans="1:20">
      <c r="A720" t="s">
        <v>1424</v>
      </c>
      <c r="B720" s="8">
        <v>46227</v>
      </c>
      <c r="C720" t="s">
        <v>373</v>
      </c>
      <c r="D720" t="s">
        <v>74</v>
      </c>
      <c r="E720" t="s">
        <v>705</v>
      </c>
      <c r="F720" t="s">
        <v>698</v>
      </c>
      <c r="G720">
        <v>4</v>
      </c>
      <c r="H720" s="9">
        <v>0.15</v>
      </c>
      <c r="I720" t="s">
        <v>703</v>
      </c>
      <c r="J720">
        <v>5</v>
      </c>
      <c r="K720">
        <v>7</v>
      </c>
      <c r="L720" t="str">
        <f>VLOOKUP(D720,Products!A:E,2,FALSE)</f>
        <v>Printer Paper</v>
      </c>
      <c r="M720" t="str">
        <f>VLOOKUP(D720,Products!A:E,3,FALSE)</f>
        <v>Office Supplies</v>
      </c>
      <c r="N720">
        <f>VLOOKUP(D720,Products!A:E,4,FALSE)</f>
        <v>17</v>
      </c>
      <c r="O720" s="13">
        <f>VLOOKUP(D720,Products!A:E,5,FALSE)</f>
        <v>8</v>
      </c>
      <c r="P720" s="13" t="str">
        <f>VLOOKUP(C720,Customers!A:C,3,FALSE)</f>
        <v>Small Business</v>
      </c>
      <c r="Q720" s="13">
        <f t="shared" si="44"/>
        <v>57.8</v>
      </c>
      <c r="R720" s="13">
        <f t="shared" si="45"/>
        <v>32</v>
      </c>
      <c r="S720" s="13">
        <f t="shared" si="46"/>
        <v>25.799999999999997</v>
      </c>
      <c r="T720" s="14">
        <f t="shared" si="47"/>
        <v>0.44636678200692037</v>
      </c>
    </row>
    <row r="721" spans="1:20">
      <c r="A721" t="s">
        <v>1425</v>
      </c>
      <c r="B721" s="8">
        <v>45909</v>
      </c>
      <c r="C721" t="s">
        <v>415</v>
      </c>
      <c r="D721" t="s">
        <v>68</v>
      </c>
      <c r="E721" t="s">
        <v>705</v>
      </c>
      <c r="F721" t="s">
        <v>706</v>
      </c>
      <c r="G721">
        <v>2</v>
      </c>
      <c r="H721" s="9">
        <v>0.15</v>
      </c>
      <c r="I721" t="s">
        <v>699</v>
      </c>
      <c r="J721">
        <v>5</v>
      </c>
      <c r="K721">
        <v>5</v>
      </c>
      <c r="L721" t="str">
        <f>VLOOKUP(D721,Products!A:E,2,FALSE)</f>
        <v>Backpack</v>
      </c>
      <c r="M721" t="str">
        <f>VLOOKUP(D721,Products!A:E,3,FALSE)</f>
        <v>Accessories</v>
      </c>
      <c r="N721">
        <f>VLOOKUP(D721,Products!A:E,4,FALSE)</f>
        <v>85</v>
      </c>
      <c r="O721" s="13">
        <f>VLOOKUP(D721,Products!A:E,5,FALSE)</f>
        <v>39</v>
      </c>
      <c r="P721" s="13" t="str">
        <f>VLOOKUP(C721,Customers!A:C,3,FALSE)</f>
        <v>Small Business</v>
      </c>
      <c r="Q721" s="13">
        <f t="shared" si="44"/>
        <v>144.5</v>
      </c>
      <c r="R721" s="13">
        <f t="shared" si="45"/>
        <v>78</v>
      </c>
      <c r="S721" s="13">
        <f t="shared" si="46"/>
        <v>66.5</v>
      </c>
      <c r="T721" s="14">
        <f t="shared" si="47"/>
        <v>0.46020761245674741</v>
      </c>
    </row>
    <row r="722" spans="1:20">
      <c r="A722" t="s">
        <v>1426</v>
      </c>
      <c r="B722" s="8">
        <v>46145</v>
      </c>
      <c r="C722" t="s">
        <v>90</v>
      </c>
      <c r="D722" t="s">
        <v>45</v>
      </c>
      <c r="E722" t="s">
        <v>701</v>
      </c>
      <c r="F722" t="s">
        <v>702</v>
      </c>
      <c r="G722">
        <v>6</v>
      </c>
      <c r="H722" s="9">
        <v>0.1</v>
      </c>
      <c r="I722" t="s">
        <v>699</v>
      </c>
      <c r="J722">
        <v>4</v>
      </c>
      <c r="K722">
        <v>1</v>
      </c>
      <c r="L722" t="str">
        <f>VLOOKUP(D722,Products!A:E,2,FALSE)</f>
        <v>Laptop</v>
      </c>
      <c r="M722" t="str">
        <f>VLOOKUP(D722,Products!A:E,3,FALSE)</f>
        <v>Technology</v>
      </c>
      <c r="N722">
        <f>VLOOKUP(D722,Products!A:E,4,FALSE)</f>
        <v>1100</v>
      </c>
      <c r="O722" s="13">
        <f>VLOOKUP(D722,Products!A:E,5,FALSE)</f>
        <v>720</v>
      </c>
      <c r="P722" s="13" t="str">
        <f>VLOOKUP(C722,Customers!A:C,3,FALSE)</f>
        <v>Consumer</v>
      </c>
      <c r="Q722" s="13">
        <f t="shared" si="44"/>
        <v>5940</v>
      </c>
      <c r="R722" s="13">
        <f t="shared" si="45"/>
        <v>4320</v>
      </c>
      <c r="S722" s="13">
        <f t="shared" si="46"/>
        <v>1620</v>
      </c>
      <c r="T722" s="14">
        <f t="shared" si="47"/>
        <v>0.27272727272727271</v>
      </c>
    </row>
    <row r="723" spans="1:20">
      <c r="A723" t="s">
        <v>1427</v>
      </c>
      <c r="B723" s="8">
        <v>46209</v>
      </c>
      <c r="C723" t="s">
        <v>117</v>
      </c>
      <c r="D723" t="s">
        <v>77</v>
      </c>
      <c r="E723" t="s">
        <v>701</v>
      </c>
      <c r="F723" t="s">
        <v>702</v>
      </c>
      <c r="G723">
        <v>4</v>
      </c>
      <c r="H723" s="9">
        <v>0.1</v>
      </c>
      <c r="I723" t="s">
        <v>699</v>
      </c>
      <c r="J723">
        <v>3</v>
      </c>
      <c r="K723">
        <v>1</v>
      </c>
      <c r="L723" t="str">
        <f>VLOOKUP(D723,Products!A:E,2,FALSE)</f>
        <v>File Folder Pack</v>
      </c>
      <c r="M723" t="str">
        <f>VLOOKUP(D723,Products!A:E,3,FALSE)</f>
        <v>Office Supplies</v>
      </c>
      <c r="N723">
        <f>VLOOKUP(D723,Products!A:E,4,FALSE)</f>
        <v>23</v>
      </c>
      <c r="O723" s="13">
        <f>VLOOKUP(D723,Products!A:E,5,FALSE)</f>
        <v>10</v>
      </c>
      <c r="P723" s="13" t="str">
        <f>VLOOKUP(C723,Customers!A:C,3,FALSE)</f>
        <v>Corporate</v>
      </c>
      <c r="Q723" s="13">
        <f t="shared" si="44"/>
        <v>82.8</v>
      </c>
      <c r="R723" s="13">
        <f t="shared" si="45"/>
        <v>40</v>
      </c>
      <c r="S723" s="13">
        <f t="shared" si="46"/>
        <v>42.8</v>
      </c>
      <c r="T723" s="14">
        <f t="shared" si="47"/>
        <v>0.51690821256038644</v>
      </c>
    </row>
    <row r="724" spans="1:20">
      <c r="A724" t="s">
        <v>1428</v>
      </c>
      <c r="B724" s="8">
        <v>45785</v>
      </c>
      <c r="C724" t="s">
        <v>559</v>
      </c>
      <c r="D724" t="s">
        <v>70</v>
      </c>
      <c r="E724" t="s">
        <v>697</v>
      </c>
      <c r="F724" t="s">
        <v>702</v>
      </c>
      <c r="G724">
        <v>1</v>
      </c>
      <c r="H724" s="9">
        <v>0</v>
      </c>
      <c r="I724" t="s">
        <v>699</v>
      </c>
      <c r="J724">
        <v>5</v>
      </c>
      <c r="K724">
        <v>3</v>
      </c>
      <c r="L724" t="str">
        <f>VLOOKUP(D724,Products!A:E,2,FALSE)</f>
        <v>USB-C Hub</v>
      </c>
      <c r="M724" t="str">
        <f>VLOOKUP(D724,Products!A:E,3,FALSE)</f>
        <v>Accessories</v>
      </c>
      <c r="N724">
        <f>VLOOKUP(D724,Products!A:E,4,FALSE)</f>
        <v>68</v>
      </c>
      <c r="O724" s="13">
        <f>VLOOKUP(D724,Products!A:E,5,FALSE)</f>
        <v>31</v>
      </c>
      <c r="P724" s="13" t="str">
        <f>VLOOKUP(C724,Customers!A:C,3,FALSE)</f>
        <v>Small Business</v>
      </c>
      <c r="Q724" s="13">
        <f t="shared" si="44"/>
        <v>68</v>
      </c>
      <c r="R724" s="13">
        <f t="shared" si="45"/>
        <v>31</v>
      </c>
      <c r="S724" s="13">
        <f t="shared" si="46"/>
        <v>37</v>
      </c>
      <c r="T724" s="14">
        <f t="shared" si="47"/>
        <v>0.54411764705882348</v>
      </c>
    </row>
    <row r="725" spans="1:20">
      <c r="A725" t="s">
        <v>1429</v>
      </c>
      <c r="B725" s="8">
        <v>45854</v>
      </c>
      <c r="C725" t="s">
        <v>179</v>
      </c>
      <c r="D725" t="s">
        <v>65</v>
      </c>
      <c r="E725" t="s">
        <v>697</v>
      </c>
      <c r="F725" t="s">
        <v>702</v>
      </c>
      <c r="G725">
        <v>8</v>
      </c>
      <c r="H725" s="9">
        <v>0.2</v>
      </c>
      <c r="I725" t="s">
        <v>699</v>
      </c>
      <c r="J725">
        <v>4</v>
      </c>
      <c r="K725">
        <v>5</v>
      </c>
      <c r="L725" t="str">
        <f>VLOOKUP(D725,Products!A:E,2,FALSE)</f>
        <v>Laptop Stand</v>
      </c>
      <c r="M725" t="str">
        <f>VLOOKUP(D725,Products!A:E,3,FALSE)</f>
        <v>Accessories</v>
      </c>
      <c r="N725">
        <f>VLOOKUP(D725,Products!A:E,4,FALSE)</f>
        <v>48</v>
      </c>
      <c r="O725" s="13">
        <f>VLOOKUP(D725,Products!A:E,5,FALSE)</f>
        <v>22</v>
      </c>
      <c r="P725" s="13" t="str">
        <f>VLOOKUP(C725,Customers!A:C,3,FALSE)</f>
        <v>Consumer</v>
      </c>
      <c r="Q725" s="13">
        <f t="shared" si="44"/>
        <v>307.20000000000005</v>
      </c>
      <c r="R725" s="13">
        <f t="shared" si="45"/>
        <v>176</v>
      </c>
      <c r="S725" s="13">
        <f t="shared" si="46"/>
        <v>131.20000000000005</v>
      </c>
      <c r="T725" s="14">
        <f t="shared" si="47"/>
        <v>0.42708333333333343</v>
      </c>
    </row>
    <row r="726" spans="1:20">
      <c r="A726" t="s">
        <v>1430</v>
      </c>
      <c r="B726" s="8">
        <v>45872</v>
      </c>
      <c r="C726" t="s">
        <v>92</v>
      </c>
      <c r="D726" t="s">
        <v>58</v>
      </c>
      <c r="E726" t="s">
        <v>697</v>
      </c>
      <c r="F726" t="s">
        <v>698</v>
      </c>
      <c r="G726">
        <v>1</v>
      </c>
      <c r="H726" s="9">
        <v>0</v>
      </c>
      <c r="I726" t="s">
        <v>699</v>
      </c>
      <c r="J726">
        <v>3</v>
      </c>
      <c r="K726">
        <v>2</v>
      </c>
      <c r="L726" t="str">
        <f>VLOOKUP(D726,Products!A:E,2,FALSE)</f>
        <v>Standing Desk</v>
      </c>
      <c r="M726" t="str">
        <f>VLOOKUP(D726,Products!A:E,3,FALSE)</f>
        <v>Furniture</v>
      </c>
      <c r="N726">
        <f>VLOOKUP(D726,Products!A:E,4,FALSE)</f>
        <v>540</v>
      </c>
      <c r="O726" s="13">
        <f>VLOOKUP(D726,Products!A:E,5,FALSE)</f>
        <v>320</v>
      </c>
      <c r="P726" s="13" t="str">
        <f>VLOOKUP(C726,Customers!A:C,3,FALSE)</f>
        <v>Consumer</v>
      </c>
      <c r="Q726" s="13">
        <f t="shared" si="44"/>
        <v>540</v>
      </c>
      <c r="R726" s="13">
        <f t="shared" si="45"/>
        <v>320</v>
      </c>
      <c r="S726" s="13">
        <f t="shared" si="46"/>
        <v>220</v>
      </c>
      <c r="T726" s="14">
        <f t="shared" si="47"/>
        <v>0.40740740740740738</v>
      </c>
    </row>
    <row r="727" spans="1:20">
      <c r="A727" t="s">
        <v>1431</v>
      </c>
      <c r="B727" s="8">
        <v>46237</v>
      </c>
      <c r="C727" t="s">
        <v>665</v>
      </c>
      <c r="D727" t="s">
        <v>56</v>
      </c>
      <c r="E727" t="s">
        <v>705</v>
      </c>
      <c r="F727" t="s">
        <v>702</v>
      </c>
      <c r="G727">
        <v>1</v>
      </c>
      <c r="H727" s="9">
        <v>0</v>
      </c>
      <c r="I727" t="s">
        <v>699</v>
      </c>
      <c r="J727">
        <v>3</v>
      </c>
      <c r="K727">
        <v>5</v>
      </c>
      <c r="L727" t="str">
        <f>VLOOKUP(D727,Products!A:E,2,FALSE)</f>
        <v>Headset</v>
      </c>
      <c r="M727" t="str">
        <f>VLOOKUP(D727,Products!A:E,3,FALSE)</f>
        <v>Technology</v>
      </c>
      <c r="N727">
        <f>VLOOKUP(D727,Products!A:E,4,FALSE)</f>
        <v>98</v>
      </c>
      <c r="O727" s="13">
        <f>VLOOKUP(D727,Products!A:E,5,FALSE)</f>
        <v>46</v>
      </c>
      <c r="P727" s="13" t="str">
        <f>VLOOKUP(C727,Customers!A:C,3,FALSE)</f>
        <v>Consumer</v>
      </c>
      <c r="Q727" s="13">
        <f t="shared" si="44"/>
        <v>98</v>
      </c>
      <c r="R727" s="13">
        <f t="shared" si="45"/>
        <v>46</v>
      </c>
      <c r="S727" s="13">
        <f t="shared" si="46"/>
        <v>52</v>
      </c>
      <c r="T727" s="14">
        <f t="shared" si="47"/>
        <v>0.53061224489795922</v>
      </c>
    </row>
    <row r="728" spans="1:20">
      <c r="A728" t="s">
        <v>1432</v>
      </c>
      <c r="B728" s="8">
        <v>45938</v>
      </c>
      <c r="C728" t="s">
        <v>283</v>
      </c>
      <c r="D728" t="s">
        <v>45</v>
      </c>
      <c r="E728" t="s">
        <v>697</v>
      </c>
      <c r="F728" t="s">
        <v>698</v>
      </c>
      <c r="G728">
        <v>2</v>
      </c>
      <c r="H728" s="9">
        <v>0</v>
      </c>
      <c r="I728" t="s">
        <v>699</v>
      </c>
      <c r="J728">
        <v>4</v>
      </c>
      <c r="K728">
        <v>4</v>
      </c>
      <c r="L728" t="str">
        <f>VLOOKUP(D728,Products!A:E,2,FALSE)</f>
        <v>Laptop</v>
      </c>
      <c r="M728" t="str">
        <f>VLOOKUP(D728,Products!A:E,3,FALSE)</f>
        <v>Technology</v>
      </c>
      <c r="N728">
        <f>VLOOKUP(D728,Products!A:E,4,FALSE)</f>
        <v>1100</v>
      </c>
      <c r="O728" s="13">
        <f>VLOOKUP(D728,Products!A:E,5,FALSE)</f>
        <v>720</v>
      </c>
      <c r="P728" s="13" t="str">
        <f>VLOOKUP(C728,Customers!A:C,3,FALSE)</f>
        <v>Small Business</v>
      </c>
      <c r="Q728" s="13">
        <f t="shared" si="44"/>
        <v>2200</v>
      </c>
      <c r="R728" s="13">
        <f t="shared" si="45"/>
        <v>1440</v>
      </c>
      <c r="S728" s="13">
        <f t="shared" si="46"/>
        <v>760</v>
      </c>
      <c r="T728" s="14">
        <f t="shared" si="47"/>
        <v>0.34545454545454546</v>
      </c>
    </row>
    <row r="729" spans="1:20">
      <c r="A729" t="s">
        <v>1433</v>
      </c>
      <c r="B729" s="8">
        <v>45711</v>
      </c>
      <c r="C729" t="s">
        <v>417</v>
      </c>
      <c r="D729" t="s">
        <v>74</v>
      </c>
      <c r="E729" t="s">
        <v>697</v>
      </c>
      <c r="F729" t="s">
        <v>702</v>
      </c>
      <c r="G729">
        <v>1</v>
      </c>
      <c r="H729" s="9">
        <v>0.05</v>
      </c>
      <c r="I729" t="s">
        <v>699</v>
      </c>
      <c r="J729">
        <v>4</v>
      </c>
      <c r="K729">
        <v>1</v>
      </c>
      <c r="L729" t="str">
        <f>VLOOKUP(D729,Products!A:E,2,FALSE)</f>
        <v>Printer Paper</v>
      </c>
      <c r="M729" t="str">
        <f>VLOOKUP(D729,Products!A:E,3,FALSE)</f>
        <v>Office Supplies</v>
      </c>
      <c r="N729">
        <f>VLOOKUP(D729,Products!A:E,4,FALSE)</f>
        <v>17</v>
      </c>
      <c r="O729" s="13">
        <f>VLOOKUP(D729,Products!A:E,5,FALSE)</f>
        <v>8</v>
      </c>
      <c r="P729" s="13" t="str">
        <f>VLOOKUP(C729,Customers!A:C,3,FALSE)</f>
        <v>Consumer</v>
      </c>
      <c r="Q729" s="13">
        <f t="shared" si="44"/>
        <v>16.149999999999999</v>
      </c>
      <c r="R729" s="13">
        <f t="shared" si="45"/>
        <v>8</v>
      </c>
      <c r="S729" s="13">
        <f t="shared" si="46"/>
        <v>8.1499999999999986</v>
      </c>
      <c r="T729" s="14">
        <f t="shared" si="47"/>
        <v>0.50464396284829716</v>
      </c>
    </row>
    <row r="730" spans="1:20">
      <c r="A730" t="s">
        <v>1434</v>
      </c>
      <c r="B730" s="8">
        <v>45887</v>
      </c>
      <c r="C730" t="s">
        <v>135</v>
      </c>
      <c r="D730" t="s">
        <v>63</v>
      </c>
      <c r="E730" t="s">
        <v>697</v>
      </c>
      <c r="F730" t="s">
        <v>698</v>
      </c>
      <c r="G730">
        <v>1</v>
      </c>
      <c r="H730" s="9">
        <v>0</v>
      </c>
      <c r="I730" t="s">
        <v>699</v>
      </c>
      <c r="J730">
        <v>5</v>
      </c>
      <c r="K730">
        <v>1</v>
      </c>
      <c r="L730" t="str">
        <f>VLOOKUP(D730,Products!A:E,2,FALSE)</f>
        <v>Bookshelf</v>
      </c>
      <c r="M730" t="str">
        <f>VLOOKUP(D730,Products!A:E,3,FALSE)</f>
        <v>Furniture</v>
      </c>
      <c r="N730">
        <f>VLOOKUP(D730,Products!A:E,4,FALSE)</f>
        <v>185</v>
      </c>
      <c r="O730" s="13">
        <f>VLOOKUP(D730,Products!A:E,5,FALSE)</f>
        <v>105</v>
      </c>
      <c r="P730" s="13" t="str">
        <f>VLOOKUP(C730,Customers!A:C,3,FALSE)</f>
        <v>Small Business</v>
      </c>
      <c r="Q730" s="13">
        <f t="shared" si="44"/>
        <v>185</v>
      </c>
      <c r="R730" s="13">
        <f t="shared" si="45"/>
        <v>105</v>
      </c>
      <c r="S730" s="13">
        <f t="shared" si="46"/>
        <v>80</v>
      </c>
      <c r="T730" s="14">
        <f t="shared" si="47"/>
        <v>0.43243243243243246</v>
      </c>
    </row>
    <row r="731" spans="1:20">
      <c r="A731" t="s">
        <v>1435</v>
      </c>
      <c r="B731" s="8">
        <v>45889</v>
      </c>
      <c r="C731" t="s">
        <v>519</v>
      </c>
      <c r="D731" t="s">
        <v>50</v>
      </c>
      <c r="E731" t="s">
        <v>697</v>
      </c>
      <c r="F731" t="s">
        <v>702</v>
      </c>
      <c r="G731">
        <v>2</v>
      </c>
      <c r="H731" s="9">
        <v>0</v>
      </c>
      <c r="I731" t="s">
        <v>699</v>
      </c>
      <c r="J731">
        <v>1</v>
      </c>
      <c r="K731">
        <v>5</v>
      </c>
      <c r="L731" t="str">
        <f>VLOOKUP(D731,Products!A:E,2,FALSE)</f>
        <v>Keyboard</v>
      </c>
      <c r="M731" t="str">
        <f>VLOOKUP(D731,Products!A:E,3,FALSE)</f>
        <v>Technology</v>
      </c>
      <c r="N731">
        <f>VLOOKUP(D731,Products!A:E,4,FALSE)</f>
        <v>75</v>
      </c>
      <c r="O731" s="13">
        <f>VLOOKUP(D731,Products!A:E,5,FALSE)</f>
        <v>38</v>
      </c>
      <c r="P731" s="13" t="str">
        <f>VLOOKUP(C731,Customers!A:C,3,FALSE)</f>
        <v>Corporate</v>
      </c>
      <c r="Q731" s="13">
        <f t="shared" si="44"/>
        <v>150</v>
      </c>
      <c r="R731" s="13">
        <f t="shared" si="45"/>
        <v>76</v>
      </c>
      <c r="S731" s="13">
        <f t="shared" si="46"/>
        <v>74</v>
      </c>
      <c r="T731" s="14">
        <f t="shared" si="47"/>
        <v>0.49333333333333335</v>
      </c>
    </row>
    <row r="732" spans="1:20">
      <c r="A732" t="s">
        <v>1436</v>
      </c>
      <c r="B732" s="8">
        <v>46264</v>
      </c>
      <c r="C732" t="s">
        <v>429</v>
      </c>
      <c r="D732" t="s">
        <v>63</v>
      </c>
      <c r="E732" t="s">
        <v>708</v>
      </c>
      <c r="F732" t="s">
        <v>702</v>
      </c>
      <c r="G732">
        <v>7</v>
      </c>
      <c r="H732" s="9">
        <v>0.15</v>
      </c>
      <c r="I732" t="s">
        <v>699</v>
      </c>
      <c r="J732">
        <v>4</v>
      </c>
      <c r="K732">
        <v>2</v>
      </c>
      <c r="L732" t="str">
        <f>VLOOKUP(D732,Products!A:E,2,FALSE)</f>
        <v>Bookshelf</v>
      </c>
      <c r="M732" t="str">
        <f>VLOOKUP(D732,Products!A:E,3,FALSE)</f>
        <v>Furniture</v>
      </c>
      <c r="N732">
        <f>VLOOKUP(D732,Products!A:E,4,FALSE)</f>
        <v>185</v>
      </c>
      <c r="O732" s="13">
        <f>VLOOKUP(D732,Products!A:E,5,FALSE)</f>
        <v>105</v>
      </c>
      <c r="P732" s="13" t="str">
        <f>VLOOKUP(C732,Customers!A:C,3,FALSE)</f>
        <v>Corporate</v>
      </c>
      <c r="Q732" s="13">
        <f t="shared" si="44"/>
        <v>1100.75</v>
      </c>
      <c r="R732" s="13">
        <f t="shared" si="45"/>
        <v>735</v>
      </c>
      <c r="S732" s="13">
        <f t="shared" si="46"/>
        <v>365.75</v>
      </c>
      <c r="T732" s="14">
        <f t="shared" si="47"/>
        <v>0.33227344992050872</v>
      </c>
    </row>
    <row r="733" spans="1:20">
      <c r="A733" t="s">
        <v>1437</v>
      </c>
      <c r="B733" s="8">
        <v>45732</v>
      </c>
      <c r="C733" t="s">
        <v>535</v>
      </c>
      <c r="D733" t="s">
        <v>52</v>
      </c>
      <c r="E733" t="s">
        <v>701</v>
      </c>
      <c r="F733" t="s">
        <v>698</v>
      </c>
      <c r="G733">
        <v>1</v>
      </c>
      <c r="H733" s="9">
        <v>0</v>
      </c>
      <c r="I733" t="s">
        <v>699</v>
      </c>
      <c r="J733">
        <v>4</v>
      </c>
      <c r="K733">
        <v>1</v>
      </c>
      <c r="L733" t="str">
        <f>VLOOKUP(D733,Products!A:E,2,FALSE)</f>
        <v>Mouse</v>
      </c>
      <c r="M733" t="str">
        <f>VLOOKUP(D733,Products!A:E,3,FALSE)</f>
        <v>Technology</v>
      </c>
      <c r="N733">
        <f>VLOOKUP(D733,Products!A:E,4,FALSE)</f>
        <v>42</v>
      </c>
      <c r="O733" s="13">
        <f>VLOOKUP(D733,Products!A:E,5,FALSE)</f>
        <v>19</v>
      </c>
      <c r="P733" s="13" t="str">
        <f>VLOOKUP(C733,Customers!A:C,3,FALSE)</f>
        <v>Consumer</v>
      </c>
      <c r="Q733" s="13">
        <f t="shared" si="44"/>
        <v>42</v>
      </c>
      <c r="R733" s="13">
        <f t="shared" si="45"/>
        <v>19</v>
      </c>
      <c r="S733" s="13">
        <f t="shared" si="46"/>
        <v>23</v>
      </c>
      <c r="T733" s="14">
        <f t="shared" si="47"/>
        <v>0.54761904761904767</v>
      </c>
    </row>
    <row r="734" spans="1:20">
      <c r="A734" t="s">
        <v>1438</v>
      </c>
      <c r="B734" s="8">
        <v>45788</v>
      </c>
      <c r="C734" t="s">
        <v>149</v>
      </c>
      <c r="D734" t="s">
        <v>77</v>
      </c>
      <c r="E734" t="s">
        <v>705</v>
      </c>
      <c r="F734" t="s">
        <v>698</v>
      </c>
      <c r="G734">
        <v>2</v>
      </c>
      <c r="H734" s="9">
        <v>0</v>
      </c>
      <c r="I734" t="s">
        <v>699</v>
      </c>
      <c r="J734">
        <v>2</v>
      </c>
      <c r="K734">
        <v>8</v>
      </c>
      <c r="L734" t="str">
        <f>VLOOKUP(D734,Products!A:E,2,FALSE)</f>
        <v>File Folder Pack</v>
      </c>
      <c r="M734" t="str">
        <f>VLOOKUP(D734,Products!A:E,3,FALSE)</f>
        <v>Office Supplies</v>
      </c>
      <c r="N734">
        <f>VLOOKUP(D734,Products!A:E,4,FALSE)</f>
        <v>23</v>
      </c>
      <c r="O734" s="13">
        <f>VLOOKUP(D734,Products!A:E,5,FALSE)</f>
        <v>10</v>
      </c>
      <c r="P734" s="13" t="str">
        <f>VLOOKUP(C734,Customers!A:C,3,FALSE)</f>
        <v>Corporate</v>
      </c>
      <c r="Q734" s="13">
        <f t="shared" si="44"/>
        <v>46</v>
      </c>
      <c r="R734" s="13">
        <f t="shared" si="45"/>
        <v>20</v>
      </c>
      <c r="S734" s="13">
        <f t="shared" si="46"/>
        <v>26</v>
      </c>
      <c r="T734" s="14">
        <f t="shared" si="47"/>
        <v>0.56521739130434778</v>
      </c>
    </row>
    <row r="735" spans="1:20">
      <c r="A735" t="s">
        <v>1439</v>
      </c>
      <c r="B735" s="8">
        <v>45756</v>
      </c>
      <c r="C735" t="s">
        <v>507</v>
      </c>
      <c r="D735" t="s">
        <v>61</v>
      </c>
      <c r="E735" t="s">
        <v>697</v>
      </c>
      <c r="F735" t="s">
        <v>698</v>
      </c>
      <c r="G735">
        <v>3</v>
      </c>
      <c r="H735" s="9">
        <v>0</v>
      </c>
      <c r="I735" t="s">
        <v>699</v>
      </c>
      <c r="J735">
        <v>4</v>
      </c>
      <c r="K735">
        <v>5</v>
      </c>
      <c r="L735" t="str">
        <f>VLOOKUP(D735,Products!A:E,2,FALSE)</f>
        <v>Office Chair</v>
      </c>
      <c r="M735" t="str">
        <f>VLOOKUP(D735,Products!A:E,3,FALSE)</f>
        <v>Furniture</v>
      </c>
      <c r="N735">
        <f>VLOOKUP(D735,Products!A:E,4,FALSE)</f>
        <v>255</v>
      </c>
      <c r="O735" s="13">
        <f>VLOOKUP(D735,Products!A:E,5,FALSE)</f>
        <v>145</v>
      </c>
      <c r="P735" s="13" t="str">
        <f>VLOOKUP(C735,Customers!A:C,3,FALSE)</f>
        <v>Consumer</v>
      </c>
      <c r="Q735" s="13">
        <f t="shared" si="44"/>
        <v>765</v>
      </c>
      <c r="R735" s="13">
        <f t="shared" si="45"/>
        <v>435</v>
      </c>
      <c r="S735" s="13">
        <f t="shared" si="46"/>
        <v>330</v>
      </c>
      <c r="T735" s="14">
        <f t="shared" si="47"/>
        <v>0.43137254901960786</v>
      </c>
    </row>
    <row r="736" spans="1:20">
      <c r="A736" t="s">
        <v>1440</v>
      </c>
      <c r="B736" s="8">
        <v>45761</v>
      </c>
      <c r="C736" t="s">
        <v>433</v>
      </c>
      <c r="D736" t="s">
        <v>45</v>
      </c>
      <c r="E736" t="s">
        <v>715</v>
      </c>
      <c r="F736" t="s">
        <v>702</v>
      </c>
      <c r="G736">
        <v>1</v>
      </c>
      <c r="H736" s="9">
        <v>0</v>
      </c>
      <c r="I736" t="s">
        <v>699</v>
      </c>
      <c r="J736">
        <v>2</v>
      </c>
      <c r="K736">
        <v>4</v>
      </c>
      <c r="L736" t="str">
        <f>VLOOKUP(D736,Products!A:E,2,FALSE)</f>
        <v>Laptop</v>
      </c>
      <c r="M736" t="str">
        <f>VLOOKUP(D736,Products!A:E,3,FALSE)</f>
        <v>Technology</v>
      </c>
      <c r="N736">
        <f>VLOOKUP(D736,Products!A:E,4,FALSE)</f>
        <v>1100</v>
      </c>
      <c r="O736" s="13">
        <f>VLOOKUP(D736,Products!A:E,5,FALSE)</f>
        <v>720</v>
      </c>
      <c r="P736" s="13" t="str">
        <f>VLOOKUP(C736,Customers!A:C,3,FALSE)</f>
        <v>Corporate</v>
      </c>
      <c r="Q736" s="13">
        <f t="shared" si="44"/>
        <v>1100</v>
      </c>
      <c r="R736" s="13">
        <f t="shared" si="45"/>
        <v>720</v>
      </c>
      <c r="S736" s="13">
        <f t="shared" si="46"/>
        <v>380</v>
      </c>
      <c r="T736" s="14">
        <f t="shared" si="47"/>
        <v>0.34545454545454546</v>
      </c>
    </row>
    <row r="737" spans="1:20">
      <c r="A737" t="s">
        <v>1441</v>
      </c>
      <c r="B737" s="8">
        <v>46179</v>
      </c>
      <c r="C737" t="s">
        <v>349</v>
      </c>
      <c r="D737" t="s">
        <v>70</v>
      </c>
      <c r="E737" t="s">
        <v>715</v>
      </c>
      <c r="F737" t="s">
        <v>698</v>
      </c>
      <c r="G737">
        <v>2</v>
      </c>
      <c r="H737" s="9">
        <v>0</v>
      </c>
      <c r="I737" t="s">
        <v>699</v>
      </c>
      <c r="J737">
        <v>2</v>
      </c>
      <c r="K737">
        <v>7</v>
      </c>
      <c r="L737" t="str">
        <f>VLOOKUP(D737,Products!A:E,2,FALSE)</f>
        <v>USB-C Hub</v>
      </c>
      <c r="M737" t="str">
        <f>VLOOKUP(D737,Products!A:E,3,FALSE)</f>
        <v>Accessories</v>
      </c>
      <c r="N737">
        <f>VLOOKUP(D737,Products!A:E,4,FALSE)</f>
        <v>68</v>
      </c>
      <c r="O737" s="13">
        <f>VLOOKUP(D737,Products!A:E,5,FALSE)</f>
        <v>31</v>
      </c>
      <c r="P737" s="13" t="str">
        <f>VLOOKUP(C737,Customers!A:C,3,FALSE)</f>
        <v>Consumer</v>
      </c>
      <c r="Q737" s="13">
        <f t="shared" si="44"/>
        <v>136</v>
      </c>
      <c r="R737" s="13">
        <f t="shared" si="45"/>
        <v>62</v>
      </c>
      <c r="S737" s="13">
        <f t="shared" si="46"/>
        <v>74</v>
      </c>
      <c r="T737" s="14">
        <f t="shared" si="47"/>
        <v>0.54411764705882348</v>
      </c>
    </row>
    <row r="738" spans="1:20">
      <c r="A738" t="s">
        <v>1442</v>
      </c>
      <c r="B738" s="8">
        <v>46183</v>
      </c>
      <c r="C738" t="s">
        <v>453</v>
      </c>
      <c r="D738" t="s">
        <v>65</v>
      </c>
      <c r="E738" t="s">
        <v>715</v>
      </c>
      <c r="F738" t="s">
        <v>698</v>
      </c>
      <c r="G738">
        <v>1</v>
      </c>
      <c r="H738" s="9">
        <v>0.05</v>
      </c>
      <c r="I738" t="s">
        <v>699</v>
      </c>
      <c r="J738">
        <v>4</v>
      </c>
      <c r="K738">
        <v>1</v>
      </c>
      <c r="L738" t="str">
        <f>VLOOKUP(D738,Products!A:E,2,FALSE)</f>
        <v>Laptop Stand</v>
      </c>
      <c r="M738" t="str">
        <f>VLOOKUP(D738,Products!A:E,3,FALSE)</f>
        <v>Accessories</v>
      </c>
      <c r="N738">
        <f>VLOOKUP(D738,Products!A:E,4,FALSE)</f>
        <v>48</v>
      </c>
      <c r="O738" s="13">
        <f>VLOOKUP(D738,Products!A:E,5,FALSE)</f>
        <v>22</v>
      </c>
      <c r="P738" s="13" t="str">
        <f>VLOOKUP(C738,Customers!A:C,3,FALSE)</f>
        <v>Consumer</v>
      </c>
      <c r="Q738" s="13">
        <f t="shared" si="44"/>
        <v>45.599999999999994</v>
      </c>
      <c r="R738" s="13">
        <f t="shared" si="45"/>
        <v>22</v>
      </c>
      <c r="S738" s="13">
        <f t="shared" si="46"/>
        <v>23.599999999999994</v>
      </c>
      <c r="T738" s="14">
        <f t="shared" si="47"/>
        <v>0.51754385964912275</v>
      </c>
    </row>
    <row r="739" spans="1:20">
      <c r="A739" t="s">
        <v>1443</v>
      </c>
      <c r="B739" s="8">
        <v>46188</v>
      </c>
      <c r="C739" t="s">
        <v>235</v>
      </c>
      <c r="D739" t="s">
        <v>48</v>
      </c>
      <c r="E739" t="s">
        <v>708</v>
      </c>
      <c r="F739" t="s">
        <v>698</v>
      </c>
      <c r="G739">
        <v>3</v>
      </c>
      <c r="H739" s="9">
        <v>0</v>
      </c>
      <c r="I739" t="s">
        <v>699</v>
      </c>
      <c r="J739">
        <v>5</v>
      </c>
      <c r="K739">
        <v>2</v>
      </c>
      <c r="L739" t="str">
        <f>VLOOKUP(D739,Products!A:E,2,FALSE)</f>
        <v>Monitor</v>
      </c>
      <c r="M739" t="str">
        <f>VLOOKUP(D739,Products!A:E,3,FALSE)</f>
        <v>Technology</v>
      </c>
      <c r="N739">
        <f>VLOOKUP(D739,Products!A:E,4,FALSE)</f>
        <v>310</v>
      </c>
      <c r="O739" s="13">
        <f>VLOOKUP(D739,Products!A:E,5,FALSE)</f>
        <v>190</v>
      </c>
      <c r="P739" s="13" t="str">
        <f>VLOOKUP(C739,Customers!A:C,3,FALSE)</f>
        <v>Corporate</v>
      </c>
      <c r="Q739" s="13">
        <f t="shared" si="44"/>
        <v>930</v>
      </c>
      <c r="R739" s="13">
        <f t="shared" si="45"/>
        <v>570</v>
      </c>
      <c r="S739" s="13">
        <f t="shared" si="46"/>
        <v>360</v>
      </c>
      <c r="T739" s="14">
        <f t="shared" si="47"/>
        <v>0.38709677419354838</v>
      </c>
    </row>
    <row r="740" spans="1:20">
      <c r="A740" t="s">
        <v>1444</v>
      </c>
      <c r="B740" s="8">
        <v>45728</v>
      </c>
      <c r="C740" t="s">
        <v>435</v>
      </c>
      <c r="D740" t="s">
        <v>58</v>
      </c>
      <c r="E740" t="s">
        <v>701</v>
      </c>
      <c r="F740" t="s">
        <v>698</v>
      </c>
      <c r="G740">
        <v>8</v>
      </c>
      <c r="H740" s="9">
        <v>0.05</v>
      </c>
      <c r="I740" t="s">
        <v>699</v>
      </c>
      <c r="J740">
        <v>4</v>
      </c>
      <c r="K740">
        <v>3</v>
      </c>
      <c r="L740" t="str">
        <f>VLOOKUP(D740,Products!A:E,2,FALSE)</f>
        <v>Standing Desk</v>
      </c>
      <c r="M740" t="str">
        <f>VLOOKUP(D740,Products!A:E,3,FALSE)</f>
        <v>Furniture</v>
      </c>
      <c r="N740">
        <f>VLOOKUP(D740,Products!A:E,4,FALSE)</f>
        <v>540</v>
      </c>
      <c r="O740" s="13">
        <f>VLOOKUP(D740,Products!A:E,5,FALSE)</f>
        <v>320</v>
      </c>
      <c r="P740" s="13" t="str">
        <f>VLOOKUP(C740,Customers!A:C,3,FALSE)</f>
        <v>Small Business</v>
      </c>
      <c r="Q740" s="13">
        <f t="shared" si="44"/>
        <v>4104</v>
      </c>
      <c r="R740" s="13">
        <f t="shared" si="45"/>
        <v>2560</v>
      </c>
      <c r="S740" s="13">
        <f t="shared" si="46"/>
        <v>1544</v>
      </c>
      <c r="T740" s="14">
        <f t="shared" si="47"/>
        <v>0.37621832358674462</v>
      </c>
    </row>
    <row r="741" spans="1:20">
      <c r="A741" t="s">
        <v>1445</v>
      </c>
      <c r="B741" s="8">
        <v>45964</v>
      </c>
      <c r="C741" t="s">
        <v>515</v>
      </c>
      <c r="D741" t="s">
        <v>68</v>
      </c>
      <c r="E741" t="s">
        <v>705</v>
      </c>
      <c r="F741" t="s">
        <v>702</v>
      </c>
      <c r="G741">
        <v>4</v>
      </c>
      <c r="H741" s="9">
        <v>0</v>
      </c>
      <c r="I741" t="s">
        <v>699</v>
      </c>
      <c r="J741">
        <v>1</v>
      </c>
      <c r="K741">
        <v>4</v>
      </c>
      <c r="L741" t="str">
        <f>VLOOKUP(D741,Products!A:E,2,FALSE)</f>
        <v>Backpack</v>
      </c>
      <c r="M741" t="str">
        <f>VLOOKUP(D741,Products!A:E,3,FALSE)</f>
        <v>Accessories</v>
      </c>
      <c r="N741">
        <f>VLOOKUP(D741,Products!A:E,4,FALSE)</f>
        <v>85</v>
      </c>
      <c r="O741" s="13">
        <f>VLOOKUP(D741,Products!A:E,5,FALSE)</f>
        <v>39</v>
      </c>
      <c r="P741" s="13" t="str">
        <f>VLOOKUP(C741,Customers!A:C,3,FALSE)</f>
        <v>Small Business</v>
      </c>
      <c r="Q741" s="13">
        <f t="shared" si="44"/>
        <v>340</v>
      </c>
      <c r="R741" s="13">
        <f t="shared" si="45"/>
        <v>156</v>
      </c>
      <c r="S741" s="13">
        <f t="shared" si="46"/>
        <v>184</v>
      </c>
      <c r="T741" s="14">
        <f t="shared" si="47"/>
        <v>0.54117647058823526</v>
      </c>
    </row>
    <row r="742" spans="1:20">
      <c r="A742" t="s">
        <v>1446</v>
      </c>
      <c r="B742" s="8">
        <v>46135</v>
      </c>
      <c r="C742" t="s">
        <v>305</v>
      </c>
      <c r="D742" t="s">
        <v>61</v>
      </c>
      <c r="E742" t="s">
        <v>715</v>
      </c>
      <c r="F742" t="s">
        <v>698</v>
      </c>
      <c r="G742">
        <v>4</v>
      </c>
      <c r="H742" s="9">
        <v>0.1</v>
      </c>
      <c r="I742" t="s">
        <v>699</v>
      </c>
      <c r="J742">
        <v>4</v>
      </c>
      <c r="K742">
        <v>1</v>
      </c>
      <c r="L742" t="str">
        <f>VLOOKUP(D742,Products!A:E,2,FALSE)</f>
        <v>Office Chair</v>
      </c>
      <c r="M742" t="str">
        <f>VLOOKUP(D742,Products!A:E,3,FALSE)</f>
        <v>Furniture</v>
      </c>
      <c r="N742">
        <f>VLOOKUP(D742,Products!A:E,4,FALSE)</f>
        <v>255</v>
      </c>
      <c r="O742" s="13">
        <f>VLOOKUP(D742,Products!A:E,5,FALSE)</f>
        <v>145</v>
      </c>
      <c r="P742" s="13" t="str">
        <f>VLOOKUP(C742,Customers!A:C,3,FALSE)</f>
        <v>Small Business</v>
      </c>
      <c r="Q742" s="13">
        <f t="shared" si="44"/>
        <v>918</v>
      </c>
      <c r="R742" s="13">
        <f t="shared" si="45"/>
        <v>580</v>
      </c>
      <c r="S742" s="13">
        <f t="shared" si="46"/>
        <v>338</v>
      </c>
      <c r="T742" s="14">
        <f t="shared" si="47"/>
        <v>0.36819172113289761</v>
      </c>
    </row>
    <row r="743" spans="1:20">
      <c r="A743" t="s">
        <v>1447</v>
      </c>
      <c r="B743" s="8">
        <v>46029</v>
      </c>
      <c r="C743" t="s">
        <v>96</v>
      </c>
      <c r="D743" t="s">
        <v>50</v>
      </c>
      <c r="E743" t="s">
        <v>708</v>
      </c>
      <c r="F743" t="s">
        <v>698</v>
      </c>
      <c r="G743">
        <v>1</v>
      </c>
      <c r="H743" s="9">
        <v>0</v>
      </c>
      <c r="I743" t="s">
        <v>699</v>
      </c>
      <c r="J743">
        <v>5</v>
      </c>
      <c r="K743">
        <v>3</v>
      </c>
      <c r="L743" t="str">
        <f>VLOOKUP(D743,Products!A:E,2,FALSE)</f>
        <v>Keyboard</v>
      </c>
      <c r="M743" t="str">
        <f>VLOOKUP(D743,Products!A:E,3,FALSE)</f>
        <v>Technology</v>
      </c>
      <c r="N743">
        <f>VLOOKUP(D743,Products!A:E,4,FALSE)</f>
        <v>75</v>
      </c>
      <c r="O743" s="13">
        <f>VLOOKUP(D743,Products!A:E,5,FALSE)</f>
        <v>38</v>
      </c>
      <c r="P743" s="13" t="str">
        <f>VLOOKUP(C743,Customers!A:C,3,FALSE)</f>
        <v>Corporate</v>
      </c>
      <c r="Q743" s="13">
        <f t="shared" si="44"/>
        <v>75</v>
      </c>
      <c r="R743" s="13">
        <f t="shared" si="45"/>
        <v>38</v>
      </c>
      <c r="S743" s="13">
        <f t="shared" si="46"/>
        <v>37</v>
      </c>
      <c r="T743" s="14">
        <f t="shared" si="47"/>
        <v>0.49333333333333335</v>
      </c>
    </row>
    <row r="744" spans="1:20">
      <c r="A744" t="s">
        <v>1448</v>
      </c>
      <c r="B744" s="8">
        <v>45702</v>
      </c>
      <c r="C744" t="s">
        <v>117</v>
      </c>
      <c r="D744" t="s">
        <v>58</v>
      </c>
      <c r="E744" t="s">
        <v>705</v>
      </c>
      <c r="F744" t="s">
        <v>702</v>
      </c>
      <c r="G744">
        <v>5</v>
      </c>
      <c r="H744" s="9">
        <v>0.1</v>
      </c>
      <c r="I744" t="s">
        <v>699</v>
      </c>
      <c r="J744">
        <v>4</v>
      </c>
      <c r="K744">
        <v>2</v>
      </c>
      <c r="L744" t="str">
        <f>VLOOKUP(D744,Products!A:E,2,FALSE)</f>
        <v>Standing Desk</v>
      </c>
      <c r="M744" t="str">
        <f>VLOOKUP(D744,Products!A:E,3,FALSE)</f>
        <v>Furniture</v>
      </c>
      <c r="N744">
        <f>VLOOKUP(D744,Products!A:E,4,FALSE)</f>
        <v>540</v>
      </c>
      <c r="O744" s="13">
        <f>VLOOKUP(D744,Products!A:E,5,FALSE)</f>
        <v>320</v>
      </c>
      <c r="P744" s="13" t="str">
        <f>VLOOKUP(C744,Customers!A:C,3,FALSE)</f>
        <v>Corporate</v>
      </c>
      <c r="Q744" s="13">
        <f t="shared" si="44"/>
        <v>2430</v>
      </c>
      <c r="R744" s="13">
        <f t="shared" si="45"/>
        <v>1600</v>
      </c>
      <c r="S744" s="13">
        <f t="shared" si="46"/>
        <v>830</v>
      </c>
      <c r="T744" s="14">
        <f t="shared" si="47"/>
        <v>0.34156378600823045</v>
      </c>
    </row>
    <row r="745" spans="1:20">
      <c r="A745" t="s">
        <v>1449</v>
      </c>
      <c r="B745" s="8">
        <v>45858</v>
      </c>
      <c r="C745" t="s">
        <v>109</v>
      </c>
      <c r="D745" t="s">
        <v>56</v>
      </c>
      <c r="E745" t="s">
        <v>697</v>
      </c>
      <c r="F745" t="s">
        <v>706</v>
      </c>
      <c r="G745">
        <v>1</v>
      </c>
      <c r="H745" s="9">
        <v>0.1</v>
      </c>
      <c r="I745" t="s">
        <v>699</v>
      </c>
      <c r="J745">
        <v>5</v>
      </c>
      <c r="K745">
        <v>1</v>
      </c>
      <c r="L745" t="str">
        <f>VLOOKUP(D745,Products!A:E,2,FALSE)</f>
        <v>Headset</v>
      </c>
      <c r="M745" t="str">
        <f>VLOOKUP(D745,Products!A:E,3,FALSE)</f>
        <v>Technology</v>
      </c>
      <c r="N745">
        <f>VLOOKUP(D745,Products!A:E,4,FALSE)</f>
        <v>98</v>
      </c>
      <c r="O745" s="13">
        <f>VLOOKUP(D745,Products!A:E,5,FALSE)</f>
        <v>46</v>
      </c>
      <c r="P745" s="13" t="str">
        <f>VLOOKUP(C745,Customers!A:C,3,FALSE)</f>
        <v>Corporate</v>
      </c>
      <c r="Q745" s="13">
        <f t="shared" si="44"/>
        <v>88.2</v>
      </c>
      <c r="R745" s="13">
        <f t="shared" si="45"/>
        <v>46</v>
      </c>
      <c r="S745" s="13">
        <f t="shared" si="46"/>
        <v>42.2</v>
      </c>
      <c r="T745" s="14">
        <f t="shared" si="47"/>
        <v>0.47845804988662133</v>
      </c>
    </row>
    <row r="746" spans="1:20">
      <c r="A746" t="s">
        <v>1450</v>
      </c>
      <c r="B746" s="8">
        <v>46004</v>
      </c>
      <c r="C746" t="s">
        <v>301</v>
      </c>
      <c r="D746" t="s">
        <v>65</v>
      </c>
      <c r="E746" t="s">
        <v>715</v>
      </c>
      <c r="F746" t="s">
        <v>702</v>
      </c>
      <c r="G746">
        <v>2</v>
      </c>
      <c r="H746" s="9">
        <v>0</v>
      </c>
      <c r="I746" t="s">
        <v>699</v>
      </c>
      <c r="J746">
        <v>5</v>
      </c>
      <c r="K746">
        <v>5</v>
      </c>
      <c r="L746" t="str">
        <f>VLOOKUP(D746,Products!A:E,2,FALSE)</f>
        <v>Laptop Stand</v>
      </c>
      <c r="M746" t="str">
        <f>VLOOKUP(D746,Products!A:E,3,FALSE)</f>
        <v>Accessories</v>
      </c>
      <c r="N746">
        <f>VLOOKUP(D746,Products!A:E,4,FALSE)</f>
        <v>48</v>
      </c>
      <c r="O746" s="13">
        <f>VLOOKUP(D746,Products!A:E,5,FALSE)</f>
        <v>22</v>
      </c>
      <c r="P746" s="13" t="str">
        <f>VLOOKUP(C746,Customers!A:C,3,FALSE)</f>
        <v>Consumer</v>
      </c>
      <c r="Q746" s="13">
        <f t="shared" si="44"/>
        <v>96</v>
      </c>
      <c r="R746" s="13">
        <f t="shared" si="45"/>
        <v>44</v>
      </c>
      <c r="S746" s="13">
        <f t="shared" si="46"/>
        <v>52</v>
      </c>
      <c r="T746" s="14">
        <f t="shared" si="47"/>
        <v>0.54166666666666663</v>
      </c>
    </row>
    <row r="747" spans="1:20">
      <c r="A747" t="s">
        <v>1451</v>
      </c>
      <c r="B747" s="8">
        <v>46102</v>
      </c>
      <c r="C747" t="s">
        <v>153</v>
      </c>
      <c r="D747" t="s">
        <v>52</v>
      </c>
      <c r="E747" t="s">
        <v>705</v>
      </c>
      <c r="F747" t="s">
        <v>706</v>
      </c>
      <c r="G747">
        <v>4</v>
      </c>
      <c r="H747" s="9">
        <v>0</v>
      </c>
      <c r="I747" t="s">
        <v>699</v>
      </c>
      <c r="J747">
        <v>4</v>
      </c>
      <c r="K747">
        <v>5</v>
      </c>
      <c r="L747" t="str">
        <f>VLOOKUP(D747,Products!A:E,2,FALSE)</f>
        <v>Mouse</v>
      </c>
      <c r="M747" t="str">
        <f>VLOOKUP(D747,Products!A:E,3,FALSE)</f>
        <v>Technology</v>
      </c>
      <c r="N747">
        <f>VLOOKUP(D747,Products!A:E,4,FALSE)</f>
        <v>42</v>
      </c>
      <c r="O747" s="13">
        <f>VLOOKUP(D747,Products!A:E,5,FALSE)</f>
        <v>19</v>
      </c>
      <c r="P747" s="13" t="str">
        <f>VLOOKUP(C747,Customers!A:C,3,FALSE)</f>
        <v>Small Business</v>
      </c>
      <c r="Q747" s="13">
        <f t="shared" si="44"/>
        <v>168</v>
      </c>
      <c r="R747" s="13">
        <f t="shared" si="45"/>
        <v>76</v>
      </c>
      <c r="S747" s="13">
        <f t="shared" si="46"/>
        <v>92</v>
      </c>
      <c r="T747" s="14">
        <f t="shared" si="47"/>
        <v>0.54761904761904767</v>
      </c>
    </row>
    <row r="748" spans="1:20">
      <c r="A748" t="s">
        <v>1452</v>
      </c>
      <c r="B748" s="8">
        <v>46097</v>
      </c>
      <c r="C748" t="s">
        <v>337</v>
      </c>
      <c r="D748" t="s">
        <v>48</v>
      </c>
      <c r="E748" t="s">
        <v>701</v>
      </c>
      <c r="F748" t="s">
        <v>698</v>
      </c>
      <c r="G748">
        <v>5</v>
      </c>
      <c r="H748" s="9">
        <v>0</v>
      </c>
      <c r="I748" t="s">
        <v>699</v>
      </c>
      <c r="J748">
        <v>3</v>
      </c>
      <c r="K748">
        <v>3</v>
      </c>
      <c r="L748" t="str">
        <f>VLOOKUP(D748,Products!A:E,2,FALSE)</f>
        <v>Monitor</v>
      </c>
      <c r="M748" t="str">
        <f>VLOOKUP(D748,Products!A:E,3,FALSE)</f>
        <v>Technology</v>
      </c>
      <c r="N748">
        <f>VLOOKUP(D748,Products!A:E,4,FALSE)</f>
        <v>310</v>
      </c>
      <c r="O748" s="13">
        <f>VLOOKUP(D748,Products!A:E,5,FALSE)</f>
        <v>190</v>
      </c>
      <c r="P748" s="13" t="str">
        <f>VLOOKUP(C748,Customers!A:C,3,FALSE)</f>
        <v>Consumer</v>
      </c>
      <c r="Q748" s="13">
        <f t="shared" si="44"/>
        <v>1550</v>
      </c>
      <c r="R748" s="13">
        <f t="shared" si="45"/>
        <v>950</v>
      </c>
      <c r="S748" s="13">
        <f t="shared" si="46"/>
        <v>600</v>
      </c>
      <c r="T748" s="14">
        <f t="shared" si="47"/>
        <v>0.38709677419354838</v>
      </c>
    </row>
    <row r="749" spans="1:20">
      <c r="A749" t="s">
        <v>1453</v>
      </c>
      <c r="B749" s="8">
        <v>45787</v>
      </c>
      <c r="C749" t="s">
        <v>607</v>
      </c>
      <c r="D749" t="s">
        <v>79</v>
      </c>
      <c r="E749" t="s">
        <v>705</v>
      </c>
      <c r="F749" t="s">
        <v>702</v>
      </c>
      <c r="G749">
        <v>2</v>
      </c>
      <c r="H749" s="9">
        <v>0.1</v>
      </c>
      <c r="I749" t="s">
        <v>699</v>
      </c>
      <c r="J749">
        <v>4</v>
      </c>
      <c r="K749">
        <v>5</v>
      </c>
      <c r="L749" t="str">
        <f>VLOOKUP(D749,Products!A:E,2,FALSE)</f>
        <v>Desk Organiser</v>
      </c>
      <c r="M749" t="str">
        <f>VLOOKUP(D749,Products!A:E,3,FALSE)</f>
        <v>Office Supplies</v>
      </c>
      <c r="N749">
        <f>VLOOKUP(D749,Products!A:E,4,FALSE)</f>
        <v>28</v>
      </c>
      <c r="O749" s="13">
        <f>VLOOKUP(D749,Products!A:E,5,FALSE)</f>
        <v>12</v>
      </c>
      <c r="P749" s="13" t="str">
        <f>VLOOKUP(C749,Customers!A:C,3,FALSE)</f>
        <v>Small Business</v>
      </c>
      <c r="Q749" s="13">
        <f t="shared" si="44"/>
        <v>50.4</v>
      </c>
      <c r="R749" s="13">
        <f t="shared" si="45"/>
        <v>24</v>
      </c>
      <c r="S749" s="13">
        <f t="shared" si="46"/>
        <v>26.4</v>
      </c>
      <c r="T749" s="14">
        <f t="shared" si="47"/>
        <v>0.52380952380952384</v>
      </c>
    </row>
    <row r="750" spans="1:20">
      <c r="A750" t="s">
        <v>1454</v>
      </c>
      <c r="B750" s="8">
        <v>46041</v>
      </c>
      <c r="C750" t="s">
        <v>597</v>
      </c>
      <c r="D750" t="s">
        <v>77</v>
      </c>
      <c r="E750" t="s">
        <v>705</v>
      </c>
      <c r="F750" t="s">
        <v>698</v>
      </c>
      <c r="G750">
        <v>2</v>
      </c>
      <c r="H750" s="9">
        <v>0.05</v>
      </c>
      <c r="I750" t="s">
        <v>703</v>
      </c>
      <c r="J750">
        <v>4</v>
      </c>
      <c r="K750">
        <v>9</v>
      </c>
      <c r="L750" t="str">
        <f>VLOOKUP(D750,Products!A:E,2,FALSE)</f>
        <v>File Folder Pack</v>
      </c>
      <c r="M750" t="str">
        <f>VLOOKUP(D750,Products!A:E,3,FALSE)</f>
        <v>Office Supplies</v>
      </c>
      <c r="N750">
        <f>VLOOKUP(D750,Products!A:E,4,FALSE)</f>
        <v>23</v>
      </c>
      <c r="O750" s="13">
        <f>VLOOKUP(D750,Products!A:E,5,FALSE)</f>
        <v>10</v>
      </c>
      <c r="P750" s="13" t="str">
        <f>VLOOKUP(C750,Customers!A:C,3,FALSE)</f>
        <v>Small Business</v>
      </c>
      <c r="Q750" s="13">
        <f t="shared" si="44"/>
        <v>43.699999999999996</v>
      </c>
      <c r="R750" s="13">
        <f t="shared" si="45"/>
        <v>20</v>
      </c>
      <c r="S750" s="13">
        <f t="shared" si="46"/>
        <v>23.699999999999996</v>
      </c>
      <c r="T750" s="14">
        <f t="shared" si="47"/>
        <v>0.54233409610983974</v>
      </c>
    </row>
    <row r="751" spans="1:20">
      <c r="A751" t="s">
        <v>1455</v>
      </c>
      <c r="B751" s="8">
        <v>46255</v>
      </c>
      <c r="C751" t="s">
        <v>123</v>
      </c>
      <c r="D751" t="s">
        <v>58</v>
      </c>
      <c r="E751" t="s">
        <v>705</v>
      </c>
      <c r="F751" t="s">
        <v>702</v>
      </c>
      <c r="G751">
        <v>5</v>
      </c>
      <c r="H751" s="9">
        <v>0</v>
      </c>
      <c r="I751" t="s">
        <v>699</v>
      </c>
      <c r="J751">
        <v>5</v>
      </c>
      <c r="K751">
        <v>5</v>
      </c>
      <c r="L751" t="str">
        <f>VLOOKUP(D751,Products!A:E,2,FALSE)</f>
        <v>Standing Desk</v>
      </c>
      <c r="M751" t="str">
        <f>VLOOKUP(D751,Products!A:E,3,FALSE)</f>
        <v>Furniture</v>
      </c>
      <c r="N751">
        <f>VLOOKUP(D751,Products!A:E,4,FALSE)</f>
        <v>540</v>
      </c>
      <c r="O751" s="13">
        <f>VLOOKUP(D751,Products!A:E,5,FALSE)</f>
        <v>320</v>
      </c>
      <c r="P751" s="13" t="str">
        <f>VLOOKUP(C751,Customers!A:C,3,FALSE)</f>
        <v>Small Business</v>
      </c>
      <c r="Q751" s="13">
        <f t="shared" si="44"/>
        <v>2700</v>
      </c>
      <c r="R751" s="13">
        <f t="shared" si="45"/>
        <v>1600</v>
      </c>
      <c r="S751" s="13">
        <f t="shared" si="46"/>
        <v>1100</v>
      </c>
      <c r="T751" s="14">
        <f t="shared" si="47"/>
        <v>0.40740740740740738</v>
      </c>
    </row>
    <row r="752" spans="1:20">
      <c r="A752" t="s">
        <v>1456</v>
      </c>
      <c r="B752" s="8">
        <v>45818</v>
      </c>
      <c r="C752" t="s">
        <v>469</v>
      </c>
      <c r="D752" t="s">
        <v>63</v>
      </c>
      <c r="E752" t="s">
        <v>715</v>
      </c>
      <c r="F752" t="s">
        <v>702</v>
      </c>
      <c r="G752">
        <v>1</v>
      </c>
      <c r="H752" s="9">
        <v>0</v>
      </c>
      <c r="I752" t="s">
        <v>699</v>
      </c>
      <c r="J752">
        <v>4</v>
      </c>
      <c r="K752">
        <v>4</v>
      </c>
      <c r="L752" t="str">
        <f>VLOOKUP(D752,Products!A:E,2,FALSE)</f>
        <v>Bookshelf</v>
      </c>
      <c r="M752" t="str">
        <f>VLOOKUP(D752,Products!A:E,3,FALSE)</f>
        <v>Furniture</v>
      </c>
      <c r="N752">
        <f>VLOOKUP(D752,Products!A:E,4,FALSE)</f>
        <v>185</v>
      </c>
      <c r="O752" s="13">
        <f>VLOOKUP(D752,Products!A:E,5,FALSE)</f>
        <v>105</v>
      </c>
      <c r="P752" s="13" t="str">
        <f>VLOOKUP(C752,Customers!A:C,3,FALSE)</f>
        <v>Consumer</v>
      </c>
      <c r="Q752" s="13">
        <f t="shared" si="44"/>
        <v>185</v>
      </c>
      <c r="R752" s="13">
        <f t="shared" si="45"/>
        <v>105</v>
      </c>
      <c r="S752" s="13">
        <f t="shared" si="46"/>
        <v>80</v>
      </c>
      <c r="T752" s="14">
        <f t="shared" si="47"/>
        <v>0.43243243243243246</v>
      </c>
    </row>
    <row r="753" spans="1:20">
      <c r="A753" t="s">
        <v>1457</v>
      </c>
      <c r="B753" s="8">
        <v>46182</v>
      </c>
      <c r="C753" t="s">
        <v>431</v>
      </c>
      <c r="D753" t="s">
        <v>74</v>
      </c>
      <c r="E753" t="s">
        <v>715</v>
      </c>
      <c r="F753" t="s">
        <v>702</v>
      </c>
      <c r="G753">
        <v>2</v>
      </c>
      <c r="H753" s="9">
        <v>0.05</v>
      </c>
      <c r="I753" t="s">
        <v>699</v>
      </c>
      <c r="J753">
        <v>1</v>
      </c>
      <c r="K753">
        <v>6</v>
      </c>
      <c r="L753" t="str">
        <f>VLOOKUP(D753,Products!A:E,2,FALSE)</f>
        <v>Printer Paper</v>
      </c>
      <c r="M753" t="str">
        <f>VLOOKUP(D753,Products!A:E,3,FALSE)</f>
        <v>Office Supplies</v>
      </c>
      <c r="N753">
        <f>VLOOKUP(D753,Products!A:E,4,FALSE)</f>
        <v>17</v>
      </c>
      <c r="O753" s="13">
        <f>VLOOKUP(D753,Products!A:E,5,FALSE)</f>
        <v>8</v>
      </c>
      <c r="P753" s="13" t="str">
        <f>VLOOKUP(C753,Customers!A:C,3,FALSE)</f>
        <v>Consumer</v>
      </c>
      <c r="Q753" s="13">
        <f t="shared" si="44"/>
        <v>32.299999999999997</v>
      </c>
      <c r="R753" s="13">
        <f t="shared" si="45"/>
        <v>16</v>
      </c>
      <c r="S753" s="13">
        <f t="shared" si="46"/>
        <v>16.299999999999997</v>
      </c>
      <c r="T753" s="14">
        <f t="shared" si="47"/>
        <v>0.50464396284829716</v>
      </c>
    </row>
    <row r="754" spans="1:20">
      <c r="A754" t="s">
        <v>1458</v>
      </c>
      <c r="B754" s="8">
        <v>45929</v>
      </c>
      <c r="C754" t="s">
        <v>163</v>
      </c>
      <c r="D754" t="s">
        <v>70</v>
      </c>
      <c r="E754" t="s">
        <v>697</v>
      </c>
      <c r="F754" t="s">
        <v>702</v>
      </c>
      <c r="G754">
        <v>2</v>
      </c>
      <c r="H754" s="9">
        <v>0.05</v>
      </c>
      <c r="I754" t="s">
        <v>699</v>
      </c>
      <c r="J754">
        <v>4</v>
      </c>
      <c r="K754">
        <v>2</v>
      </c>
      <c r="L754" t="str">
        <f>VLOOKUP(D754,Products!A:E,2,FALSE)</f>
        <v>USB-C Hub</v>
      </c>
      <c r="M754" t="str">
        <f>VLOOKUP(D754,Products!A:E,3,FALSE)</f>
        <v>Accessories</v>
      </c>
      <c r="N754">
        <f>VLOOKUP(D754,Products!A:E,4,FALSE)</f>
        <v>68</v>
      </c>
      <c r="O754" s="13">
        <f>VLOOKUP(D754,Products!A:E,5,FALSE)</f>
        <v>31</v>
      </c>
      <c r="P754" s="13" t="str">
        <f>VLOOKUP(C754,Customers!A:C,3,FALSE)</f>
        <v>Small Business</v>
      </c>
      <c r="Q754" s="13">
        <f t="shared" si="44"/>
        <v>129.19999999999999</v>
      </c>
      <c r="R754" s="13">
        <f t="shared" si="45"/>
        <v>62</v>
      </c>
      <c r="S754" s="13">
        <f t="shared" si="46"/>
        <v>67.199999999999989</v>
      </c>
      <c r="T754" s="14">
        <f t="shared" si="47"/>
        <v>0.52012383900928794</v>
      </c>
    </row>
    <row r="755" spans="1:20">
      <c r="A755" t="s">
        <v>1459</v>
      </c>
      <c r="B755" s="8">
        <v>45758</v>
      </c>
      <c r="C755" t="s">
        <v>207</v>
      </c>
      <c r="D755" t="s">
        <v>50</v>
      </c>
      <c r="E755" t="s">
        <v>708</v>
      </c>
      <c r="F755" t="s">
        <v>698</v>
      </c>
      <c r="G755">
        <v>2</v>
      </c>
      <c r="H755" s="9">
        <v>0.1</v>
      </c>
      <c r="I755" t="s">
        <v>699</v>
      </c>
      <c r="J755">
        <v>5</v>
      </c>
      <c r="K755">
        <v>3</v>
      </c>
      <c r="L755" t="str">
        <f>VLOOKUP(D755,Products!A:E,2,FALSE)</f>
        <v>Keyboard</v>
      </c>
      <c r="M755" t="str">
        <f>VLOOKUP(D755,Products!A:E,3,FALSE)</f>
        <v>Technology</v>
      </c>
      <c r="N755">
        <f>VLOOKUP(D755,Products!A:E,4,FALSE)</f>
        <v>75</v>
      </c>
      <c r="O755" s="13">
        <f>VLOOKUP(D755,Products!A:E,5,FALSE)</f>
        <v>38</v>
      </c>
      <c r="P755" s="13" t="str">
        <f>VLOOKUP(C755,Customers!A:C,3,FALSE)</f>
        <v>Small Business</v>
      </c>
      <c r="Q755" s="13">
        <f t="shared" si="44"/>
        <v>135</v>
      </c>
      <c r="R755" s="13">
        <f t="shared" si="45"/>
        <v>76</v>
      </c>
      <c r="S755" s="13">
        <f t="shared" si="46"/>
        <v>59</v>
      </c>
      <c r="T755" s="14">
        <f t="shared" si="47"/>
        <v>0.43703703703703706</v>
      </c>
    </row>
    <row r="756" spans="1:20">
      <c r="A756" t="s">
        <v>1460</v>
      </c>
      <c r="B756" s="8">
        <v>45853</v>
      </c>
      <c r="C756" t="s">
        <v>227</v>
      </c>
      <c r="D756" t="s">
        <v>63</v>
      </c>
      <c r="E756" t="s">
        <v>705</v>
      </c>
      <c r="F756" t="s">
        <v>702</v>
      </c>
      <c r="G756">
        <v>5</v>
      </c>
      <c r="H756" s="9">
        <v>0.1</v>
      </c>
      <c r="I756" t="s">
        <v>699</v>
      </c>
      <c r="J756">
        <v>4</v>
      </c>
      <c r="K756">
        <v>5</v>
      </c>
      <c r="L756" t="str">
        <f>VLOOKUP(D756,Products!A:E,2,FALSE)</f>
        <v>Bookshelf</v>
      </c>
      <c r="M756" t="str">
        <f>VLOOKUP(D756,Products!A:E,3,FALSE)</f>
        <v>Furniture</v>
      </c>
      <c r="N756">
        <f>VLOOKUP(D756,Products!A:E,4,FALSE)</f>
        <v>185</v>
      </c>
      <c r="O756" s="13">
        <f>VLOOKUP(D756,Products!A:E,5,FALSE)</f>
        <v>105</v>
      </c>
      <c r="P756" s="13" t="str">
        <f>VLOOKUP(C756,Customers!A:C,3,FALSE)</f>
        <v>Consumer</v>
      </c>
      <c r="Q756" s="13">
        <f t="shared" si="44"/>
        <v>832.5</v>
      </c>
      <c r="R756" s="13">
        <f t="shared" si="45"/>
        <v>525</v>
      </c>
      <c r="S756" s="13">
        <f t="shared" si="46"/>
        <v>307.5</v>
      </c>
      <c r="T756" s="14">
        <f t="shared" si="47"/>
        <v>0.36936936936936937</v>
      </c>
    </row>
    <row r="757" spans="1:20">
      <c r="A757" t="s">
        <v>1461</v>
      </c>
      <c r="B757" s="8">
        <v>45670</v>
      </c>
      <c r="C757" t="s">
        <v>569</v>
      </c>
      <c r="D757" t="s">
        <v>54</v>
      </c>
      <c r="E757" t="s">
        <v>697</v>
      </c>
      <c r="F757" t="s">
        <v>702</v>
      </c>
      <c r="G757">
        <v>4</v>
      </c>
      <c r="H757" s="9">
        <v>0</v>
      </c>
      <c r="I757" t="s">
        <v>699</v>
      </c>
      <c r="J757">
        <v>4</v>
      </c>
      <c r="K757">
        <v>5</v>
      </c>
      <c r="L757" t="str">
        <f>VLOOKUP(D757,Products!A:E,2,FALSE)</f>
        <v>Webcam</v>
      </c>
      <c r="M757" t="str">
        <f>VLOOKUP(D757,Products!A:E,3,FALSE)</f>
        <v>Technology</v>
      </c>
      <c r="N757">
        <f>VLOOKUP(D757,Products!A:E,4,FALSE)</f>
        <v>115</v>
      </c>
      <c r="O757" s="13">
        <f>VLOOKUP(D757,Products!A:E,5,FALSE)</f>
        <v>58</v>
      </c>
      <c r="P757" s="13" t="str">
        <f>VLOOKUP(C757,Customers!A:C,3,FALSE)</f>
        <v>Corporate</v>
      </c>
      <c r="Q757" s="13">
        <f t="shared" si="44"/>
        <v>460</v>
      </c>
      <c r="R757" s="13">
        <f t="shared" si="45"/>
        <v>232</v>
      </c>
      <c r="S757" s="13">
        <f t="shared" si="46"/>
        <v>228</v>
      </c>
      <c r="T757" s="14">
        <f t="shared" si="47"/>
        <v>0.4956521739130435</v>
      </c>
    </row>
    <row r="758" spans="1:20">
      <c r="A758" t="s">
        <v>1462</v>
      </c>
      <c r="B758" s="8">
        <v>46137</v>
      </c>
      <c r="C758" t="s">
        <v>559</v>
      </c>
      <c r="D758" t="s">
        <v>68</v>
      </c>
      <c r="E758" t="s">
        <v>697</v>
      </c>
      <c r="F758" t="s">
        <v>702</v>
      </c>
      <c r="G758">
        <v>1</v>
      </c>
      <c r="H758" s="9">
        <v>0.1</v>
      </c>
      <c r="I758" t="s">
        <v>699</v>
      </c>
      <c r="J758">
        <v>3</v>
      </c>
      <c r="K758">
        <v>4</v>
      </c>
      <c r="L758" t="str">
        <f>VLOOKUP(D758,Products!A:E,2,FALSE)</f>
        <v>Backpack</v>
      </c>
      <c r="M758" t="str">
        <f>VLOOKUP(D758,Products!A:E,3,FALSE)</f>
        <v>Accessories</v>
      </c>
      <c r="N758">
        <f>VLOOKUP(D758,Products!A:E,4,FALSE)</f>
        <v>85</v>
      </c>
      <c r="O758" s="13">
        <f>VLOOKUP(D758,Products!A:E,5,FALSE)</f>
        <v>39</v>
      </c>
      <c r="P758" s="13" t="str">
        <f>VLOOKUP(C758,Customers!A:C,3,FALSE)</f>
        <v>Small Business</v>
      </c>
      <c r="Q758" s="13">
        <f t="shared" si="44"/>
        <v>76.5</v>
      </c>
      <c r="R758" s="13">
        <f t="shared" si="45"/>
        <v>39</v>
      </c>
      <c r="S758" s="13">
        <f t="shared" si="46"/>
        <v>37.5</v>
      </c>
      <c r="T758" s="14">
        <f t="shared" si="47"/>
        <v>0.49019607843137253</v>
      </c>
    </row>
    <row r="759" spans="1:20">
      <c r="A759" t="s">
        <v>1463</v>
      </c>
      <c r="B759" s="8">
        <v>46229</v>
      </c>
      <c r="C759" t="s">
        <v>117</v>
      </c>
      <c r="D759" t="s">
        <v>70</v>
      </c>
      <c r="E759" t="s">
        <v>705</v>
      </c>
      <c r="F759" t="s">
        <v>706</v>
      </c>
      <c r="G759">
        <v>1</v>
      </c>
      <c r="H759" s="9">
        <v>0.1</v>
      </c>
      <c r="I759" t="s">
        <v>699</v>
      </c>
      <c r="J759">
        <v>5</v>
      </c>
      <c r="K759">
        <v>3</v>
      </c>
      <c r="L759" t="str">
        <f>VLOOKUP(D759,Products!A:E,2,FALSE)</f>
        <v>USB-C Hub</v>
      </c>
      <c r="M759" t="str">
        <f>VLOOKUP(D759,Products!A:E,3,FALSE)</f>
        <v>Accessories</v>
      </c>
      <c r="N759">
        <f>VLOOKUP(D759,Products!A:E,4,FALSE)</f>
        <v>68</v>
      </c>
      <c r="O759" s="13">
        <f>VLOOKUP(D759,Products!A:E,5,FALSE)</f>
        <v>31</v>
      </c>
      <c r="P759" s="13" t="str">
        <f>VLOOKUP(C759,Customers!A:C,3,FALSE)</f>
        <v>Corporate</v>
      </c>
      <c r="Q759" s="13">
        <f t="shared" si="44"/>
        <v>61.2</v>
      </c>
      <c r="R759" s="13">
        <f t="shared" si="45"/>
        <v>31</v>
      </c>
      <c r="S759" s="13">
        <f t="shared" si="46"/>
        <v>30.200000000000003</v>
      </c>
      <c r="T759" s="14">
        <f t="shared" si="47"/>
        <v>0.49346405228758172</v>
      </c>
    </row>
    <row r="760" spans="1:20">
      <c r="A760" t="s">
        <v>1464</v>
      </c>
      <c r="B760" s="8">
        <v>46005</v>
      </c>
      <c r="C760" t="s">
        <v>317</v>
      </c>
      <c r="D760" t="s">
        <v>74</v>
      </c>
      <c r="E760" t="s">
        <v>715</v>
      </c>
      <c r="F760" t="s">
        <v>698</v>
      </c>
      <c r="G760">
        <v>4</v>
      </c>
      <c r="H760" s="9">
        <v>0.1</v>
      </c>
      <c r="I760" t="s">
        <v>699</v>
      </c>
      <c r="J760">
        <v>4</v>
      </c>
      <c r="K760">
        <v>5</v>
      </c>
      <c r="L760" t="str">
        <f>VLOOKUP(D760,Products!A:E,2,FALSE)</f>
        <v>Printer Paper</v>
      </c>
      <c r="M760" t="str">
        <f>VLOOKUP(D760,Products!A:E,3,FALSE)</f>
        <v>Office Supplies</v>
      </c>
      <c r="N760">
        <f>VLOOKUP(D760,Products!A:E,4,FALSE)</f>
        <v>17</v>
      </c>
      <c r="O760" s="13">
        <f>VLOOKUP(D760,Products!A:E,5,FALSE)</f>
        <v>8</v>
      </c>
      <c r="P760" s="13" t="str">
        <f>VLOOKUP(C760,Customers!A:C,3,FALSE)</f>
        <v>Small Business</v>
      </c>
      <c r="Q760" s="13">
        <f t="shared" si="44"/>
        <v>61.2</v>
      </c>
      <c r="R760" s="13">
        <f t="shared" si="45"/>
        <v>32</v>
      </c>
      <c r="S760" s="13">
        <f t="shared" si="46"/>
        <v>29.200000000000003</v>
      </c>
      <c r="T760" s="14">
        <f t="shared" si="47"/>
        <v>0.47712418300653597</v>
      </c>
    </row>
    <row r="761" spans="1:20">
      <c r="A761" t="s">
        <v>1465</v>
      </c>
      <c r="B761" s="8">
        <v>45690</v>
      </c>
      <c r="C761" t="s">
        <v>229</v>
      </c>
      <c r="D761" t="s">
        <v>54</v>
      </c>
      <c r="E761" t="s">
        <v>697</v>
      </c>
      <c r="F761" t="s">
        <v>706</v>
      </c>
      <c r="G761">
        <v>3</v>
      </c>
      <c r="H761" s="9">
        <v>0.1</v>
      </c>
      <c r="I761" t="s">
        <v>703</v>
      </c>
      <c r="J761">
        <v>4</v>
      </c>
      <c r="K761">
        <v>8</v>
      </c>
      <c r="L761" t="str">
        <f>VLOOKUP(D761,Products!A:E,2,FALSE)</f>
        <v>Webcam</v>
      </c>
      <c r="M761" t="str">
        <f>VLOOKUP(D761,Products!A:E,3,FALSE)</f>
        <v>Technology</v>
      </c>
      <c r="N761">
        <f>VLOOKUP(D761,Products!A:E,4,FALSE)</f>
        <v>115</v>
      </c>
      <c r="O761" s="13">
        <f>VLOOKUP(D761,Products!A:E,5,FALSE)</f>
        <v>58</v>
      </c>
      <c r="P761" s="13" t="str">
        <f>VLOOKUP(C761,Customers!A:C,3,FALSE)</f>
        <v>Small Business</v>
      </c>
      <c r="Q761" s="13">
        <f t="shared" si="44"/>
        <v>310.5</v>
      </c>
      <c r="R761" s="13">
        <f t="shared" si="45"/>
        <v>174</v>
      </c>
      <c r="S761" s="13">
        <f t="shared" si="46"/>
        <v>136.5</v>
      </c>
      <c r="T761" s="14">
        <f t="shared" si="47"/>
        <v>0.43961352657004832</v>
      </c>
    </row>
    <row r="762" spans="1:20">
      <c r="A762" t="s">
        <v>1466</v>
      </c>
      <c r="B762" s="8">
        <v>45867</v>
      </c>
      <c r="C762" t="s">
        <v>487</v>
      </c>
      <c r="D762" t="s">
        <v>50</v>
      </c>
      <c r="E762" t="s">
        <v>715</v>
      </c>
      <c r="F762" t="s">
        <v>702</v>
      </c>
      <c r="G762">
        <v>1</v>
      </c>
      <c r="H762" s="9">
        <v>0.05</v>
      </c>
      <c r="I762" t="s">
        <v>699</v>
      </c>
      <c r="J762">
        <v>5</v>
      </c>
      <c r="K762">
        <v>1</v>
      </c>
      <c r="L762" t="str">
        <f>VLOOKUP(D762,Products!A:E,2,FALSE)</f>
        <v>Keyboard</v>
      </c>
      <c r="M762" t="str">
        <f>VLOOKUP(D762,Products!A:E,3,FALSE)</f>
        <v>Technology</v>
      </c>
      <c r="N762">
        <f>VLOOKUP(D762,Products!A:E,4,FALSE)</f>
        <v>75</v>
      </c>
      <c r="O762" s="13">
        <f>VLOOKUP(D762,Products!A:E,5,FALSE)</f>
        <v>38</v>
      </c>
      <c r="P762" s="13" t="str">
        <f>VLOOKUP(C762,Customers!A:C,3,FALSE)</f>
        <v>Small Business</v>
      </c>
      <c r="Q762" s="13">
        <f t="shared" si="44"/>
        <v>71.25</v>
      </c>
      <c r="R762" s="13">
        <f t="shared" si="45"/>
        <v>38</v>
      </c>
      <c r="S762" s="13">
        <f t="shared" si="46"/>
        <v>33.25</v>
      </c>
      <c r="T762" s="14">
        <f t="shared" si="47"/>
        <v>0.46666666666666667</v>
      </c>
    </row>
    <row r="763" spans="1:20">
      <c r="A763" t="s">
        <v>1467</v>
      </c>
      <c r="B763" s="8">
        <v>45833</v>
      </c>
      <c r="C763" t="s">
        <v>193</v>
      </c>
      <c r="D763" t="s">
        <v>56</v>
      </c>
      <c r="E763" t="s">
        <v>705</v>
      </c>
      <c r="F763" t="s">
        <v>698</v>
      </c>
      <c r="G763">
        <v>2</v>
      </c>
      <c r="H763" s="9">
        <v>0</v>
      </c>
      <c r="I763" t="s">
        <v>699</v>
      </c>
      <c r="J763">
        <v>5</v>
      </c>
      <c r="K763">
        <v>3</v>
      </c>
      <c r="L763" t="str">
        <f>VLOOKUP(D763,Products!A:E,2,FALSE)</f>
        <v>Headset</v>
      </c>
      <c r="M763" t="str">
        <f>VLOOKUP(D763,Products!A:E,3,FALSE)</f>
        <v>Technology</v>
      </c>
      <c r="N763">
        <f>VLOOKUP(D763,Products!A:E,4,FALSE)</f>
        <v>98</v>
      </c>
      <c r="O763" s="13">
        <f>VLOOKUP(D763,Products!A:E,5,FALSE)</f>
        <v>46</v>
      </c>
      <c r="P763" s="13" t="str">
        <f>VLOOKUP(C763,Customers!A:C,3,FALSE)</f>
        <v>Small Business</v>
      </c>
      <c r="Q763" s="13">
        <f t="shared" si="44"/>
        <v>196</v>
      </c>
      <c r="R763" s="13">
        <f t="shared" si="45"/>
        <v>92</v>
      </c>
      <c r="S763" s="13">
        <f t="shared" si="46"/>
        <v>104</v>
      </c>
      <c r="T763" s="14">
        <f t="shared" si="47"/>
        <v>0.53061224489795922</v>
      </c>
    </row>
    <row r="764" spans="1:20">
      <c r="A764" t="s">
        <v>1468</v>
      </c>
      <c r="B764" s="8">
        <v>45868</v>
      </c>
      <c r="C764" t="s">
        <v>325</v>
      </c>
      <c r="D764" t="s">
        <v>65</v>
      </c>
      <c r="E764" t="s">
        <v>701</v>
      </c>
      <c r="F764" t="s">
        <v>702</v>
      </c>
      <c r="G764">
        <v>1</v>
      </c>
      <c r="H764" s="9">
        <v>0.05</v>
      </c>
      <c r="I764" t="s">
        <v>699</v>
      </c>
      <c r="J764">
        <v>5</v>
      </c>
      <c r="K764">
        <v>4</v>
      </c>
      <c r="L764" t="str">
        <f>VLOOKUP(D764,Products!A:E,2,FALSE)</f>
        <v>Laptop Stand</v>
      </c>
      <c r="M764" t="str">
        <f>VLOOKUP(D764,Products!A:E,3,FALSE)</f>
        <v>Accessories</v>
      </c>
      <c r="N764">
        <f>VLOOKUP(D764,Products!A:E,4,FALSE)</f>
        <v>48</v>
      </c>
      <c r="O764" s="13">
        <f>VLOOKUP(D764,Products!A:E,5,FALSE)</f>
        <v>22</v>
      </c>
      <c r="P764" s="13" t="str">
        <f>VLOOKUP(C764,Customers!A:C,3,FALSE)</f>
        <v>Consumer</v>
      </c>
      <c r="Q764" s="13">
        <f t="shared" si="44"/>
        <v>45.599999999999994</v>
      </c>
      <c r="R764" s="13">
        <f t="shared" si="45"/>
        <v>22</v>
      </c>
      <c r="S764" s="13">
        <f t="shared" si="46"/>
        <v>23.599999999999994</v>
      </c>
      <c r="T764" s="14">
        <f t="shared" si="47"/>
        <v>0.51754385964912275</v>
      </c>
    </row>
    <row r="765" spans="1:20">
      <c r="A765" t="s">
        <v>1469</v>
      </c>
      <c r="B765" s="8">
        <v>46058</v>
      </c>
      <c r="C765" t="s">
        <v>247</v>
      </c>
      <c r="D765" t="s">
        <v>52</v>
      </c>
      <c r="E765" t="s">
        <v>705</v>
      </c>
      <c r="F765" t="s">
        <v>702</v>
      </c>
      <c r="G765">
        <v>4</v>
      </c>
      <c r="H765" s="9">
        <v>0</v>
      </c>
      <c r="I765" t="s">
        <v>699</v>
      </c>
      <c r="J765">
        <v>3</v>
      </c>
      <c r="K765">
        <v>2</v>
      </c>
      <c r="L765" t="str">
        <f>VLOOKUP(D765,Products!A:E,2,FALSE)</f>
        <v>Mouse</v>
      </c>
      <c r="M765" t="str">
        <f>VLOOKUP(D765,Products!A:E,3,FALSE)</f>
        <v>Technology</v>
      </c>
      <c r="N765">
        <f>VLOOKUP(D765,Products!A:E,4,FALSE)</f>
        <v>42</v>
      </c>
      <c r="O765" s="13">
        <f>VLOOKUP(D765,Products!A:E,5,FALSE)</f>
        <v>19</v>
      </c>
      <c r="P765" s="13" t="str">
        <f>VLOOKUP(C765,Customers!A:C,3,FALSE)</f>
        <v>Corporate</v>
      </c>
      <c r="Q765" s="13">
        <f t="shared" si="44"/>
        <v>168</v>
      </c>
      <c r="R765" s="13">
        <f t="shared" si="45"/>
        <v>76</v>
      </c>
      <c r="S765" s="13">
        <f t="shared" si="46"/>
        <v>92</v>
      </c>
      <c r="T765" s="14">
        <f t="shared" si="47"/>
        <v>0.54761904761904767</v>
      </c>
    </row>
    <row r="766" spans="1:20">
      <c r="A766" t="s">
        <v>1470</v>
      </c>
      <c r="B766" s="8">
        <v>45975</v>
      </c>
      <c r="C766" t="s">
        <v>529</v>
      </c>
      <c r="D766" t="s">
        <v>79</v>
      </c>
      <c r="E766" t="s">
        <v>705</v>
      </c>
      <c r="F766" t="s">
        <v>698</v>
      </c>
      <c r="G766">
        <v>1</v>
      </c>
      <c r="H766" s="9">
        <v>0</v>
      </c>
      <c r="I766" t="s">
        <v>699</v>
      </c>
      <c r="J766">
        <v>4</v>
      </c>
      <c r="K766">
        <v>2</v>
      </c>
      <c r="L766" t="str">
        <f>VLOOKUP(D766,Products!A:E,2,FALSE)</f>
        <v>Desk Organiser</v>
      </c>
      <c r="M766" t="str">
        <f>VLOOKUP(D766,Products!A:E,3,FALSE)</f>
        <v>Office Supplies</v>
      </c>
      <c r="N766">
        <f>VLOOKUP(D766,Products!A:E,4,FALSE)</f>
        <v>28</v>
      </c>
      <c r="O766" s="13">
        <f>VLOOKUP(D766,Products!A:E,5,FALSE)</f>
        <v>12</v>
      </c>
      <c r="P766" s="13" t="str">
        <f>VLOOKUP(C766,Customers!A:C,3,FALSE)</f>
        <v>Corporate</v>
      </c>
      <c r="Q766" s="13">
        <f t="shared" si="44"/>
        <v>28</v>
      </c>
      <c r="R766" s="13">
        <f t="shared" si="45"/>
        <v>12</v>
      </c>
      <c r="S766" s="13">
        <f t="shared" si="46"/>
        <v>16</v>
      </c>
      <c r="T766" s="14">
        <f t="shared" si="47"/>
        <v>0.5714285714285714</v>
      </c>
    </row>
    <row r="767" spans="1:20">
      <c r="A767" t="s">
        <v>1471</v>
      </c>
      <c r="B767" s="8">
        <v>45665</v>
      </c>
      <c r="C767" t="s">
        <v>233</v>
      </c>
      <c r="D767" t="s">
        <v>77</v>
      </c>
      <c r="E767" t="s">
        <v>705</v>
      </c>
      <c r="F767" t="s">
        <v>702</v>
      </c>
      <c r="G767">
        <v>4</v>
      </c>
      <c r="H767" s="9">
        <v>0.05</v>
      </c>
      <c r="I767" t="s">
        <v>703</v>
      </c>
      <c r="J767">
        <v>5</v>
      </c>
      <c r="K767">
        <v>8</v>
      </c>
      <c r="L767" t="str">
        <f>VLOOKUP(D767,Products!A:E,2,FALSE)</f>
        <v>File Folder Pack</v>
      </c>
      <c r="M767" t="str">
        <f>VLOOKUP(D767,Products!A:E,3,FALSE)</f>
        <v>Office Supplies</v>
      </c>
      <c r="N767">
        <f>VLOOKUP(D767,Products!A:E,4,FALSE)</f>
        <v>23</v>
      </c>
      <c r="O767" s="13">
        <f>VLOOKUP(D767,Products!A:E,5,FALSE)</f>
        <v>10</v>
      </c>
      <c r="P767" s="13" t="str">
        <f>VLOOKUP(C767,Customers!A:C,3,FALSE)</f>
        <v>Consumer</v>
      </c>
      <c r="Q767" s="13">
        <f t="shared" si="44"/>
        <v>87.399999999999991</v>
      </c>
      <c r="R767" s="13">
        <f t="shared" si="45"/>
        <v>40</v>
      </c>
      <c r="S767" s="13">
        <f t="shared" si="46"/>
        <v>47.399999999999991</v>
      </c>
      <c r="T767" s="14">
        <f t="shared" si="47"/>
        <v>0.54233409610983974</v>
      </c>
    </row>
    <row r="768" spans="1:20">
      <c r="A768" t="s">
        <v>1472</v>
      </c>
      <c r="B768" s="8">
        <v>46247</v>
      </c>
      <c r="C768" t="s">
        <v>127</v>
      </c>
      <c r="D768" t="s">
        <v>50</v>
      </c>
      <c r="E768" t="s">
        <v>708</v>
      </c>
      <c r="F768" t="s">
        <v>706</v>
      </c>
      <c r="G768">
        <v>2</v>
      </c>
      <c r="H768" s="9">
        <v>0.1</v>
      </c>
      <c r="I768" t="s">
        <v>699</v>
      </c>
      <c r="J768">
        <v>4</v>
      </c>
      <c r="K768">
        <v>5</v>
      </c>
      <c r="L768" t="str">
        <f>VLOOKUP(D768,Products!A:E,2,FALSE)</f>
        <v>Keyboard</v>
      </c>
      <c r="M768" t="str">
        <f>VLOOKUP(D768,Products!A:E,3,FALSE)</f>
        <v>Technology</v>
      </c>
      <c r="N768">
        <f>VLOOKUP(D768,Products!A:E,4,FALSE)</f>
        <v>75</v>
      </c>
      <c r="O768" s="13">
        <f>VLOOKUP(D768,Products!A:E,5,FALSE)</f>
        <v>38</v>
      </c>
      <c r="P768" s="13" t="str">
        <f>VLOOKUP(C768,Customers!A:C,3,FALSE)</f>
        <v>Small Business</v>
      </c>
      <c r="Q768" s="13">
        <f t="shared" si="44"/>
        <v>135</v>
      </c>
      <c r="R768" s="13">
        <f t="shared" si="45"/>
        <v>76</v>
      </c>
      <c r="S768" s="13">
        <f t="shared" si="46"/>
        <v>59</v>
      </c>
      <c r="T768" s="14">
        <f t="shared" si="47"/>
        <v>0.43703703703703706</v>
      </c>
    </row>
    <row r="769" spans="1:20">
      <c r="A769" t="s">
        <v>1473</v>
      </c>
      <c r="B769" s="8">
        <v>45837</v>
      </c>
      <c r="C769" t="s">
        <v>511</v>
      </c>
      <c r="D769" t="s">
        <v>61</v>
      </c>
      <c r="E769" t="s">
        <v>705</v>
      </c>
      <c r="F769" t="s">
        <v>698</v>
      </c>
      <c r="G769">
        <v>2</v>
      </c>
      <c r="H769" s="9">
        <v>0</v>
      </c>
      <c r="I769" t="s">
        <v>699</v>
      </c>
      <c r="J769">
        <v>5</v>
      </c>
      <c r="K769">
        <v>1</v>
      </c>
      <c r="L769" t="str">
        <f>VLOOKUP(D769,Products!A:E,2,FALSE)</f>
        <v>Office Chair</v>
      </c>
      <c r="M769" t="str">
        <f>VLOOKUP(D769,Products!A:E,3,FALSE)</f>
        <v>Furniture</v>
      </c>
      <c r="N769">
        <f>VLOOKUP(D769,Products!A:E,4,FALSE)</f>
        <v>255</v>
      </c>
      <c r="O769" s="13">
        <f>VLOOKUP(D769,Products!A:E,5,FALSE)</f>
        <v>145</v>
      </c>
      <c r="P769" s="13" t="str">
        <f>VLOOKUP(C769,Customers!A:C,3,FALSE)</f>
        <v>Consumer</v>
      </c>
      <c r="Q769" s="13">
        <f t="shared" si="44"/>
        <v>510</v>
      </c>
      <c r="R769" s="13">
        <f t="shared" si="45"/>
        <v>290</v>
      </c>
      <c r="S769" s="13">
        <f t="shared" si="46"/>
        <v>220</v>
      </c>
      <c r="T769" s="14">
        <f t="shared" si="47"/>
        <v>0.43137254901960786</v>
      </c>
    </row>
    <row r="770" spans="1:20">
      <c r="A770" t="s">
        <v>1474</v>
      </c>
      <c r="B770" s="8">
        <v>46060</v>
      </c>
      <c r="C770" t="s">
        <v>131</v>
      </c>
      <c r="D770" t="s">
        <v>61</v>
      </c>
      <c r="E770" t="s">
        <v>697</v>
      </c>
      <c r="F770" t="s">
        <v>702</v>
      </c>
      <c r="G770">
        <v>5</v>
      </c>
      <c r="H770" s="9">
        <v>0.05</v>
      </c>
      <c r="I770" t="s">
        <v>699</v>
      </c>
      <c r="J770">
        <v>2</v>
      </c>
      <c r="K770">
        <v>6</v>
      </c>
      <c r="L770" t="str">
        <f>VLOOKUP(D770,Products!A:E,2,FALSE)</f>
        <v>Office Chair</v>
      </c>
      <c r="M770" t="str">
        <f>VLOOKUP(D770,Products!A:E,3,FALSE)</f>
        <v>Furniture</v>
      </c>
      <c r="N770">
        <f>VLOOKUP(D770,Products!A:E,4,FALSE)</f>
        <v>255</v>
      </c>
      <c r="O770" s="13">
        <f>VLOOKUP(D770,Products!A:E,5,FALSE)</f>
        <v>145</v>
      </c>
      <c r="P770" s="13" t="str">
        <f>VLOOKUP(C770,Customers!A:C,3,FALSE)</f>
        <v>Consumer</v>
      </c>
      <c r="Q770" s="13">
        <f t="shared" ref="Q770:Q833" si="48">G770*N770*(1-H770)</f>
        <v>1211.25</v>
      </c>
      <c r="R770" s="13">
        <f t="shared" ref="R770:R833" si="49">G770*O770</f>
        <v>725</v>
      </c>
      <c r="S770" s="13">
        <f t="shared" ref="S770:S833" si="50">Q770-R770</f>
        <v>486.25</v>
      </c>
      <c r="T770" s="14">
        <f t="shared" ref="T770:T833" si="51">IFERROR(S770/Q770,0)</f>
        <v>0.40144478844169246</v>
      </c>
    </row>
    <row r="771" spans="1:20">
      <c r="A771" t="s">
        <v>1475</v>
      </c>
      <c r="B771" s="8">
        <v>46079</v>
      </c>
      <c r="C771" t="s">
        <v>653</v>
      </c>
      <c r="D771" t="s">
        <v>52</v>
      </c>
      <c r="E771" t="s">
        <v>697</v>
      </c>
      <c r="F771" t="s">
        <v>702</v>
      </c>
      <c r="G771">
        <v>1</v>
      </c>
      <c r="H771" s="9">
        <v>0.1</v>
      </c>
      <c r="I771" t="s">
        <v>699</v>
      </c>
      <c r="J771">
        <v>4</v>
      </c>
      <c r="K771">
        <v>3</v>
      </c>
      <c r="L771" t="str">
        <f>VLOOKUP(D771,Products!A:E,2,FALSE)</f>
        <v>Mouse</v>
      </c>
      <c r="M771" t="str">
        <f>VLOOKUP(D771,Products!A:E,3,FALSE)</f>
        <v>Technology</v>
      </c>
      <c r="N771">
        <f>VLOOKUP(D771,Products!A:E,4,FALSE)</f>
        <v>42</v>
      </c>
      <c r="O771" s="13">
        <f>VLOOKUP(D771,Products!A:E,5,FALSE)</f>
        <v>19</v>
      </c>
      <c r="P771" s="13" t="str">
        <f>VLOOKUP(C771,Customers!A:C,3,FALSE)</f>
        <v>Consumer</v>
      </c>
      <c r="Q771" s="13">
        <f t="shared" si="48"/>
        <v>37.800000000000004</v>
      </c>
      <c r="R771" s="13">
        <f t="shared" si="49"/>
        <v>19</v>
      </c>
      <c r="S771" s="13">
        <f t="shared" si="50"/>
        <v>18.800000000000004</v>
      </c>
      <c r="T771" s="14">
        <f t="shared" si="51"/>
        <v>0.49735449735449744</v>
      </c>
    </row>
    <row r="772" spans="1:20">
      <c r="A772" t="s">
        <v>1476</v>
      </c>
      <c r="B772" s="8">
        <v>45870</v>
      </c>
      <c r="C772" t="s">
        <v>605</v>
      </c>
      <c r="D772" t="s">
        <v>48</v>
      </c>
      <c r="E772" t="s">
        <v>715</v>
      </c>
      <c r="F772" t="s">
        <v>702</v>
      </c>
      <c r="G772">
        <v>3</v>
      </c>
      <c r="H772" s="9">
        <v>0.1</v>
      </c>
      <c r="I772" t="s">
        <v>699</v>
      </c>
      <c r="J772">
        <v>5</v>
      </c>
      <c r="K772">
        <v>2</v>
      </c>
      <c r="L772" t="str">
        <f>VLOOKUP(D772,Products!A:E,2,FALSE)</f>
        <v>Monitor</v>
      </c>
      <c r="M772" t="str">
        <f>VLOOKUP(D772,Products!A:E,3,FALSE)</f>
        <v>Technology</v>
      </c>
      <c r="N772">
        <f>VLOOKUP(D772,Products!A:E,4,FALSE)</f>
        <v>310</v>
      </c>
      <c r="O772" s="13">
        <f>VLOOKUP(D772,Products!A:E,5,FALSE)</f>
        <v>190</v>
      </c>
      <c r="P772" s="13" t="str">
        <f>VLOOKUP(C772,Customers!A:C,3,FALSE)</f>
        <v>Small Business</v>
      </c>
      <c r="Q772" s="13">
        <f t="shared" si="48"/>
        <v>837</v>
      </c>
      <c r="R772" s="13">
        <f t="shared" si="49"/>
        <v>570</v>
      </c>
      <c r="S772" s="13">
        <f t="shared" si="50"/>
        <v>267</v>
      </c>
      <c r="T772" s="14">
        <f t="shared" si="51"/>
        <v>0.31899641577060933</v>
      </c>
    </row>
    <row r="773" spans="1:20">
      <c r="A773" t="s">
        <v>1477</v>
      </c>
      <c r="B773" s="8">
        <v>46064</v>
      </c>
      <c r="C773" t="s">
        <v>125</v>
      </c>
      <c r="D773" t="s">
        <v>45</v>
      </c>
      <c r="E773" t="s">
        <v>708</v>
      </c>
      <c r="F773" t="s">
        <v>698</v>
      </c>
      <c r="G773">
        <v>1</v>
      </c>
      <c r="H773" s="9">
        <v>0.1</v>
      </c>
      <c r="I773" t="s">
        <v>699</v>
      </c>
      <c r="J773">
        <v>4</v>
      </c>
      <c r="K773">
        <v>1</v>
      </c>
      <c r="L773" t="str">
        <f>VLOOKUP(D773,Products!A:E,2,FALSE)</f>
        <v>Laptop</v>
      </c>
      <c r="M773" t="str">
        <f>VLOOKUP(D773,Products!A:E,3,FALSE)</f>
        <v>Technology</v>
      </c>
      <c r="N773">
        <f>VLOOKUP(D773,Products!A:E,4,FALSE)</f>
        <v>1100</v>
      </c>
      <c r="O773" s="13">
        <f>VLOOKUP(D773,Products!A:E,5,FALSE)</f>
        <v>720</v>
      </c>
      <c r="P773" s="13" t="str">
        <f>VLOOKUP(C773,Customers!A:C,3,FALSE)</f>
        <v>Consumer</v>
      </c>
      <c r="Q773" s="13">
        <f t="shared" si="48"/>
        <v>990</v>
      </c>
      <c r="R773" s="13">
        <f t="shared" si="49"/>
        <v>720</v>
      </c>
      <c r="S773" s="13">
        <f t="shared" si="50"/>
        <v>270</v>
      </c>
      <c r="T773" s="14">
        <f t="shared" si="51"/>
        <v>0.27272727272727271</v>
      </c>
    </row>
    <row r="774" spans="1:20">
      <c r="A774" t="s">
        <v>1478</v>
      </c>
      <c r="B774" s="8">
        <v>46219</v>
      </c>
      <c r="C774" t="s">
        <v>335</v>
      </c>
      <c r="D774" t="s">
        <v>77</v>
      </c>
      <c r="E774" t="s">
        <v>705</v>
      </c>
      <c r="F774" t="s">
        <v>698</v>
      </c>
      <c r="G774">
        <v>5</v>
      </c>
      <c r="H774" s="9">
        <v>0</v>
      </c>
      <c r="I774" t="s">
        <v>699</v>
      </c>
      <c r="J774">
        <v>2</v>
      </c>
      <c r="K774">
        <v>4</v>
      </c>
      <c r="L774" t="str">
        <f>VLOOKUP(D774,Products!A:E,2,FALSE)</f>
        <v>File Folder Pack</v>
      </c>
      <c r="M774" t="str">
        <f>VLOOKUP(D774,Products!A:E,3,FALSE)</f>
        <v>Office Supplies</v>
      </c>
      <c r="N774">
        <f>VLOOKUP(D774,Products!A:E,4,FALSE)</f>
        <v>23</v>
      </c>
      <c r="O774" s="13">
        <f>VLOOKUP(D774,Products!A:E,5,FALSE)</f>
        <v>10</v>
      </c>
      <c r="P774" s="13" t="str">
        <f>VLOOKUP(C774,Customers!A:C,3,FALSE)</f>
        <v>Consumer</v>
      </c>
      <c r="Q774" s="13">
        <f t="shared" si="48"/>
        <v>115</v>
      </c>
      <c r="R774" s="13">
        <f t="shared" si="49"/>
        <v>50</v>
      </c>
      <c r="S774" s="13">
        <f t="shared" si="50"/>
        <v>65</v>
      </c>
      <c r="T774" s="14">
        <f t="shared" si="51"/>
        <v>0.56521739130434778</v>
      </c>
    </row>
    <row r="775" spans="1:20">
      <c r="A775" t="s">
        <v>1479</v>
      </c>
      <c r="B775" s="8">
        <v>46205</v>
      </c>
      <c r="C775" t="s">
        <v>487</v>
      </c>
      <c r="D775" t="s">
        <v>56</v>
      </c>
      <c r="E775" t="s">
        <v>705</v>
      </c>
      <c r="F775" t="s">
        <v>698</v>
      </c>
      <c r="G775">
        <v>3</v>
      </c>
      <c r="H775" s="9">
        <v>0</v>
      </c>
      <c r="I775" t="s">
        <v>699</v>
      </c>
      <c r="J775">
        <v>3</v>
      </c>
      <c r="K775">
        <v>1</v>
      </c>
      <c r="L775" t="str">
        <f>VLOOKUP(D775,Products!A:E,2,FALSE)</f>
        <v>Headset</v>
      </c>
      <c r="M775" t="str">
        <f>VLOOKUP(D775,Products!A:E,3,FALSE)</f>
        <v>Technology</v>
      </c>
      <c r="N775">
        <f>VLOOKUP(D775,Products!A:E,4,FALSE)</f>
        <v>98</v>
      </c>
      <c r="O775" s="13">
        <f>VLOOKUP(D775,Products!A:E,5,FALSE)</f>
        <v>46</v>
      </c>
      <c r="P775" s="13" t="str">
        <f>VLOOKUP(C775,Customers!A:C,3,FALSE)</f>
        <v>Small Business</v>
      </c>
      <c r="Q775" s="13">
        <f t="shared" si="48"/>
        <v>294</v>
      </c>
      <c r="R775" s="13">
        <f t="shared" si="49"/>
        <v>138</v>
      </c>
      <c r="S775" s="13">
        <f t="shared" si="50"/>
        <v>156</v>
      </c>
      <c r="T775" s="14">
        <f t="shared" si="51"/>
        <v>0.53061224489795922</v>
      </c>
    </row>
    <row r="776" spans="1:20">
      <c r="A776" t="s">
        <v>1480</v>
      </c>
      <c r="B776" s="8">
        <v>46203</v>
      </c>
      <c r="C776" t="s">
        <v>307</v>
      </c>
      <c r="D776" t="s">
        <v>77</v>
      </c>
      <c r="E776" t="s">
        <v>701</v>
      </c>
      <c r="F776" t="s">
        <v>706</v>
      </c>
      <c r="G776">
        <v>4</v>
      </c>
      <c r="H776" s="9">
        <v>0.05</v>
      </c>
      <c r="I776" t="s">
        <v>699</v>
      </c>
      <c r="J776">
        <v>5</v>
      </c>
      <c r="K776">
        <v>4</v>
      </c>
      <c r="L776" t="str">
        <f>VLOOKUP(D776,Products!A:E,2,FALSE)</f>
        <v>File Folder Pack</v>
      </c>
      <c r="M776" t="str">
        <f>VLOOKUP(D776,Products!A:E,3,FALSE)</f>
        <v>Office Supplies</v>
      </c>
      <c r="N776">
        <f>VLOOKUP(D776,Products!A:E,4,FALSE)</f>
        <v>23</v>
      </c>
      <c r="O776" s="13">
        <f>VLOOKUP(D776,Products!A:E,5,FALSE)</f>
        <v>10</v>
      </c>
      <c r="P776" s="13" t="str">
        <f>VLOOKUP(C776,Customers!A:C,3,FALSE)</f>
        <v>Small Business</v>
      </c>
      <c r="Q776" s="13">
        <f t="shared" si="48"/>
        <v>87.399999999999991</v>
      </c>
      <c r="R776" s="13">
        <f t="shared" si="49"/>
        <v>40</v>
      </c>
      <c r="S776" s="13">
        <f t="shared" si="50"/>
        <v>47.399999999999991</v>
      </c>
      <c r="T776" s="14">
        <f t="shared" si="51"/>
        <v>0.54233409610983974</v>
      </c>
    </row>
    <row r="777" spans="1:20">
      <c r="A777" t="s">
        <v>1481</v>
      </c>
      <c r="B777" s="8">
        <v>45973</v>
      </c>
      <c r="C777" t="s">
        <v>541</v>
      </c>
      <c r="D777" t="s">
        <v>48</v>
      </c>
      <c r="E777" t="s">
        <v>715</v>
      </c>
      <c r="F777" t="s">
        <v>702</v>
      </c>
      <c r="G777">
        <v>2</v>
      </c>
      <c r="H777" s="9">
        <v>0</v>
      </c>
      <c r="I777" t="s">
        <v>699</v>
      </c>
      <c r="J777">
        <v>5</v>
      </c>
      <c r="K777">
        <v>2</v>
      </c>
      <c r="L777" t="str">
        <f>VLOOKUP(D777,Products!A:E,2,FALSE)</f>
        <v>Monitor</v>
      </c>
      <c r="M777" t="str">
        <f>VLOOKUP(D777,Products!A:E,3,FALSE)</f>
        <v>Technology</v>
      </c>
      <c r="N777">
        <f>VLOOKUP(D777,Products!A:E,4,FALSE)</f>
        <v>310</v>
      </c>
      <c r="O777" s="13">
        <f>VLOOKUP(D777,Products!A:E,5,FALSE)</f>
        <v>190</v>
      </c>
      <c r="P777" s="13" t="str">
        <f>VLOOKUP(C777,Customers!A:C,3,FALSE)</f>
        <v>Small Business</v>
      </c>
      <c r="Q777" s="13">
        <f t="shared" si="48"/>
        <v>620</v>
      </c>
      <c r="R777" s="13">
        <f t="shared" si="49"/>
        <v>380</v>
      </c>
      <c r="S777" s="13">
        <f t="shared" si="50"/>
        <v>240</v>
      </c>
      <c r="T777" s="14">
        <f t="shared" si="51"/>
        <v>0.38709677419354838</v>
      </c>
    </row>
    <row r="778" spans="1:20">
      <c r="A778" t="s">
        <v>1482</v>
      </c>
      <c r="B778" s="8">
        <v>45751</v>
      </c>
      <c r="C778" t="s">
        <v>103</v>
      </c>
      <c r="D778" t="s">
        <v>74</v>
      </c>
      <c r="E778" t="s">
        <v>705</v>
      </c>
      <c r="F778" t="s">
        <v>702</v>
      </c>
      <c r="G778">
        <v>5</v>
      </c>
      <c r="H778" s="9">
        <v>0.1</v>
      </c>
      <c r="I778" t="s">
        <v>699</v>
      </c>
      <c r="J778">
        <v>5</v>
      </c>
      <c r="K778">
        <v>1</v>
      </c>
      <c r="L778" t="str">
        <f>VLOOKUP(D778,Products!A:E,2,FALSE)</f>
        <v>Printer Paper</v>
      </c>
      <c r="M778" t="str">
        <f>VLOOKUP(D778,Products!A:E,3,FALSE)</f>
        <v>Office Supplies</v>
      </c>
      <c r="N778">
        <f>VLOOKUP(D778,Products!A:E,4,FALSE)</f>
        <v>17</v>
      </c>
      <c r="O778" s="13">
        <f>VLOOKUP(D778,Products!A:E,5,FALSE)</f>
        <v>8</v>
      </c>
      <c r="P778" s="13" t="str">
        <f>VLOOKUP(C778,Customers!A:C,3,FALSE)</f>
        <v>Consumer</v>
      </c>
      <c r="Q778" s="13">
        <f t="shared" si="48"/>
        <v>76.5</v>
      </c>
      <c r="R778" s="13">
        <f t="shared" si="49"/>
        <v>40</v>
      </c>
      <c r="S778" s="13">
        <f t="shared" si="50"/>
        <v>36.5</v>
      </c>
      <c r="T778" s="14">
        <f t="shared" si="51"/>
        <v>0.47712418300653597</v>
      </c>
    </row>
    <row r="779" spans="1:20">
      <c r="A779" t="s">
        <v>1483</v>
      </c>
      <c r="B779" s="8">
        <v>45829</v>
      </c>
      <c r="C779" t="s">
        <v>257</v>
      </c>
      <c r="D779" t="s">
        <v>48</v>
      </c>
      <c r="E779" t="s">
        <v>708</v>
      </c>
      <c r="F779" t="s">
        <v>702</v>
      </c>
      <c r="G779">
        <v>2</v>
      </c>
      <c r="H779" s="9">
        <v>0.05</v>
      </c>
      <c r="I779" t="s">
        <v>699</v>
      </c>
      <c r="J779">
        <v>3</v>
      </c>
      <c r="K779">
        <v>5</v>
      </c>
      <c r="L779" t="str">
        <f>VLOOKUP(D779,Products!A:E,2,FALSE)</f>
        <v>Monitor</v>
      </c>
      <c r="M779" t="str">
        <f>VLOOKUP(D779,Products!A:E,3,FALSE)</f>
        <v>Technology</v>
      </c>
      <c r="N779">
        <f>VLOOKUP(D779,Products!A:E,4,FALSE)</f>
        <v>310</v>
      </c>
      <c r="O779" s="13">
        <f>VLOOKUP(D779,Products!A:E,5,FALSE)</f>
        <v>190</v>
      </c>
      <c r="P779" s="13" t="str">
        <f>VLOOKUP(C779,Customers!A:C,3,FALSE)</f>
        <v>Consumer</v>
      </c>
      <c r="Q779" s="13">
        <f t="shared" si="48"/>
        <v>589</v>
      </c>
      <c r="R779" s="13">
        <f t="shared" si="49"/>
        <v>380</v>
      </c>
      <c r="S779" s="13">
        <f t="shared" si="50"/>
        <v>209</v>
      </c>
      <c r="T779" s="14">
        <f t="shared" si="51"/>
        <v>0.35483870967741937</v>
      </c>
    </row>
    <row r="780" spans="1:20">
      <c r="A780" t="s">
        <v>1484</v>
      </c>
      <c r="B780" s="8">
        <v>46062</v>
      </c>
      <c r="C780" t="s">
        <v>525</v>
      </c>
      <c r="D780" t="s">
        <v>52</v>
      </c>
      <c r="E780" t="s">
        <v>708</v>
      </c>
      <c r="F780" t="s">
        <v>702</v>
      </c>
      <c r="G780">
        <v>2</v>
      </c>
      <c r="H780" s="9">
        <v>0</v>
      </c>
      <c r="I780" t="s">
        <v>699</v>
      </c>
      <c r="J780">
        <v>1</v>
      </c>
      <c r="K780">
        <v>6</v>
      </c>
      <c r="L780" t="str">
        <f>VLOOKUP(D780,Products!A:E,2,FALSE)</f>
        <v>Mouse</v>
      </c>
      <c r="M780" t="str">
        <f>VLOOKUP(D780,Products!A:E,3,FALSE)</f>
        <v>Technology</v>
      </c>
      <c r="N780">
        <f>VLOOKUP(D780,Products!A:E,4,FALSE)</f>
        <v>42</v>
      </c>
      <c r="O780" s="13">
        <f>VLOOKUP(D780,Products!A:E,5,FALSE)</f>
        <v>19</v>
      </c>
      <c r="P780" s="13" t="str">
        <f>VLOOKUP(C780,Customers!A:C,3,FALSE)</f>
        <v>Consumer</v>
      </c>
      <c r="Q780" s="13">
        <f t="shared" si="48"/>
        <v>84</v>
      </c>
      <c r="R780" s="13">
        <f t="shared" si="49"/>
        <v>38</v>
      </c>
      <c r="S780" s="13">
        <f t="shared" si="50"/>
        <v>46</v>
      </c>
      <c r="T780" s="14">
        <f t="shared" si="51"/>
        <v>0.54761904761904767</v>
      </c>
    </row>
    <row r="781" spans="1:20">
      <c r="A781" t="s">
        <v>1485</v>
      </c>
      <c r="B781" s="8">
        <v>45883</v>
      </c>
      <c r="C781" t="s">
        <v>153</v>
      </c>
      <c r="D781" t="s">
        <v>63</v>
      </c>
      <c r="E781" t="s">
        <v>701</v>
      </c>
      <c r="F781" t="s">
        <v>702</v>
      </c>
      <c r="G781">
        <v>1</v>
      </c>
      <c r="H781" s="9">
        <v>0</v>
      </c>
      <c r="I781" t="s">
        <v>699</v>
      </c>
      <c r="J781">
        <v>4</v>
      </c>
      <c r="K781">
        <v>1</v>
      </c>
      <c r="L781" t="str">
        <f>VLOOKUP(D781,Products!A:E,2,FALSE)</f>
        <v>Bookshelf</v>
      </c>
      <c r="M781" t="str">
        <f>VLOOKUP(D781,Products!A:E,3,FALSE)</f>
        <v>Furniture</v>
      </c>
      <c r="N781">
        <f>VLOOKUP(D781,Products!A:E,4,FALSE)</f>
        <v>185</v>
      </c>
      <c r="O781" s="13">
        <f>VLOOKUP(D781,Products!A:E,5,FALSE)</f>
        <v>105</v>
      </c>
      <c r="P781" s="13" t="str">
        <f>VLOOKUP(C781,Customers!A:C,3,FALSE)</f>
        <v>Small Business</v>
      </c>
      <c r="Q781" s="13">
        <f t="shared" si="48"/>
        <v>185</v>
      </c>
      <c r="R781" s="13">
        <f t="shared" si="49"/>
        <v>105</v>
      </c>
      <c r="S781" s="13">
        <f t="shared" si="50"/>
        <v>80</v>
      </c>
      <c r="T781" s="14">
        <f t="shared" si="51"/>
        <v>0.43243243243243246</v>
      </c>
    </row>
    <row r="782" spans="1:20">
      <c r="A782" t="s">
        <v>1486</v>
      </c>
      <c r="B782" s="8">
        <v>46207</v>
      </c>
      <c r="C782" t="s">
        <v>669</v>
      </c>
      <c r="D782" t="s">
        <v>56</v>
      </c>
      <c r="E782" t="s">
        <v>708</v>
      </c>
      <c r="F782" t="s">
        <v>702</v>
      </c>
      <c r="G782">
        <v>2</v>
      </c>
      <c r="H782" s="9">
        <v>0.05</v>
      </c>
      <c r="I782" t="s">
        <v>699</v>
      </c>
      <c r="J782">
        <v>5</v>
      </c>
      <c r="K782">
        <v>2</v>
      </c>
      <c r="L782" t="str">
        <f>VLOOKUP(D782,Products!A:E,2,FALSE)</f>
        <v>Headset</v>
      </c>
      <c r="M782" t="str">
        <f>VLOOKUP(D782,Products!A:E,3,FALSE)</f>
        <v>Technology</v>
      </c>
      <c r="N782">
        <f>VLOOKUP(D782,Products!A:E,4,FALSE)</f>
        <v>98</v>
      </c>
      <c r="O782" s="13">
        <f>VLOOKUP(D782,Products!A:E,5,FALSE)</f>
        <v>46</v>
      </c>
      <c r="P782" s="13" t="str">
        <f>VLOOKUP(C782,Customers!A:C,3,FALSE)</f>
        <v>Corporate</v>
      </c>
      <c r="Q782" s="13">
        <f t="shared" si="48"/>
        <v>186.2</v>
      </c>
      <c r="R782" s="13">
        <f t="shared" si="49"/>
        <v>92</v>
      </c>
      <c r="S782" s="13">
        <f t="shared" si="50"/>
        <v>94.199999999999989</v>
      </c>
      <c r="T782" s="14">
        <f t="shared" si="51"/>
        <v>0.50590762620837804</v>
      </c>
    </row>
    <row r="783" spans="1:20">
      <c r="A783" t="s">
        <v>1487</v>
      </c>
      <c r="B783" s="8">
        <v>45998</v>
      </c>
      <c r="C783" t="s">
        <v>265</v>
      </c>
      <c r="D783" t="s">
        <v>68</v>
      </c>
      <c r="E783" t="s">
        <v>697</v>
      </c>
      <c r="F783" t="s">
        <v>698</v>
      </c>
      <c r="G783">
        <v>1</v>
      </c>
      <c r="H783" s="9">
        <v>0</v>
      </c>
      <c r="I783" t="s">
        <v>703</v>
      </c>
      <c r="J783">
        <v>4</v>
      </c>
      <c r="K783">
        <v>7</v>
      </c>
      <c r="L783" t="str">
        <f>VLOOKUP(D783,Products!A:E,2,FALSE)</f>
        <v>Backpack</v>
      </c>
      <c r="M783" t="str">
        <f>VLOOKUP(D783,Products!A:E,3,FALSE)</f>
        <v>Accessories</v>
      </c>
      <c r="N783">
        <f>VLOOKUP(D783,Products!A:E,4,FALSE)</f>
        <v>85</v>
      </c>
      <c r="O783" s="13">
        <f>VLOOKUP(D783,Products!A:E,5,FALSE)</f>
        <v>39</v>
      </c>
      <c r="P783" s="13" t="str">
        <f>VLOOKUP(C783,Customers!A:C,3,FALSE)</f>
        <v>Consumer</v>
      </c>
      <c r="Q783" s="13">
        <f t="shared" si="48"/>
        <v>85</v>
      </c>
      <c r="R783" s="13">
        <f t="shared" si="49"/>
        <v>39</v>
      </c>
      <c r="S783" s="13">
        <f t="shared" si="50"/>
        <v>46</v>
      </c>
      <c r="T783" s="14">
        <f t="shared" si="51"/>
        <v>0.54117647058823526</v>
      </c>
    </row>
    <row r="784" spans="1:20">
      <c r="A784" t="s">
        <v>1488</v>
      </c>
      <c r="B784" s="8">
        <v>46173</v>
      </c>
      <c r="C784" t="s">
        <v>98</v>
      </c>
      <c r="D784" t="s">
        <v>61</v>
      </c>
      <c r="E784" t="s">
        <v>705</v>
      </c>
      <c r="F784" t="s">
        <v>698</v>
      </c>
      <c r="G784">
        <v>1</v>
      </c>
      <c r="H784" s="9">
        <v>0</v>
      </c>
      <c r="I784" t="s">
        <v>699</v>
      </c>
      <c r="J784">
        <v>3</v>
      </c>
      <c r="K784">
        <v>1</v>
      </c>
      <c r="L784" t="str">
        <f>VLOOKUP(D784,Products!A:E,2,FALSE)</f>
        <v>Office Chair</v>
      </c>
      <c r="M784" t="str">
        <f>VLOOKUP(D784,Products!A:E,3,FALSE)</f>
        <v>Furniture</v>
      </c>
      <c r="N784">
        <f>VLOOKUP(D784,Products!A:E,4,FALSE)</f>
        <v>255</v>
      </c>
      <c r="O784" s="13">
        <f>VLOOKUP(D784,Products!A:E,5,FALSE)</f>
        <v>145</v>
      </c>
      <c r="P784" s="13" t="str">
        <f>VLOOKUP(C784,Customers!A:C,3,FALSE)</f>
        <v>Small Business</v>
      </c>
      <c r="Q784" s="13">
        <f t="shared" si="48"/>
        <v>255</v>
      </c>
      <c r="R784" s="13">
        <f t="shared" si="49"/>
        <v>145</v>
      </c>
      <c r="S784" s="13">
        <f t="shared" si="50"/>
        <v>110</v>
      </c>
      <c r="T784" s="14">
        <f t="shared" si="51"/>
        <v>0.43137254901960786</v>
      </c>
    </row>
    <row r="785" spans="1:20">
      <c r="A785" t="s">
        <v>1489</v>
      </c>
      <c r="B785" s="8">
        <v>45719</v>
      </c>
      <c r="C785" t="s">
        <v>227</v>
      </c>
      <c r="D785" t="s">
        <v>70</v>
      </c>
      <c r="E785" t="s">
        <v>715</v>
      </c>
      <c r="F785" t="s">
        <v>702</v>
      </c>
      <c r="G785">
        <v>2</v>
      </c>
      <c r="H785" s="9">
        <v>0.05</v>
      </c>
      <c r="I785" t="s">
        <v>699</v>
      </c>
      <c r="J785">
        <v>5</v>
      </c>
      <c r="K785">
        <v>4</v>
      </c>
      <c r="L785" t="str">
        <f>VLOOKUP(D785,Products!A:E,2,FALSE)</f>
        <v>USB-C Hub</v>
      </c>
      <c r="M785" t="str">
        <f>VLOOKUP(D785,Products!A:E,3,FALSE)</f>
        <v>Accessories</v>
      </c>
      <c r="N785">
        <f>VLOOKUP(D785,Products!A:E,4,FALSE)</f>
        <v>68</v>
      </c>
      <c r="O785" s="13">
        <f>VLOOKUP(D785,Products!A:E,5,FALSE)</f>
        <v>31</v>
      </c>
      <c r="P785" s="13" t="str">
        <f>VLOOKUP(C785,Customers!A:C,3,FALSE)</f>
        <v>Consumer</v>
      </c>
      <c r="Q785" s="13">
        <f t="shared" si="48"/>
        <v>129.19999999999999</v>
      </c>
      <c r="R785" s="13">
        <f t="shared" si="49"/>
        <v>62</v>
      </c>
      <c r="S785" s="13">
        <f t="shared" si="50"/>
        <v>67.199999999999989</v>
      </c>
      <c r="T785" s="14">
        <f t="shared" si="51"/>
        <v>0.52012383900928794</v>
      </c>
    </row>
    <row r="786" spans="1:20">
      <c r="A786" t="s">
        <v>1490</v>
      </c>
      <c r="B786" s="8">
        <v>45994</v>
      </c>
      <c r="C786" t="s">
        <v>223</v>
      </c>
      <c r="D786" t="s">
        <v>63</v>
      </c>
      <c r="E786" t="s">
        <v>708</v>
      </c>
      <c r="F786" t="s">
        <v>698</v>
      </c>
      <c r="G786">
        <v>1</v>
      </c>
      <c r="H786" s="9">
        <v>0.1</v>
      </c>
      <c r="I786" t="s">
        <v>699</v>
      </c>
      <c r="J786">
        <v>5</v>
      </c>
      <c r="K786">
        <v>1</v>
      </c>
      <c r="L786" t="str">
        <f>VLOOKUP(D786,Products!A:E,2,FALSE)</f>
        <v>Bookshelf</v>
      </c>
      <c r="M786" t="str">
        <f>VLOOKUP(D786,Products!A:E,3,FALSE)</f>
        <v>Furniture</v>
      </c>
      <c r="N786">
        <f>VLOOKUP(D786,Products!A:E,4,FALSE)</f>
        <v>185</v>
      </c>
      <c r="O786" s="13">
        <f>VLOOKUP(D786,Products!A:E,5,FALSE)</f>
        <v>105</v>
      </c>
      <c r="P786" s="13" t="str">
        <f>VLOOKUP(C786,Customers!A:C,3,FALSE)</f>
        <v>Consumer</v>
      </c>
      <c r="Q786" s="13">
        <f t="shared" si="48"/>
        <v>166.5</v>
      </c>
      <c r="R786" s="13">
        <f t="shared" si="49"/>
        <v>105</v>
      </c>
      <c r="S786" s="13">
        <f t="shared" si="50"/>
        <v>61.5</v>
      </c>
      <c r="T786" s="14">
        <f t="shared" si="51"/>
        <v>0.36936936936936937</v>
      </c>
    </row>
    <row r="787" spans="1:20">
      <c r="A787" t="s">
        <v>1491</v>
      </c>
      <c r="B787" s="8">
        <v>45892</v>
      </c>
      <c r="C787" t="s">
        <v>425</v>
      </c>
      <c r="D787" t="s">
        <v>68</v>
      </c>
      <c r="E787" t="s">
        <v>708</v>
      </c>
      <c r="F787" t="s">
        <v>698</v>
      </c>
      <c r="G787">
        <v>6</v>
      </c>
      <c r="H787" s="9">
        <v>0.1</v>
      </c>
      <c r="I787" t="s">
        <v>699</v>
      </c>
      <c r="J787">
        <v>5</v>
      </c>
      <c r="K787">
        <v>2</v>
      </c>
      <c r="L787" t="str">
        <f>VLOOKUP(D787,Products!A:E,2,FALSE)</f>
        <v>Backpack</v>
      </c>
      <c r="M787" t="str">
        <f>VLOOKUP(D787,Products!A:E,3,FALSE)</f>
        <v>Accessories</v>
      </c>
      <c r="N787">
        <f>VLOOKUP(D787,Products!A:E,4,FALSE)</f>
        <v>85</v>
      </c>
      <c r="O787" s="13">
        <f>VLOOKUP(D787,Products!A:E,5,FALSE)</f>
        <v>39</v>
      </c>
      <c r="P787" s="13" t="str">
        <f>VLOOKUP(C787,Customers!A:C,3,FALSE)</f>
        <v>Consumer</v>
      </c>
      <c r="Q787" s="13">
        <f t="shared" si="48"/>
        <v>459</v>
      </c>
      <c r="R787" s="13">
        <f t="shared" si="49"/>
        <v>234</v>
      </c>
      <c r="S787" s="13">
        <f t="shared" si="50"/>
        <v>225</v>
      </c>
      <c r="T787" s="14">
        <f t="shared" si="51"/>
        <v>0.49019607843137253</v>
      </c>
    </row>
    <row r="788" spans="1:20">
      <c r="A788" t="s">
        <v>1492</v>
      </c>
      <c r="B788" s="8">
        <v>46048</v>
      </c>
      <c r="C788" t="s">
        <v>619</v>
      </c>
      <c r="D788" t="s">
        <v>68</v>
      </c>
      <c r="E788" t="s">
        <v>705</v>
      </c>
      <c r="F788" t="s">
        <v>698</v>
      </c>
      <c r="G788">
        <v>1</v>
      </c>
      <c r="H788" s="9">
        <v>0.05</v>
      </c>
      <c r="I788" t="s">
        <v>703</v>
      </c>
      <c r="J788">
        <v>2</v>
      </c>
      <c r="K788">
        <v>4</v>
      </c>
      <c r="L788" t="str">
        <f>VLOOKUP(D788,Products!A:E,2,FALSE)</f>
        <v>Backpack</v>
      </c>
      <c r="M788" t="str">
        <f>VLOOKUP(D788,Products!A:E,3,FALSE)</f>
        <v>Accessories</v>
      </c>
      <c r="N788">
        <f>VLOOKUP(D788,Products!A:E,4,FALSE)</f>
        <v>85</v>
      </c>
      <c r="O788" s="13">
        <f>VLOOKUP(D788,Products!A:E,5,FALSE)</f>
        <v>39</v>
      </c>
      <c r="P788" s="13" t="str">
        <f>VLOOKUP(C788,Customers!A:C,3,FALSE)</f>
        <v>Corporate</v>
      </c>
      <c r="Q788" s="13">
        <f t="shared" si="48"/>
        <v>80.75</v>
      </c>
      <c r="R788" s="13">
        <f t="shared" si="49"/>
        <v>39</v>
      </c>
      <c r="S788" s="13">
        <f t="shared" si="50"/>
        <v>41.75</v>
      </c>
      <c r="T788" s="14">
        <f t="shared" si="51"/>
        <v>0.51702786377708976</v>
      </c>
    </row>
    <row r="789" spans="1:20">
      <c r="A789" t="s">
        <v>1493</v>
      </c>
      <c r="B789" s="8">
        <v>45786</v>
      </c>
      <c r="C789" t="s">
        <v>179</v>
      </c>
      <c r="D789" t="s">
        <v>56</v>
      </c>
      <c r="E789" t="s">
        <v>715</v>
      </c>
      <c r="F789" t="s">
        <v>706</v>
      </c>
      <c r="G789">
        <v>6</v>
      </c>
      <c r="H789" s="9">
        <v>0</v>
      </c>
      <c r="I789" t="s">
        <v>699</v>
      </c>
      <c r="J789">
        <v>5</v>
      </c>
      <c r="K789">
        <v>3</v>
      </c>
      <c r="L789" t="str">
        <f>VLOOKUP(D789,Products!A:E,2,FALSE)</f>
        <v>Headset</v>
      </c>
      <c r="M789" t="str">
        <f>VLOOKUP(D789,Products!A:E,3,FALSE)</f>
        <v>Technology</v>
      </c>
      <c r="N789">
        <f>VLOOKUP(D789,Products!A:E,4,FALSE)</f>
        <v>98</v>
      </c>
      <c r="O789" s="13">
        <f>VLOOKUP(D789,Products!A:E,5,FALSE)</f>
        <v>46</v>
      </c>
      <c r="P789" s="13" t="str">
        <f>VLOOKUP(C789,Customers!A:C,3,FALSE)</f>
        <v>Consumer</v>
      </c>
      <c r="Q789" s="13">
        <f t="shared" si="48"/>
        <v>588</v>
      </c>
      <c r="R789" s="13">
        <f t="shared" si="49"/>
        <v>276</v>
      </c>
      <c r="S789" s="13">
        <f t="shared" si="50"/>
        <v>312</v>
      </c>
      <c r="T789" s="14">
        <f t="shared" si="51"/>
        <v>0.53061224489795922</v>
      </c>
    </row>
    <row r="790" spans="1:20">
      <c r="A790" t="s">
        <v>1494</v>
      </c>
      <c r="B790" s="8">
        <v>45826</v>
      </c>
      <c r="C790" t="s">
        <v>289</v>
      </c>
      <c r="D790" t="s">
        <v>61</v>
      </c>
      <c r="E790" t="s">
        <v>715</v>
      </c>
      <c r="F790" t="s">
        <v>698</v>
      </c>
      <c r="G790">
        <v>1</v>
      </c>
      <c r="H790" s="9">
        <v>0.05</v>
      </c>
      <c r="I790" t="s">
        <v>703</v>
      </c>
      <c r="J790">
        <v>3</v>
      </c>
      <c r="K790">
        <v>5</v>
      </c>
      <c r="L790" t="str">
        <f>VLOOKUP(D790,Products!A:E,2,FALSE)</f>
        <v>Office Chair</v>
      </c>
      <c r="M790" t="str">
        <f>VLOOKUP(D790,Products!A:E,3,FALSE)</f>
        <v>Furniture</v>
      </c>
      <c r="N790">
        <f>VLOOKUP(D790,Products!A:E,4,FALSE)</f>
        <v>255</v>
      </c>
      <c r="O790" s="13">
        <f>VLOOKUP(D790,Products!A:E,5,FALSE)</f>
        <v>145</v>
      </c>
      <c r="P790" s="13" t="str">
        <f>VLOOKUP(C790,Customers!A:C,3,FALSE)</f>
        <v>Corporate</v>
      </c>
      <c r="Q790" s="13">
        <f t="shared" si="48"/>
        <v>242.25</v>
      </c>
      <c r="R790" s="13">
        <f t="shared" si="49"/>
        <v>145</v>
      </c>
      <c r="S790" s="13">
        <f t="shared" si="50"/>
        <v>97.25</v>
      </c>
      <c r="T790" s="14">
        <f t="shared" si="51"/>
        <v>0.40144478844169246</v>
      </c>
    </row>
    <row r="791" spans="1:20">
      <c r="A791" t="s">
        <v>1495</v>
      </c>
      <c r="B791" s="8">
        <v>46026</v>
      </c>
      <c r="C791" t="s">
        <v>493</v>
      </c>
      <c r="D791" t="s">
        <v>72</v>
      </c>
      <c r="E791" t="s">
        <v>705</v>
      </c>
      <c r="F791" t="s">
        <v>702</v>
      </c>
      <c r="G791">
        <v>2</v>
      </c>
      <c r="H791" s="9">
        <v>0.1</v>
      </c>
      <c r="I791" t="s">
        <v>699</v>
      </c>
      <c r="J791">
        <v>5</v>
      </c>
      <c r="K791">
        <v>4</v>
      </c>
      <c r="L791" t="str">
        <f>VLOOKUP(D791,Products!A:E,2,FALSE)</f>
        <v>Phone Charger</v>
      </c>
      <c r="M791" t="str">
        <f>VLOOKUP(D791,Products!A:E,3,FALSE)</f>
        <v>Accessories</v>
      </c>
      <c r="N791">
        <f>VLOOKUP(D791,Products!A:E,4,FALSE)</f>
        <v>32</v>
      </c>
      <c r="O791" s="13">
        <f>VLOOKUP(D791,Products!A:E,5,FALSE)</f>
        <v>13</v>
      </c>
      <c r="P791" s="13" t="str">
        <f>VLOOKUP(C791,Customers!A:C,3,FALSE)</f>
        <v>Consumer</v>
      </c>
      <c r="Q791" s="13">
        <f t="shared" si="48"/>
        <v>57.6</v>
      </c>
      <c r="R791" s="13">
        <f t="shared" si="49"/>
        <v>26</v>
      </c>
      <c r="S791" s="13">
        <f t="shared" si="50"/>
        <v>31.6</v>
      </c>
      <c r="T791" s="14">
        <f t="shared" si="51"/>
        <v>0.54861111111111116</v>
      </c>
    </row>
    <row r="792" spans="1:20">
      <c r="A792" t="s">
        <v>1496</v>
      </c>
      <c r="B792" s="8">
        <v>45678</v>
      </c>
      <c r="C792" t="s">
        <v>477</v>
      </c>
      <c r="D792" t="s">
        <v>74</v>
      </c>
      <c r="E792" t="s">
        <v>697</v>
      </c>
      <c r="F792" t="s">
        <v>698</v>
      </c>
      <c r="G792">
        <v>6</v>
      </c>
      <c r="H792" s="9">
        <v>0.05</v>
      </c>
      <c r="I792" t="s">
        <v>699</v>
      </c>
      <c r="J792">
        <v>5</v>
      </c>
      <c r="K792">
        <v>3</v>
      </c>
      <c r="L792" t="str">
        <f>VLOOKUP(D792,Products!A:E,2,FALSE)</f>
        <v>Printer Paper</v>
      </c>
      <c r="M792" t="str">
        <f>VLOOKUP(D792,Products!A:E,3,FALSE)</f>
        <v>Office Supplies</v>
      </c>
      <c r="N792">
        <f>VLOOKUP(D792,Products!A:E,4,FALSE)</f>
        <v>17</v>
      </c>
      <c r="O792" s="13">
        <f>VLOOKUP(D792,Products!A:E,5,FALSE)</f>
        <v>8</v>
      </c>
      <c r="P792" s="13" t="str">
        <f>VLOOKUP(C792,Customers!A:C,3,FALSE)</f>
        <v>Small Business</v>
      </c>
      <c r="Q792" s="13">
        <f t="shared" si="48"/>
        <v>96.899999999999991</v>
      </c>
      <c r="R792" s="13">
        <f t="shared" si="49"/>
        <v>48</v>
      </c>
      <c r="S792" s="13">
        <f t="shared" si="50"/>
        <v>48.899999999999991</v>
      </c>
      <c r="T792" s="14">
        <f t="shared" si="51"/>
        <v>0.50464396284829716</v>
      </c>
    </row>
    <row r="793" spans="1:20">
      <c r="A793" t="s">
        <v>1497</v>
      </c>
      <c r="B793" s="8">
        <v>46047</v>
      </c>
      <c r="C793" t="s">
        <v>561</v>
      </c>
      <c r="D793" t="s">
        <v>65</v>
      </c>
      <c r="E793" t="s">
        <v>715</v>
      </c>
      <c r="F793" t="s">
        <v>702</v>
      </c>
      <c r="G793">
        <v>3</v>
      </c>
      <c r="H793" s="9">
        <v>0</v>
      </c>
      <c r="I793" t="s">
        <v>699</v>
      </c>
      <c r="J793">
        <v>4</v>
      </c>
      <c r="K793">
        <v>2</v>
      </c>
      <c r="L793" t="str">
        <f>VLOOKUP(D793,Products!A:E,2,FALSE)</f>
        <v>Laptop Stand</v>
      </c>
      <c r="M793" t="str">
        <f>VLOOKUP(D793,Products!A:E,3,FALSE)</f>
        <v>Accessories</v>
      </c>
      <c r="N793">
        <f>VLOOKUP(D793,Products!A:E,4,FALSE)</f>
        <v>48</v>
      </c>
      <c r="O793" s="13">
        <f>VLOOKUP(D793,Products!A:E,5,FALSE)</f>
        <v>22</v>
      </c>
      <c r="P793" s="13" t="str">
        <f>VLOOKUP(C793,Customers!A:C,3,FALSE)</f>
        <v>Consumer</v>
      </c>
      <c r="Q793" s="13">
        <f t="shared" si="48"/>
        <v>144</v>
      </c>
      <c r="R793" s="13">
        <f t="shared" si="49"/>
        <v>66</v>
      </c>
      <c r="S793" s="13">
        <f t="shared" si="50"/>
        <v>78</v>
      </c>
      <c r="T793" s="14">
        <f t="shared" si="51"/>
        <v>0.54166666666666663</v>
      </c>
    </row>
    <row r="794" spans="1:20">
      <c r="A794" t="s">
        <v>1498</v>
      </c>
      <c r="B794" s="8">
        <v>45852</v>
      </c>
      <c r="C794" t="s">
        <v>90</v>
      </c>
      <c r="D794" t="s">
        <v>45</v>
      </c>
      <c r="E794" t="s">
        <v>697</v>
      </c>
      <c r="F794" t="s">
        <v>698</v>
      </c>
      <c r="G794">
        <v>2</v>
      </c>
      <c r="H794" s="9">
        <v>0</v>
      </c>
      <c r="I794" t="s">
        <v>699</v>
      </c>
      <c r="J794">
        <v>4</v>
      </c>
      <c r="K794">
        <v>3</v>
      </c>
      <c r="L794" t="str">
        <f>VLOOKUP(D794,Products!A:E,2,FALSE)</f>
        <v>Laptop</v>
      </c>
      <c r="M794" t="str">
        <f>VLOOKUP(D794,Products!A:E,3,FALSE)</f>
        <v>Technology</v>
      </c>
      <c r="N794">
        <f>VLOOKUP(D794,Products!A:E,4,FALSE)</f>
        <v>1100</v>
      </c>
      <c r="O794" s="13">
        <f>VLOOKUP(D794,Products!A:E,5,FALSE)</f>
        <v>720</v>
      </c>
      <c r="P794" s="13" t="str">
        <f>VLOOKUP(C794,Customers!A:C,3,FALSE)</f>
        <v>Consumer</v>
      </c>
      <c r="Q794" s="13">
        <f t="shared" si="48"/>
        <v>2200</v>
      </c>
      <c r="R794" s="13">
        <f t="shared" si="49"/>
        <v>1440</v>
      </c>
      <c r="S794" s="13">
        <f t="shared" si="50"/>
        <v>760</v>
      </c>
      <c r="T794" s="14">
        <f t="shared" si="51"/>
        <v>0.34545454545454546</v>
      </c>
    </row>
    <row r="795" spans="1:20">
      <c r="A795" t="s">
        <v>1499</v>
      </c>
      <c r="B795" s="8">
        <v>46051</v>
      </c>
      <c r="C795" t="s">
        <v>587</v>
      </c>
      <c r="D795" t="s">
        <v>65</v>
      </c>
      <c r="E795" t="s">
        <v>701</v>
      </c>
      <c r="F795" t="s">
        <v>698</v>
      </c>
      <c r="G795">
        <v>2</v>
      </c>
      <c r="H795" s="9">
        <v>0</v>
      </c>
      <c r="I795" t="s">
        <v>703</v>
      </c>
      <c r="J795">
        <v>4</v>
      </c>
      <c r="K795">
        <v>7</v>
      </c>
      <c r="L795" t="str">
        <f>VLOOKUP(D795,Products!A:E,2,FALSE)</f>
        <v>Laptop Stand</v>
      </c>
      <c r="M795" t="str">
        <f>VLOOKUP(D795,Products!A:E,3,FALSE)</f>
        <v>Accessories</v>
      </c>
      <c r="N795">
        <f>VLOOKUP(D795,Products!A:E,4,FALSE)</f>
        <v>48</v>
      </c>
      <c r="O795" s="13">
        <f>VLOOKUP(D795,Products!A:E,5,FALSE)</f>
        <v>22</v>
      </c>
      <c r="P795" s="13" t="str">
        <f>VLOOKUP(C795,Customers!A:C,3,FALSE)</f>
        <v>Consumer</v>
      </c>
      <c r="Q795" s="13">
        <f t="shared" si="48"/>
        <v>96</v>
      </c>
      <c r="R795" s="13">
        <f t="shared" si="49"/>
        <v>44</v>
      </c>
      <c r="S795" s="13">
        <f t="shared" si="50"/>
        <v>52</v>
      </c>
      <c r="T795" s="14">
        <f t="shared" si="51"/>
        <v>0.54166666666666663</v>
      </c>
    </row>
    <row r="796" spans="1:20">
      <c r="A796" t="s">
        <v>1500</v>
      </c>
      <c r="B796" s="8">
        <v>45856</v>
      </c>
      <c r="C796" t="s">
        <v>533</v>
      </c>
      <c r="D796" t="s">
        <v>63</v>
      </c>
      <c r="E796" t="s">
        <v>697</v>
      </c>
      <c r="F796" t="s">
        <v>698</v>
      </c>
      <c r="G796">
        <v>2</v>
      </c>
      <c r="H796" s="9">
        <v>0.1</v>
      </c>
      <c r="I796" t="s">
        <v>699</v>
      </c>
      <c r="J796">
        <v>4</v>
      </c>
      <c r="K796">
        <v>1</v>
      </c>
      <c r="L796" t="str">
        <f>VLOOKUP(D796,Products!A:E,2,FALSE)</f>
        <v>Bookshelf</v>
      </c>
      <c r="M796" t="str">
        <f>VLOOKUP(D796,Products!A:E,3,FALSE)</f>
        <v>Furniture</v>
      </c>
      <c r="N796">
        <f>VLOOKUP(D796,Products!A:E,4,FALSE)</f>
        <v>185</v>
      </c>
      <c r="O796" s="13">
        <f>VLOOKUP(D796,Products!A:E,5,FALSE)</f>
        <v>105</v>
      </c>
      <c r="P796" s="13" t="str">
        <f>VLOOKUP(C796,Customers!A:C,3,FALSE)</f>
        <v>Corporate</v>
      </c>
      <c r="Q796" s="13">
        <f t="shared" si="48"/>
        <v>333</v>
      </c>
      <c r="R796" s="13">
        <f t="shared" si="49"/>
        <v>210</v>
      </c>
      <c r="S796" s="13">
        <f t="shared" si="50"/>
        <v>123</v>
      </c>
      <c r="T796" s="14">
        <f t="shared" si="51"/>
        <v>0.36936936936936937</v>
      </c>
    </row>
    <row r="797" spans="1:20">
      <c r="A797" t="s">
        <v>1501</v>
      </c>
      <c r="B797" s="8">
        <v>46052</v>
      </c>
      <c r="C797" t="s">
        <v>521</v>
      </c>
      <c r="D797" t="s">
        <v>61</v>
      </c>
      <c r="E797" t="s">
        <v>708</v>
      </c>
      <c r="F797" t="s">
        <v>702</v>
      </c>
      <c r="G797">
        <v>4</v>
      </c>
      <c r="H797" s="9">
        <v>0.05</v>
      </c>
      <c r="I797" t="s">
        <v>699</v>
      </c>
      <c r="J797">
        <v>5</v>
      </c>
      <c r="K797">
        <v>2</v>
      </c>
      <c r="L797" t="str">
        <f>VLOOKUP(D797,Products!A:E,2,FALSE)</f>
        <v>Office Chair</v>
      </c>
      <c r="M797" t="str">
        <f>VLOOKUP(D797,Products!A:E,3,FALSE)</f>
        <v>Furniture</v>
      </c>
      <c r="N797">
        <f>VLOOKUP(D797,Products!A:E,4,FALSE)</f>
        <v>255</v>
      </c>
      <c r="O797" s="13">
        <f>VLOOKUP(D797,Products!A:E,5,FALSE)</f>
        <v>145</v>
      </c>
      <c r="P797" s="13" t="str">
        <f>VLOOKUP(C797,Customers!A:C,3,FALSE)</f>
        <v>Corporate</v>
      </c>
      <c r="Q797" s="13">
        <f t="shared" si="48"/>
        <v>969</v>
      </c>
      <c r="R797" s="13">
        <f t="shared" si="49"/>
        <v>580</v>
      </c>
      <c r="S797" s="13">
        <f t="shared" si="50"/>
        <v>389</v>
      </c>
      <c r="T797" s="14">
        <f t="shared" si="51"/>
        <v>0.40144478844169246</v>
      </c>
    </row>
    <row r="798" spans="1:20">
      <c r="A798" t="s">
        <v>1502</v>
      </c>
      <c r="B798" s="8">
        <v>45925</v>
      </c>
      <c r="C798" t="s">
        <v>553</v>
      </c>
      <c r="D798" t="s">
        <v>54</v>
      </c>
      <c r="E798" t="s">
        <v>708</v>
      </c>
      <c r="F798" t="s">
        <v>698</v>
      </c>
      <c r="G798">
        <v>7</v>
      </c>
      <c r="H798" s="9">
        <v>0.15</v>
      </c>
      <c r="I798" t="s">
        <v>699</v>
      </c>
      <c r="J798">
        <v>5</v>
      </c>
      <c r="K798">
        <v>4</v>
      </c>
      <c r="L798" t="str">
        <f>VLOOKUP(D798,Products!A:E,2,FALSE)</f>
        <v>Webcam</v>
      </c>
      <c r="M798" t="str">
        <f>VLOOKUP(D798,Products!A:E,3,FALSE)</f>
        <v>Technology</v>
      </c>
      <c r="N798">
        <f>VLOOKUP(D798,Products!A:E,4,FALSE)</f>
        <v>115</v>
      </c>
      <c r="O798" s="13">
        <f>VLOOKUP(D798,Products!A:E,5,FALSE)</f>
        <v>58</v>
      </c>
      <c r="P798" s="13" t="str">
        <f>VLOOKUP(C798,Customers!A:C,3,FALSE)</f>
        <v>Corporate</v>
      </c>
      <c r="Q798" s="13">
        <f t="shared" si="48"/>
        <v>684.25</v>
      </c>
      <c r="R798" s="13">
        <f t="shared" si="49"/>
        <v>406</v>
      </c>
      <c r="S798" s="13">
        <f t="shared" si="50"/>
        <v>278.25</v>
      </c>
      <c r="T798" s="14">
        <f t="shared" si="51"/>
        <v>0.40664961636828645</v>
      </c>
    </row>
    <row r="799" spans="1:20">
      <c r="A799" t="s">
        <v>1503</v>
      </c>
      <c r="B799" s="8">
        <v>46065</v>
      </c>
      <c r="C799" t="s">
        <v>169</v>
      </c>
      <c r="D799" t="s">
        <v>58</v>
      </c>
      <c r="E799" t="s">
        <v>697</v>
      </c>
      <c r="F799" t="s">
        <v>702</v>
      </c>
      <c r="G799">
        <v>2</v>
      </c>
      <c r="H799" s="9">
        <v>0.1</v>
      </c>
      <c r="I799" t="s">
        <v>699</v>
      </c>
      <c r="J799">
        <v>4</v>
      </c>
      <c r="K799">
        <v>4</v>
      </c>
      <c r="L799" t="str">
        <f>VLOOKUP(D799,Products!A:E,2,FALSE)</f>
        <v>Standing Desk</v>
      </c>
      <c r="M799" t="str">
        <f>VLOOKUP(D799,Products!A:E,3,FALSE)</f>
        <v>Furniture</v>
      </c>
      <c r="N799">
        <f>VLOOKUP(D799,Products!A:E,4,FALSE)</f>
        <v>540</v>
      </c>
      <c r="O799" s="13">
        <f>VLOOKUP(D799,Products!A:E,5,FALSE)</f>
        <v>320</v>
      </c>
      <c r="P799" s="13" t="str">
        <f>VLOOKUP(C799,Customers!A:C,3,FALSE)</f>
        <v>Consumer</v>
      </c>
      <c r="Q799" s="13">
        <f t="shared" si="48"/>
        <v>972</v>
      </c>
      <c r="R799" s="13">
        <f t="shared" si="49"/>
        <v>640</v>
      </c>
      <c r="S799" s="13">
        <f t="shared" si="50"/>
        <v>332</v>
      </c>
      <c r="T799" s="14">
        <f t="shared" si="51"/>
        <v>0.34156378600823045</v>
      </c>
    </row>
    <row r="800" spans="1:20">
      <c r="A800" t="s">
        <v>1504</v>
      </c>
      <c r="B800" s="8">
        <v>46258</v>
      </c>
      <c r="C800" t="s">
        <v>401</v>
      </c>
      <c r="D800" t="s">
        <v>74</v>
      </c>
      <c r="E800" t="s">
        <v>701</v>
      </c>
      <c r="F800" t="s">
        <v>706</v>
      </c>
      <c r="G800">
        <v>5</v>
      </c>
      <c r="H800" s="9">
        <v>0</v>
      </c>
      <c r="I800" t="s">
        <v>699</v>
      </c>
      <c r="J800">
        <v>5</v>
      </c>
      <c r="K800">
        <v>2</v>
      </c>
      <c r="L800" t="str">
        <f>VLOOKUP(D800,Products!A:E,2,FALSE)</f>
        <v>Printer Paper</v>
      </c>
      <c r="M800" t="str">
        <f>VLOOKUP(D800,Products!A:E,3,FALSE)</f>
        <v>Office Supplies</v>
      </c>
      <c r="N800">
        <f>VLOOKUP(D800,Products!A:E,4,FALSE)</f>
        <v>17</v>
      </c>
      <c r="O800" s="13">
        <f>VLOOKUP(D800,Products!A:E,5,FALSE)</f>
        <v>8</v>
      </c>
      <c r="P800" s="13" t="str">
        <f>VLOOKUP(C800,Customers!A:C,3,FALSE)</f>
        <v>Corporate</v>
      </c>
      <c r="Q800" s="13">
        <f t="shared" si="48"/>
        <v>85</v>
      </c>
      <c r="R800" s="13">
        <f t="shared" si="49"/>
        <v>40</v>
      </c>
      <c r="S800" s="13">
        <f t="shared" si="50"/>
        <v>45</v>
      </c>
      <c r="T800" s="14">
        <f t="shared" si="51"/>
        <v>0.52941176470588236</v>
      </c>
    </row>
    <row r="801" spans="1:20">
      <c r="A801" t="s">
        <v>1505</v>
      </c>
      <c r="B801" s="8">
        <v>45933</v>
      </c>
      <c r="C801" t="s">
        <v>301</v>
      </c>
      <c r="D801" t="s">
        <v>72</v>
      </c>
      <c r="E801" t="s">
        <v>701</v>
      </c>
      <c r="F801" t="s">
        <v>702</v>
      </c>
      <c r="G801">
        <v>1</v>
      </c>
      <c r="H801" s="9">
        <v>0.05</v>
      </c>
      <c r="I801" t="s">
        <v>699</v>
      </c>
      <c r="J801">
        <v>5</v>
      </c>
      <c r="K801">
        <v>4</v>
      </c>
      <c r="L801" t="str">
        <f>VLOOKUP(D801,Products!A:E,2,FALSE)</f>
        <v>Phone Charger</v>
      </c>
      <c r="M801" t="str">
        <f>VLOOKUP(D801,Products!A:E,3,FALSE)</f>
        <v>Accessories</v>
      </c>
      <c r="N801">
        <f>VLOOKUP(D801,Products!A:E,4,FALSE)</f>
        <v>32</v>
      </c>
      <c r="O801" s="13">
        <f>VLOOKUP(D801,Products!A:E,5,FALSE)</f>
        <v>13</v>
      </c>
      <c r="P801" s="13" t="str">
        <f>VLOOKUP(C801,Customers!A:C,3,FALSE)</f>
        <v>Consumer</v>
      </c>
      <c r="Q801" s="13">
        <f t="shared" si="48"/>
        <v>30.4</v>
      </c>
      <c r="R801" s="13">
        <f t="shared" si="49"/>
        <v>13</v>
      </c>
      <c r="S801" s="13">
        <f t="shared" si="50"/>
        <v>17.399999999999999</v>
      </c>
      <c r="T801" s="14">
        <f t="shared" si="51"/>
        <v>0.57236842105263153</v>
      </c>
    </row>
    <row r="802" spans="1:20">
      <c r="A802" t="s">
        <v>1506</v>
      </c>
      <c r="B802" s="8">
        <v>46195</v>
      </c>
      <c r="C802" t="s">
        <v>513</v>
      </c>
      <c r="D802" t="s">
        <v>65</v>
      </c>
      <c r="E802" t="s">
        <v>701</v>
      </c>
      <c r="F802" t="s">
        <v>702</v>
      </c>
      <c r="G802">
        <v>2</v>
      </c>
      <c r="H802" s="9">
        <v>0.1</v>
      </c>
      <c r="I802" t="s">
        <v>699</v>
      </c>
      <c r="J802">
        <v>3</v>
      </c>
      <c r="K802">
        <v>1</v>
      </c>
      <c r="L802" t="str">
        <f>VLOOKUP(D802,Products!A:E,2,FALSE)</f>
        <v>Laptop Stand</v>
      </c>
      <c r="M802" t="str">
        <f>VLOOKUP(D802,Products!A:E,3,FALSE)</f>
        <v>Accessories</v>
      </c>
      <c r="N802">
        <f>VLOOKUP(D802,Products!A:E,4,FALSE)</f>
        <v>48</v>
      </c>
      <c r="O802" s="13">
        <f>VLOOKUP(D802,Products!A:E,5,FALSE)</f>
        <v>22</v>
      </c>
      <c r="P802" s="13" t="str">
        <f>VLOOKUP(C802,Customers!A:C,3,FALSE)</f>
        <v>Consumer</v>
      </c>
      <c r="Q802" s="13">
        <f t="shared" si="48"/>
        <v>86.4</v>
      </c>
      <c r="R802" s="13">
        <f t="shared" si="49"/>
        <v>44</v>
      </c>
      <c r="S802" s="13">
        <f t="shared" si="50"/>
        <v>42.400000000000006</v>
      </c>
      <c r="T802" s="14">
        <f t="shared" si="51"/>
        <v>0.49074074074074076</v>
      </c>
    </row>
    <row r="803" spans="1:20">
      <c r="A803" t="s">
        <v>1507</v>
      </c>
      <c r="B803" s="8">
        <v>46119</v>
      </c>
      <c r="C803" t="s">
        <v>667</v>
      </c>
      <c r="D803" t="s">
        <v>58</v>
      </c>
      <c r="E803" t="s">
        <v>705</v>
      </c>
      <c r="F803" t="s">
        <v>702</v>
      </c>
      <c r="G803">
        <v>1</v>
      </c>
      <c r="H803" s="9">
        <v>0.1</v>
      </c>
      <c r="I803" t="s">
        <v>699</v>
      </c>
      <c r="J803">
        <v>5</v>
      </c>
      <c r="K803">
        <v>4</v>
      </c>
      <c r="L803" t="str">
        <f>VLOOKUP(D803,Products!A:E,2,FALSE)</f>
        <v>Standing Desk</v>
      </c>
      <c r="M803" t="str">
        <f>VLOOKUP(D803,Products!A:E,3,FALSE)</f>
        <v>Furniture</v>
      </c>
      <c r="N803">
        <f>VLOOKUP(D803,Products!A:E,4,FALSE)</f>
        <v>540</v>
      </c>
      <c r="O803" s="13">
        <f>VLOOKUP(D803,Products!A:E,5,FALSE)</f>
        <v>320</v>
      </c>
      <c r="P803" s="13" t="str">
        <f>VLOOKUP(C803,Customers!A:C,3,FALSE)</f>
        <v>Consumer</v>
      </c>
      <c r="Q803" s="13">
        <f t="shared" si="48"/>
        <v>486</v>
      </c>
      <c r="R803" s="13">
        <f t="shared" si="49"/>
        <v>320</v>
      </c>
      <c r="S803" s="13">
        <f t="shared" si="50"/>
        <v>166</v>
      </c>
      <c r="T803" s="14">
        <f t="shared" si="51"/>
        <v>0.34156378600823045</v>
      </c>
    </row>
    <row r="804" spans="1:20">
      <c r="A804" t="s">
        <v>1508</v>
      </c>
      <c r="B804" s="8">
        <v>46109</v>
      </c>
      <c r="C804" t="s">
        <v>197</v>
      </c>
      <c r="D804" t="s">
        <v>56</v>
      </c>
      <c r="E804" t="s">
        <v>705</v>
      </c>
      <c r="F804" t="s">
        <v>702</v>
      </c>
      <c r="G804">
        <v>1</v>
      </c>
      <c r="H804" s="9">
        <v>0</v>
      </c>
      <c r="I804" t="s">
        <v>699</v>
      </c>
      <c r="J804">
        <v>3</v>
      </c>
      <c r="K804">
        <v>4</v>
      </c>
      <c r="L804" t="str">
        <f>VLOOKUP(D804,Products!A:E,2,FALSE)</f>
        <v>Headset</v>
      </c>
      <c r="M804" t="str">
        <f>VLOOKUP(D804,Products!A:E,3,FALSE)</f>
        <v>Technology</v>
      </c>
      <c r="N804">
        <f>VLOOKUP(D804,Products!A:E,4,FALSE)</f>
        <v>98</v>
      </c>
      <c r="O804" s="13">
        <f>VLOOKUP(D804,Products!A:E,5,FALSE)</f>
        <v>46</v>
      </c>
      <c r="P804" s="13" t="str">
        <f>VLOOKUP(C804,Customers!A:C,3,FALSE)</f>
        <v>Corporate</v>
      </c>
      <c r="Q804" s="13">
        <f t="shared" si="48"/>
        <v>98</v>
      </c>
      <c r="R804" s="13">
        <f t="shared" si="49"/>
        <v>46</v>
      </c>
      <c r="S804" s="13">
        <f t="shared" si="50"/>
        <v>52</v>
      </c>
      <c r="T804" s="14">
        <f t="shared" si="51"/>
        <v>0.53061224489795922</v>
      </c>
    </row>
    <row r="805" spans="1:20">
      <c r="A805" t="s">
        <v>1509</v>
      </c>
      <c r="B805" s="8">
        <v>45761</v>
      </c>
      <c r="C805" t="s">
        <v>94</v>
      </c>
      <c r="D805" t="s">
        <v>48</v>
      </c>
      <c r="E805" t="s">
        <v>708</v>
      </c>
      <c r="F805" t="s">
        <v>706</v>
      </c>
      <c r="G805">
        <v>3</v>
      </c>
      <c r="H805" s="9">
        <v>0.1</v>
      </c>
      <c r="I805" t="s">
        <v>699</v>
      </c>
      <c r="J805">
        <v>3</v>
      </c>
      <c r="K805">
        <v>1</v>
      </c>
      <c r="L805" t="str">
        <f>VLOOKUP(D805,Products!A:E,2,FALSE)</f>
        <v>Monitor</v>
      </c>
      <c r="M805" t="str">
        <f>VLOOKUP(D805,Products!A:E,3,FALSE)</f>
        <v>Technology</v>
      </c>
      <c r="N805">
        <f>VLOOKUP(D805,Products!A:E,4,FALSE)</f>
        <v>310</v>
      </c>
      <c r="O805" s="13">
        <f>VLOOKUP(D805,Products!A:E,5,FALSE)</f>
        <v>190</v>
      </c>
      <c r="P805" s="13" t="str">
        <f>VLOOKUP(C805,Customers!A:C,3,FALSE)</f>
        <v>Corporate</v>
      </c>
      <c r="Q805" s="13">
        <f t="shared" si="48"/>
        <v>837</v>
      </c>
      <c r="R805" s="13">
        <f t="shared" si="49"/>
        <v>570</v>
      </c>
      <c r="S805" s="13">
        <f t="shared" si="50"/>
        <v>267</v>
      </c>
      <c r="T805" s="14">
        <f t="shared" si="51"/>
        <v>0.31899641577060933</v>
      </c>
    </row>
    <row r="806" spans="1:20">
      <c r="A806" t="s">
        <v>1510</v>
      </c>
      <c r="B806" s="8">
        <v>46042</v>
      </c>
      <c r="C806" t="s">
        <v>619</v>
      </c>
      <c r="D806" t="s">
        <v>63</v>
      </c>
      <c r="E806" t="s">
        <v>697</v>
      </c>
      <c r="F806" t="s">
        <v>702</v>
      </c>
      <c r="G806">
        <v>2</v>
      </c>
      <c r="H806" s="9">
        <v>0</v>
      </c>
      <c r="I806" t="s">
        <v>699</v>
      </c>
      <c r="J806">
        <v>5</v>
      </c>
      <c r="K806">
        <v>3</v>
      </c>
      <c r="L806" t="str">
        <f>VLOOKUP(D806,Products!A:E,2,FALSE)</f>
        <v>Bookshelf</v>
      </c>
      <c r="M806" t="str">
        <f>VLOOKUP(D806,Products!A:E,3,FALSE)</f>
        <v>Furniture</v>
      </c>
      <c r="N806">
        <f>VLOOKUP(D806,Products!A:E,4,FALSE)</f>
        <v>185</v>
      </c>
      <c r="O806" s="13">
        <f>VLOOKUP(D806,Products!A:E,5,FALSE)</f>
        <v>105</v>
      </c>
      <c r="P806" s="13" t="str">
        <f>VLOOKUP(C806,Customers!A:C,3,FALSE)</f>
        <v>Corporate</v>
      </c>
      <c r="Q806" s="13">
        <f t="shared" si="48"/>
        <v>370</v>
      </c>
      <c r="R806" s="13">
        <f t="shared" si="49"/>
        <v>210</v>
      </c>
      <c r="S806" s="13">
        <f t="shared" si="50"/>
        <v>160</v>
      </c>
      <c r="T806" s="14">
        <f t="shared" si="51"/>
        <v>0.43243243243243246</v>
      </c>
    </row>
    <row r="807" spans="1:20">
      <c r="A807" t="s">
        <v>1511</v>
      </c>
      <c r="B807" s="8">
        <v>45903</v>
      </c>
      <c r="C807" t="s">
        <v>455</v>
      </c>
      <c r="D807" t="s">
        <v>72</v>
      </c>
      <c r="E807" t="s">
        <v>708</v>
      </c>
      <c r="F807" t="s">
        <v>702</v>
      </c>
      <c r="G807">
        <v>2</v>
      </c>
      <c r="H807" s="9">
        <v>0</v>
      </c>
      <c r="I807" t="s">
        <v>699</v>
      </c>
      <c r="J807">
        <v>4</v>
      </c>
      <c r="K807">
        <v>4</v>
      </c>
      <c r="L807" t="str">
        <f>VLOOKUP(D807,Products!A:E,2,FALSE)</f>
        <v>Phone Charger</v>
      </c>
      <c r="M807" t="str">
        <f>VLOOKUP(D807,Products!A:E,3,FALSE)</f>
        <v>Accessories</v>
      </c>
      <c r="N807">
        <f>VLOOKUP(D807,Products!A:E,4,FALSE)</f>
        <v>32</v>
      </c>
      <c r="O807" s="13">
        <f>VLOOKUP(D807,Products!A:E,5,FALSE)</f>
        <v>13</v>
      </c>
      <c r="P807" s="13" t="str">
        <f>VLOOKUP(C807,Customers!A:C,3,FALSE)</f>
        <v>Consumer</v>
      </c>
      <c r="Q807" s="13">
        <f t="shared" si="48"/>
        <v>64</v>
      </c>
      <c r="R807" s="13">
        <f t="shared" si="49"/>
        <v>26</v>
      </c>
      <c r="S807" s="13">
        <f t="shared" si="50"/>
        <v>38</v>
      </c>
      <c r="T807" s="14">
        <f t="shared" si="51"/>
        <v>0.59375</v>
      </c>
    </row>
    <row r="808" spans="1:20">
      <c r="A808" t="s">
        <v>1512</v>
      </c>
      <c r="B808" s="8">
        <v>45800</v>
      </c>
      <c r="C808" t="s">
        <v>113</v>
      </c>
      <c r="D808" t="s">
        <v>52</v>
      </c>
      <c r="E808" t="s">
        <v>697</v>
      </c>
      <c r="F808" t="s">
        <v>702</v>
      </c>
      <c r="G808">
        <v>3</v>
      </c>
      <c r="H808" s="9">
        <v>0.1</v>
      </c>
      <c r="I808" t="s">
        <v>699</v>
      </c>
      <c r="J808">
        <v>5</v>
      </c>
      <c r="K808">
        <v>4</v>
      </c>
      <c r="L808" t="str">
        <f>VLOOKUP(D808,Products!A:E,2,FALSE)</f>
        <v>Mouse</v>
      </c>
      <c r="M808" t="str">
        <f>VLOOKUP(D808,Products!A:E,3,FALSE)</f>
        <v>Technology</v>
      </c>
      <c r="N808">
        <f>VLOOKUP(D808,Products!A:E,4,FALSE)</f>
        <v>42</v>
      </c>
      <c r="O808" s="13">
        <f>VLOOKUP(D808,Products!A:E,5,FALSE)</f>
        <v>19</v>
      </c>
      <c r="P808" s="13" t="str">
        <f>VLOOKUP(C808,Customers!A:C,3,FALSE)</f>
        <v>Consumer</v>
      </c>
      <c r="Q808" s="13">
        <f t="shared" si="48"/>
        <v>113.4</v>
      </c>
      <c r="R808" s="13">
        <f t="shared" si="49"/>
        <v>57</v>
      </c>
      <c r="S808" s="13">
        <f t="shared" si="50"/>
        <v>56.400000000000006</v>
      </c>
      <c r="T808" s="14">
        <f t="shared" si="51"/>
        <v>0.49735449735449738</v>
      </c>
    </row>
    <row r="809" spans="1:20">
      <c r="A809" t="s">
        <v>1513</v>
      </c>
      <c r="B809" s="8">
        <v>46185</v>
      </c>
      <c r="C809" t="s">
        <v>509</v>
      </c>
      <c r="D809" t="s">
        <v>58</v>
      </c>
      <c r="E809" t="s">
        <v>705</v>
      </c>
      <c r="F809" t="s">
        <v>698</v>
      </c>
      <c r="G809">
        <v>7</v>
      </c>
      <c r="H809" s="9">
        <v>0</v>
      </c>
      <c r="I809" t="s">
        <v>699</v>
      </c>
      <c r="J809">
        <v>5</v>
      </c>
      <c r="K809">
        <v>3</v>
      </c>
      <c r="L809" t="str">
        <f>VLOOKUP(D809,Products!A:E,2,FALSE)</f>
        <v>Standing Desk</v>
      </c>
      <c r="M809" t="str">
        <f>VLOOKUP(D809,Products!A:E,3,FALSE)</f>
        <v>Furniture</v>
      </c>
      <c r="N809">
        <f>VLOOKUP(D809,Products!A:E,4,FALSE)</f>
        <v>540</v>
      </c>
      <c r="O809" s="13">
        <f>VLOOKUP(D809,Products!A:E,5,FALSE)</f>
        <v>320</v>
      </c>
      <c r="P809" s="13" t="str">
        <f>VLOOKUP(C809,Customers!A:C,3,FALSE)</f>
        <v>Corporate</v>
      </c>
      <c r="Q809" s="13">
        <f t="shared" si="48"/>
        <v>3780</v>
      </c>
      <c r="R809" s="13">
        <f t="shared" si="49"/>
        <v>2240</v>
      </c>
      <c r="S809" s="13">
        <f t="shared" si="50"/>
        <v>1540</v>
      </c>
      <c r="T809" s="14">
        <f t="shared" si="51"/>
        <v>0.40740740740740738</v>
      </c>
    </row>
    <row r="810" spans="1:20">
      <c r="A810" t="s">
        <v>1514</v>
      </c>
      <c r="B810" s="8">
        <v>46112</v>
      </c>
      <c r="C810" t="s">
        <v>325</v>
      </c>
      <c r="D810" t="s">
        <v>79</v>
      </c>
      <c r="E810" t="s">
        <v>708</v>
      </c>
      <c r="F810" t="s">
        <v>698</v>
      </c>
      <c r="G810">
        <v>1</v>
      </c>
      <c r="H810" s="9">
        <v>0</v>
      </c>
      <c r="I810" t="s">
        <v>703</v>
      </c>
      <c r="J810">
        <v>5</v>
      </c>
      <c r="K810">
        <v>5</v>
      </c>
      <c r="L810" t="str">
        <f>VLOOKUP(D810,Products!A:E,2,FALSE)</f>
        <v>Desk Organiser</v>
      </c>
      <c r="M810" t="str">
        <f>VLOOKUP(D810,Products!A:E,3,FALSE)</f>
        <v>Office Supplies</v>
      </c>
      <c r="N810">
        <f>VLOOKUP(D810,Products!A:E,4,FALSE)</f>
        <v>28</v>
      </c>
      <c r="O810" s="13">
        <f>VLOOKUP(D810,Products!A:E,5,FALSE)</f>
        <v>12</v>
      </c>
      <c r="P810" s="13" t="str">
        <f>VLOOKUP(C810,Customers!A:C,3,FALSE)</f>
        <v>Consumer</v>
      </c>
      <c r="Q810" s="13">
        <f t="shared" si="48"/>
        <v>28</v>
      </c>
      <c r="R810" s="13">
        <f t="shared" si="49"/>
        <v>12</v>
      </c>
      <c r="S810" s="13">
        <f t="shared" si="50"/>
        <v>16</v>
      </c>
      <c r="T810" s="14">
        <f t="shared" si="51"/>
        <v>0.5714285714285714</v>
      </c>
    </row>
    <row r="811" spans="1:20">
      <c r="A811" t="s">
        <v>1515</v>
      </c>
      <c r="B811" s="8">
        <v>45958</v>
      </c>
      <c r="C811" t="s">
        <v>285</v>
      </c>
      <c r="D811" t="s">
        <v>54</v>
      </c>
      <c r="E811" t="s">
        <v>697</v>
      </c>
      <c r="F811" t="s">
        <v>706</v>
      </c>
      <c r="G811">
        <v>4</v>
      </c>
      <c r="H811" s="9">
        <v>0.1</v>
      </c>
      <c r="I811" t="s">
        <v>699</v>
      </c>
      <c r="J811">
        <v>4</v>
      </c>
      <c r="K811">
        <v>1</v>
      </c>
      <c r="L811" t="str">
        <f>VLOOKUP(D811,Products!A:E,2,FALSE)</f>
        <v>Webcam</v>
      </c>
      <c r="M811" t="str">
        <f>VLOOKUP(D811,Products!A:E,3,FALSE)</f>
        <v>Technology</v>
      </c>
      <c r="N811">
        <f>VLOOKUP(D811,Products!A:E,4,FALSE)</f>
        <v>115</v>
      </c>
      <c r="O811" s="13">
        <f>VLOOKUP(D811,Products!A:E,5,FALSE)</f>
        <v>58</v>
      </c>
      <c r="P811" s="13" t="str">
        <f>VLOOKUP(C811,Customers!A:C,3,FALSE)</f>
        <v>Small Business</v>
      </c>
      <c r="Q811" s="13">
        <f t="shared" si="48"/>
        <v>414</v>
      </c>
      <c r="R811" s="13">
        <f t="shared" si="49"/>
        <v>232</v>
      </c>
      <c r="S811" s="13">
        <f t="shared" si="50"/>
        <v>182</v>
      </c>
      <c r="T811" s="14">
        <f t="shared" si="51"/>
        <v>0.43961352657004832</v>
      </c>
    </row>
    <row r="812" spans="1:20">
      <c r="A812" t="s">
        <v>1516</v>
      </c>
      <c r="B812" s="8">
        <v>45966</v>
      </c>
      <c r="C812" t="s">
        <v>647</v>
      </c>
      <c r="D812" t="s">
        <v>77</v>
      </c>
      <c r="E812" t="s">
        <v>705</v>
      </c>
      <c r="F812" t="s">
        <v>702</v>
      </c>
      <c r="G812">
        <v>1</v>
      </c>
      <c r="H812" s="9">
        <v>0.1</v>
      </c>
      <c r="I812" t="s">
        <v>699</v>
      </c>
      <c r="J812">
        <v>3</v>
      </c>
      <c r="K812">
        <v>1</v>
      </c>
      <c r="L812" t="str">
        <f>VLOOKUP(D812,Products!A:E,2,FALSE)</f>
        <v>File Folder Pack</v>
      </c>
      <c r="M812" t="str">
        <f>VLOOKUP(D812,Products!A:E,3,FALSE)</f>
        <v>Office Supplies</v>
      </c>
      <c r="N812">
        <f>VLOOKUP(D812,Products!A:E,4,FALSE)</f>
        <v>23</v>
      </c>
      <c r="O812" s="13">
        <f>VLOOKUP(D812,Products!A:E,5,FALSE)</f>
        <v>10</v>
      </c>
      <c r="P812" s="13" t="str">
        <f>VLOOKUP(C812,Customers!A:C,3,FALSE)</f>
        <v>Corporate</v>
      </c>
      <c r="Q812" s="13">
        <f t="shared" si="48"/>
        <v>20.7</v>
      </c>
      <c r="R812" s="13">
        <f t="shared" si="49"/>
        <v>10</v>
      </c>
      <c r="S812" s="13">
        <f t="shared" si="50"/>
        <v>10.7</v>
      </c>
      <c r="T812" s="14">
        <f t="shared" si="51"/>
        <v>0.51690821256038644</v>
      </c>
    </row>
    <row r="813" spans="1:20">
      <c r="A813" t="s">
        <v>1517</v>
      </c>
      <c r="B813" s="8">
        <v>45766</v>
      </c>
      <c r="C813" t="s">
        <v>531</v>
      </c>
      <c r="D813" t="s">
        <v>45</v>
      </c>
      <c r="E813" t="s">
        <v>705</v>
      </c>
      <c r="F813" t="s">
        <v>706</v>
      </c>
      <c r="G813">
        <v>6</v>
      </c>
      <c r="H813" s="9">
        <v>0.1</v>
      </c>
      <c r="I813" t="s">
        <v>699</v>
      </c>
      <c r="J813">
        <v>4</v>
      </c>
      <c r="K813">
        <v>4</v>
      </c>
      <c r="L813" t="str">
        <f>VLOOKUP(D813,Products!A:E,2,FALSE)</f>
        <v>Laptop</v>
      </c>
      <c r="M813" t="str">
        <f>VLOOKUP(D813,Products!A:E,3,FALSE)</f>
        <v>Technology</v>
      </c>
      <c r="N813">
        <f>VLOOKUP(D813,Products!A:E,4,FALSE)</f>
        <v>1100</v>
      </c>
      <c r="O813" s="13">
        <f>VLOOKUP(D813,Products!A:E,5,FALSE)</f>
        <v>720</v>
      </c>
      <c r="P813" s="13" t="str">
        <f>VLOOKUP(C813,Customers!A:C,3,FALSE)</f>
        <v>Corporate</v>
      </c>
      <c r="Q813" s="13">
        <f t="shared" si="48"/>
        <v>5940</v>
      </c>
      <c r="R813" s="13">
        <f t="shared" si="49"/>
        <v>4320</v>
      </c>
      <c r="S813" s="13">
        <f t="shared" si="50"/>
        <v>1620</v>
      </c>
      <c r="T813" s="14">
        <f t="shared" si="51"/>
        <v>0.27272727272727271</v>
      </c>
    </row>
    <row r="814" spans="1:20">
      <c r="A814" t="s">
        <v>1518</v>
      </c>
      <c r="B814" s="8">
        <v>45784</v>
      </c>
      <c r="C814" t="s">
        <v>225</v>
      </c>
      <c r="D814" t="s">
        <v>79</v>
      </c>
      <c r="E814" t="s">
        <v>705</v>
      </c>
      <c r="F814" t="s">
        <v>698</v>
      </c>
      <c r="G814">
        <v>5</v>
      </c>
      <c r="H814" s="9">
        <v>0.15</v>
      </c>
      <c r="I814" t="s">
        <v>699</v>
      </c>
      <c r="J814">
        <v>4</v>
      </c>
      <c r="K814">
        <v>3</v>
      </c>
      <c r="L814" t="str">
        <f>VLOOKUP(D814,Products!A:E,2,FALSE)</f>
        <v>Desk Organiser</v>
      </c>
      <c r="M814" t="str">
        <f>VLOOKUP(D814,Products!A:E,3,FALSE)</f>
        <v>Office Supplies</v>
      </c>
      <c r="N814">
        <f>VLOOKUP(D814,Products!A:E,4,FALSE)</f>
        <v>28</v>
      </c>
      <c r="O814" s="13">
        <f>VLOOKUP(D814,Products!A:E,5,FALSE)</f>
        <v>12</v>
      </c>
      <c r="P814" s="13" t="str">
        <f>VLOOKUP(C814,Customers!A:C,3,FALSE)</f>
        <v>Consumer</v>
      </c>
      <c r="Q814" s="13">
        <f t="shared" si="48"/>
        <v>119</v>
      </c>
      <c r="R814" s="13">
        <f t="shared" si="49"/>
        <v>60</v>
      </c>
      <c r="S814" s="13">
        <f t="shared" si="50"/>
        <v>59</v>
      </c>
      <c r="T814" s="14">
        <f t="shared" si="51"/>
        <v>0.49579831932773111</v>
      </c>
    </row>
    <row r="815" spans="1:20">
      <c r="A815" t="s">
        <v>1519</v>
      </c>
      <c r="B815" s="8">
        <v>46044</v>
      </c>
      <c r="C815" t="s">
        <v>477</v>
      </c>
      <c r="D815" t="s">
        <v>74</v>
      </c>
      <c r="E815" t="s">
        <v>697</v>
      </c>
      <c r="F815" t="s">
        <v>702</v>
      </c>
      <c r="G815">
        <v>1</v>
      </c>
      <c r="H815" s="9">
        <v>0</v>
      </c>
      <c r="I815" t="s">
        <v>699</v>
      </c>
      <c r="J815">
        <v>5</v>
      </c>
      <c r="K815">
        <v>2</v>
      </c>
      <c r="L815" t="str">
        <f>VLOOKUP(D815,Products!A:E,2,FALSE)</f>
        <v>Printer Paper</v>
      </c>
      <c r="M815" t="str">
        <f>VLOOKUP(D815,Products!A:E,3,FALSE)</f>
        <v>Office Supplies</v>
      </c>
      <c r="N815">
        <f>VLOOKUP(D815,Products!A:E,4,FALSE)</f>
        <v>17</v>
      </c>
      <c r="O815" s="13">
        <f>VLOOKUP(D815,Products!A:E,5,FALSE)</f>
        <v>8</v>
      </c>
      <c r="P815" s="13" t="str">
        <f>VLOOKUP(C815,Customers!A:C,3,FALSE)</f>
        <v>Small Business</v>
      </c>
      <c r="Q815" s="13">
        <f t="shared" si="48"/>
        <v>17</v>
      </c>
      <c r="R815" s="13">
        <f t="shared" si="49"/>
        <v>8</v>
      </c>
      <c r="S815" s="13">
        <f t="shared" si="50"/>
        <v>9</v>
      </c>
      <c r="T815" s="14">
        <f t="shared" si="51"/>
        <v>0.52941176470588236</v>
      </c>
    </row>
    <row r="816" spans="1:20">
      <c r="A816" t="s">
        <v>1520</v>
      </c>
      <c r="B816" s="8">
        <v>45776</v>
      </c>
      <c r="C816" t="s">
        <v>673</v>
      </c>
      <c r="D816" t="s">
        <v>70</v>
      </c>
      <c r="E816" t="s">
        <v>705</v>
      </c>
      <c r="F816" t="s">
        <v>702</v>
      </c>
      <c r="G816">
        <v>2</v>
      </c>
      <c r="H816" s="9">
        <v>0.1</v>
      </c>
      <c r="I816" t="s">
        <v>699</v>
      </c>
      <c r="J816">
        <v>4</v>
      </c>
      <c r="K816">
        <v>2</v>
      </c>
      <c r="L816" t="str">
        <f>VLOOKUP(D816,Products!A:E,2,FALSE)</f>
        <v>USB-C Hub</v>
      </c>
      <c r="M816" t="str">
        <f>VLOOKUP(D816,Products!A:E,3,FALSE)</f>
        <v>Accessories</v>
      </c>
      <c r="N816">
        <f>VLOOKUP(D816,Products!A:E,4,FALSE)</f>
        <v>68</v>
      </c>
      <c r="O816" s="13">
        <f>VLOOKUP(D816,Products!A:E,5,FALSE)</f>
        <v>31</v>
      </c>
      <c r="P816" s="13" t="str">
        <f>VLOOKUP(C816,Customers!A:C,3,FALSE)</f>
        <v>Consumer</v>
      </c>
      <c r="Q816" s="13">
        <f t="shared" si="48"/>
        <v>122.4</v>
      </c>
      <c r="R816" s="13">
        <f t="shared" si="49"/>
        <v>62</v>
      </c>
      <c r="S816" s="13">
        <f t="shared" si="50"/>
        <v>60.400000000000006</v>
      </c>
      <c r="T816" s="14">
        <f t="shared" si="51"/>
        <v>0.49346405228758172</v>
      </c>
    </row>
    <row r="817" spans="1:20">
      <c r="A817" t="s">
        <v>1521</v>
      </c>
      <c r="B817" s="8">
        <v>46055</v>
      </c>
      <c r="C817" t="s">
        <v>519</v>
      </c>
      <c r="D817" t="s">
        <v>68</v>
      </c>
      <c r="E817" t="s">
        <v>697</v>
      </c>
      <c r="F817" t="s">
        <v>698</v>
      </c>
      <c r="G817">
        <v>6</v>
      </c>
      <c r="H817" s="9">
        <v>0</v>
      </c>
      <c r="I817" t="s">
        <v>699</v>
      </c>
      <c r="J817">
        <v>4</v>
      </c>
      <c r="K817">
        <v>1</v>
      </c>
      <c r="L817" t="str">
        <f>VLOOKUP(D817,Products!A:E,2,FALSE)</f>
        <v>Backpack</v>
      </c>
      <c r="M817" t="str">
        <f>VLOOKUP(D817,Products!A:E,3,FALSE)</f>
        <v>Accessories</v>
      </c>
      <c r="N817">
        <f>VLOOKUP(D817,Products!A:E,4,FALSE)</f>
        <v>85</v>
      </c>
      <c r="O817" s="13">
        <f>VLOOKUP(D817,Products!A:E,5,FALSE)</f>
        <v>39</v>
      </c>
      <c r="P817" s="13" t="str">
        <f>VLOOKUP(C817,Customers!A:C,3,FALSE)</f>
        <v>Corporate</v>
      </c>
      <c r="Q817" s="13">
        <f t="shared" si="48"/>
        <v>510</v>
      </c>
      <c r="R817" s="13">
        <f t="shared" si="49"/>
        <v>234</v>
      </c>
      <c r="S817" s="13">
        <f t="shared" si="50"/>
        <v>276</v>
      </c>
      <c r="T817" s="14">
        <f t="shared" si="51"/>
        <v>0.54117647058823526</v>
      </c>
    </row>
    <row r="818" spans="1:20">
      <c r="A818" t="s">
        <v>1522</v>
      </c>
      <c r="B818" s="8">
        <v>46062</v>
      </c>
      <c r="C818" t="s">
        <v>94</v>
      </c>
      <c r="D818" t="s">
        <v>77</v>
      </c>
      <c r="E818" t="s">
        <v>708</v>
      </c>
      <c r="F818" t="s">
        <v>698</v>
      </c>
      <c r="G818">
        <v>1</v>
      </c>
      <c r="H818" s="9">
        <v>0</v>
      </c>
      <c r="I818" t="s">
        <v>699</v>
      </c>
      <c r="J818">
        <v>3</v>
      </c>
      <c r="K818">
        <v>3</v>
      </c>
      <c r="L818" t="str">
        <f>VLOOKUP(D818,Products!A:E,2,FALSE)</f>
        <v>File Folder Pack</v>
      </c>
      <c r="M818" t="str">
        <f>VLOOKUP(D818,Products!A:E,3,FALSE)</f>
        <v>Office Supplies</v>
      </c>
      <c r="N818">
        <f>VLOOKUP(D818,Products!A:E,4,FALSE)</f>
        <v>23</v>
      </c>
      <c r="O818" s="13">
        <f>VLOOKUP(D818,Products!A:E,5,FALSE)</f>
        <v>10</v>
      </c>
      <c r="P818" s="13" t="str">
        <f>VLOOKUP(C818,Customers!A:C,3,FALSE)</f>
        <v>Corporate</v>
      </c>
      <c r="Q818" s="13">
        <f t="shared" si="48"/>
        <v>23</v>
      </c>
      <c r="R818" s="13">
        <f t="shared" si="49"/>
        <v>10</v>
      </c>
      <c r="S818" s="13">
        <f t="shared" si="50"/>
        <v>13</v>
      </c>
      <c r="T818" s="14">
        <f t="shared" si="51"/>
        <v>0.56521739130434778</v>
      </c>
    </row>
    <row r="819" spans="1:20">
      <c r="A819" t="s">
        <v>1523</v>
      </c>
      <c r="B819" s="8">
        <v>45807</v>
      </c>
      <c r="C819" t="s">
        <v>121</v>
      </c>
      <c r="D819" t="s">
        <v>68</v>
      </c>
      <c r="E819" t="s">
        <v>708</v>
      </c>
      <c r="F819" t="s">
        <v>706</v>
      </c>
      <c r="G819">
        <v>1</v>
      </c>
      <c r="H819" s="9">
        <v>0.2</v>
      </c>
      <c r="I819" t="s">
        <v>699</v>
      </c>
      <c r="J819">
        <v>4</v>
      </c>
      <c r="K819">
        <v>2</v>
      </c>
      <c r="L819" t="str">
        <f>VLOOKUP(D819,Products!A:E,2,FALSE)</f>
        <v>Backpack</v>
      </c>
      <c r="M819" t="str">
        <f>VLOOKUP(D819,Products!A:E,3,FALSE)</f>
        <v>Accessories</v>
      </c>
      <c r="N819">
        <f>VLOOKUP(D819,Products!A:E,4,FALSE)</f>
        <v>85</v>
      </c>
      <c r="O819" s="13">
        <f>VLOOKUP(D819,Products!A:E,5,FALSE)</f>
        <v>39</v>
      </c>
      <c r="P819" s="13" t="str">
        <f>VLOOKUP(C819,Customers!A:C,3,FALSE)</f>
        <v>Corporate</v>
      </c>
      <c r="Q819" s="13">
        <f t="shared" si="48"/>
        <v>68</v>
      </c>
      <c r="R819" s="13">
        <f t="shared" si="49"/>
        <v>39</v>
      </c>
      <c r="S819" s="13">
        <f t="shared" si="50"/>
        <v>29</v>
      </c>
      <c r="T819" s="14">
        <f t="shared" si="51"/>
        <v>0.4264705882352941</v>
      </c>
    </row>
    <row r="820" spans="1:20">
      <c r="A820" t="s">
        <v>1524</v>
      </c>
      <c r="B820" s="8">
        <v>46164</v>
      </c>
      <c r="C820" t="s">
        <v>385</v>
      </c>
      <c r="D820" t="s">
        <v>72</v>
      </c>
      <c r="E820" t="s">
        <v>705</v>
      </c>
      <c r="F820" t="s">
        <v>698</v>
      </c>
      <c r="G820">
        <v>1</v>
      </c>
      <c r="H820" s="9">
        <v>0.1</v>
      </c>
      <c r="I820" t="s">
        <v>699</v>
      </c>
      <c r="J820">
        <v>5</v>
      </c>
      <c r="K820">
        <v>2</v>
      </c>
      <c r="L820" t="str">
        <f>VLOOKUP(D820,Products!A:E,2,FALSE)</f>
        <v>Phone Charger</v>
      </c>
      <c r="M820" t="str">
        <f>VLOOKUP(D820,Products!A:E,3,FALSE)</f>
        <v>Accessories</v>
      </c>
      <c r="N820">
        <f>VLOOKUP(D820,Products!A:E,4,FALSE)</f>
        <v>32</v>
      </c>
      <c r="O820" s="13">
        <f>VLOOKUP(D820,Products!A:E,5,FALSE)</f>
        <v>13</v>
      </c>
      <c r="P820" s="13" t="str">
        <f>VLOOKUP(C820,Customers!A:C,3,FALSE)</f>
        <v>Consumer</v>
      </c>
      <c r="Q820" s="13">
        <f t="shared" si="48"/>
        <v>28.8</v>
      </c>
      <c r="R820" s="13">
        <f t="shared" si="49"/>
        <v>13</v>
      </c>
      <c r="S820" s="13">
        <f t="shared" si="50"/>
        <v>15.8</v>
      </c>
      <c r="T820" s="14">
        <f t="shared" si="51"/>
        <v>0.54861111111111116</v>
      </c>
    </row>
    <row r="821" spans="1:20">
      <c r="A821" t="s">
        <v>1525</v>
      </c>
      <c r="B821" s="8">
        <v>45711</v>
      </c>
      <c r="C821" t="s">
        <v>269</v>
      </c>
      <c r="D821" t="s">
        <v>79</v>
      </c>
      <c r="E821" t="s">
        <v>701</v>
      </c>
      <c r="F821" t="s">
        <v>702</v>
      </c>
      <c r="G821">
        <v>4</v>
      </c>
      <c r="H821" s="9">
        <v>0.15</v>
      </c>
      <c r="I821" t="s">
        <v>699</v>
      </c>
      <c r="J821">
        <v>1</v>
      </c>
      <c r="K821">
        <v>7</v>
      </c>
      <c r="L821" t="str">
        <f>VLOOKUP(D821,Products!A:E,2,FALSE)</f>
        <v>Desk Organiser</v>
      </c>
      <c r="M821" t="str">
        <f>VLOOKUP(D821,Products!A:E,3,FALSE)</f>
        <v>Office Supplies</v>
      </c>
      <c r="N821">
        <f>VLOOKUP(D821,Products!A:E,4,FALSE)</f>
        <v>28</v>
      </c>
      <c r="O821" s="13">
        <f>VLOOKUP(D821,Products!A:E,5,FALSE)</f>
        <v>12</v>
      </c>
      <c r="P821" s="13" t="str">
        <f>VLOOKUP(C821,Customers!A:C,3,FALSE)</f>
        <v>Corporate</v>
      </c>
      <c r="Q821" s="13">
        <f t="shared" si="48"/>
        <v>95.2</v>
      </c>
      <c r="R821" s="13">
        <f t="shared" si="49"/>
        <v>48</v>
      </c>
      <c r="S821" s="13">
        <f t="shared" si="50"/>
        <v>47.2</v>
      </c>
      <c r="T821" s="14">
        <f t="shared" si="51"/>
        <v>0.49579831932773111</v>
      </c>
    </row>
    <row r="822" spans="1:20">
      <c r="A822" t="s">
        <v>1526</v>
      </c>
      <c r="B822" s="8">
        <v>46090</v>
      </c>
      <c r="C822" t="s">
        <v>571</v>
      </c>
      <c r="D822" t="s">
        <v>70</v>
      </c>
      <c r="E822" t="s">
        <v>701</v>
      </c>
      <c r="F822" t="s">
        <v>702</v>
      </c>
      <c r="G822">
        <v>2</v>
      </c>
      <c r="H822" s="9">
        <v>0</v>
      </c>
      <c r="I822" t="s">
        <v>699</v>
      </c>
      <c r="J822">
        <v>3</v>
      </c>
      <c r="K822">
        <v>5</v>
      </c>
      <c r="L822" t="str">
        <f>VLOOKUP(D822,Products!A:E,2,FALSE)</f>
        <v>USB-C Hub</v>
      </c>
      <c r="M822" t="str">
        <f>VLOOKUP(D822,Products!A:E,3,FALSE)</f>
        <v>Accessories</v>
      </c>
      <c r="N822">
        <f>VLOOKUP(D822,Products!A:E,4,FALSE)</f>
        <v>68</v>
      </c>
      <c r="O822" s="13">
        <f>VLOOKUP(D822,Products!A:E,5,FALSE)</f>
        <v>31</v>
      </c>
      <c r="P822" s="13" t="str">
        <f>VLOOKUP(C822,Customers!A:C,3,FALSE)</f>
        <v>Corporate</v>
      </c>
      <c r="Q822" s="13">
        <f t="shared" si="48"/>
        <v>136</v>
      </c>
      <c r="R822" s="13">
        <f t="shared" si="49"/>
        <v>62</v>
      </c>
      <c r="S822" s="13">
        <f t="shared" si="50"/>
        <v>74</v>
      </c>
      <c r="T822" s="14">
        <f t="shared" si="51"/>
        <v>0.54411764705882348</v>
      </c>
    </row>
    <row r="823" spans="1:20">
      <c r="A823" t="s">
        <v>1527</v>
      </c>
      <c r="B823" s="8">
        <v>46061</v>
      </c>
      <c r="C823" t="s">
        <v>185</v>
      </c>
      <c r="D823" t="s">
        <v>54</v>
      </c>
      <c r="E823" t="s">
        <v>708</v>
      </c>
      <c r="F823" t="s">
        <v>698</v>
      </c>
      <c r="G823">
        <v>5</v>
      </c>
      <c r="H823" s="9">
        <v>0</v>
      </c>
      <c r="I823" t="s">
        <v>703</v>
      </c>
      <c r="J823">
        <v>4</v>
      </c>
      <c r="K823">
        <v>4</v>
      </c>
      <c r="L823" t="str">
        <f>VLOOKUP(D823,Products!A:E,2,FALSE)</f>
        <v>Webcam</v>
      </c>
      <c r="M823" t="str">
        <f>VLOOKUP(D823,Products!A:E,3,FALSE)</f>
        <v>Technology</v>
      </c>
      <c r="N823">
        <f>VLOOKUP(D823,Products!A:E,4,FALSE)</f>
        <v>115</v>
      </c>
      <c r="O823" s="13">
        <f>VLOOKUP(D823,Products!A:E,5,FALSE)</f>
        <v>58</v>
      </c>
      <c r="P823" s="13" t="str">
        <f>VLOOKUP(C823,Customers!A:C,3,FALSE)</f>
        <v>Consumer</v>
      </c>
      <c r="Q823" s="13">
        <f t="shared" si="48"/>
        <v>575</v>
      </c>
      <c r="R823" s="13">
        <f t="shared" si="49"/>
        <v>290</v>
      </c>
      <c r="S823" s="13">
        <f t="shared" si="50"/>
        <v>285</v>
      </c>
      <c r="T823" s="14">
        <f t="shared" si="51"/>
        <v>0.4956521739130435</v>
      </c>
    </row>
    <row r="824" spans="1:20">
      <c r="A824" t="s">
        <v>1528</v>
      </c>
      <c r="B824" s="8">
        <v>46110</v>
      </c>
      <c r="C824" t="s">
        <v>581</v>
      </c>
      <c r="D824" t="s">
        <v>65</v>
      </c>
      <c r="E824" t="s">
        <v>697</v>
      </c>
      <c r="F824" t="s">
        <v>702</v>
      </c>
      <c r="G824">
        <v>4</v>
      </c>
      <c r="H824" s="9">
        <v>0</v>
      </c>
      <c r="I824" t="s">
        <v>699</v>
      </c>
      <c r="J824">
        <v>4</v>
      </c>
      <c r="K824">
        <v>5</v>
      </c>
      <c r="L824" t="str">
        <f>VLOOKUP(D824,Products!A:E,2,FALSE)</f>
        <v>Laptop Stand</v>
      </c>
      <c r="M824" t="str">
        <f>VLOOKUP(D824,Products!A:E,3,FALSE)</f>
        <v>Accessories</v>
      </c>
      <c r="N824">
        <f>VLOOKUP(D824,Products!A:E,4,FALSE)</f>
        <v>48</v>
      </c>
      <c r="O824" s="13">
        <f>VLOOKUP(D824,Products!A:E,5,FALSE)</f>
        <v>22</v>
      </c>
      <c r="P824" s="13" t="str">
        <f>VLOOKUP(C824,Customers!A:C,3,FALSE)</f>
        <v>Consumer</v>
      </c>
      <c r="Q824" s="13">
        <f t="shared" si="48"/>
        <v>192</v>
      </c>
      <c r="R824" s="13">
        <f t="shared" si="49"/>
        <v>88</v>
      </c>
      <c r="S824" s="13">
        <f t="shared" si="50"/>
        <v>104</v>
      </c>
      <c r="T824" s="14">
        <f t="shared" si="51"/>
        <v>0.54166666666666663</v>
      </c>
    </row>
    <row r="825" spans="1:20">
      <c r="A825" t="s">
        <v>1529</v>
      </c>
      <c r="B825" s="8">
        <v>45762</v>
      </c>
      <c r="C825" t="s">
        <v>237</v>
      </c>
      <c r="D825" t="s">
        <v>72</v>
      </c>
      <c r="E825" t="s">
        <v>697</v>
      </c>
      <c r="F825" t="s">
        <v>702</v>
      </c>
      <c r="G825">
        <v>5</v>
      </c>
      <c r="H825" s="9">
        <v>0.15</v>
      </c>
      <c r="I825" t="s">
        <v>699</v>
      </c>
      <c r="J825">
        <v>5</v>
      </c>
      <c r="K825">
        <v>2</v>
      </c>
      <c r="L825" t="str">
        <f>VLOOKUP(D825,Products!A:E,2,FALSE)</f>
        <v>Phone Charger</v>
      </c>
      <c r="M825" t="str">
        <f>VLOOKUP(D825,Products!A:E,3,FALSE)</f>
        <v>Accessories</v>
      </c>
      <c r="N825">
        <f>VLOOKUP(D825,Products!A:E,4,FALSE)</f>
        <v>32</v>
      </c>
      <c r="O825" s="13">
        <f>VLOOKUP(D825,Products!A:E,5,FALSE)</f>
        <v>13</v>
      </c>
      <c r="P825" s="13" t="str">
        <f>VLOOKUP(C825,Customers!A:C,3,FALSE)</f>
        <v>Consumer</v>
      </c>
      <c r="Q825" s="13">
        <f t="shared" si="48"/>
        <v>136</v>
      </c>
      <c r="R825" s="13">
        <f t="shared" si="49"/>
        <v>65</v>
      </c>
      <c r="S825" s="13">
        <f t="shared" si="50"/>
        <v>71</v>
      </c>
      <c r="T825" s="14">
        <f t="shared" si="51"/>
        <v>0.5220588235294118</v>
      </c>
    </row>
    <row r="826" spans="1:20">
      <c r="A826" t="s">
        <v>1530</v>
      </c>
      <c r="B826" s="8">
        <v>45711</v>
      </c>
      <c r="C826" t="s">
        <v>207</v>
      </c>
      <c r="D826" t="s">
        <v>68</v>
      </c>
      <c r="E826" t="s">
        <v>715</v>
      </c>
      <c r="F826" t="s">
        <v>706</v>
      </c>
      <c r="G826">
        <v>3</v>
      </c>
      <c r="H826" s="9">
        <v>0</v>
      </c>
      <c r="I826" t="s">
        <v>699</v>
      </c>
      <c r="J826">
        <v>3</v>
      </c>
      <c r="K826">
        <v>4</v>
      </c>
      <c r="L826" t="str">
        <f>VLOOKUP(D826,Products!A:E,2,FALSE)</f>
        <v>Backpack</v>
      </c>
      <c r="M826" t="str">
        <f>VLOOKUP(D826,Products!A:E,3,FALSE)</f>
        <v>Accessories</v>
      </c>
      <c r="N826">
        <f>VLOOKUP(D826,Products!A:E,4,FALSE)</f>
        <v>85</v>
      </c>
      <c r="O826" s="13">
        <f>VLOOKUP(D826,Products!A:E,5,FALSE)</f>
        <v>39</v>
      </c>
      <c r="P826" s="13" t="str">
        <f>VLOOKUP(C826,Customers!A:C,3,FALSE)</f>
        <v>Small Business</v>
      </c>
      <c r="Q826" s="13">
        <f t="shared" si="48"/>
        <v>255</v>
      </c>
      <c r="R826" s="13">
        <f t="shared" si="49"/>
        <v>117</v>
      </c>
      <c r="S826" s="13">
        <f t="shared" si="50"/>
        <v>138</v>
      </c>
      <c r="T826" s="14">
        <f t="shared" si="51"/>
        <v>0.54117647058823526</v>
      </c>
    </row>
    <row r="827" spans="1:20">
      <c r="A827" t="s">
        <v>1531</v>
      </c>
      <c r="B827" s="8">
        <v>45967</v>
      </c>
      <c r="C827" t="s">
        <v>263</v>
      </c>
      <c r="D827" t="s">
        <v>72</v>
      </c>
      <c r="E827" t="s">
        <v>697</v>
      </c>
      <c r="F827" t="s">
        <v>706</v>
      </c>
      <c r="G827">
        <v>3</v>
      </c>
      <c r="H827" s="9">
        <v>0</v>
      </c>
      <c r="I827" t="s">
        <v>699</v>
      </c>
      <c r="J827">
        <v>5</v>
      </c>
      <c r="K827">
        <v>4</v>
      </c>
      <c r="L827" t="str">
        <f>VLOOKUP(D827,Products!A:E,2,FALSE)</f>
        <v>Phone Charger</v>
      </c>
      <c r="M827" t="str">
        <f>VLOOKUP(D827,Products!A:E,3,FALSE)</f>
        <v>Accessories</v>
      </c>
      <c r="N827">
        <f>VLOOKUP(D827,Products!A:E,4,FALSE)</f>
        <v>32</v>
      </c>
      <c r="O827" s="13">
        <f>VLOOKUP(D827,Products!A:E,5,FALSE)</f>
        <v>13</v>
      </c>
      <c r="P827" s="13" t="str">
        <f>VLOOKUP(C827,Customers!A:C,3,FALSE)</f>
        <v>Consumer</v>
      </c>
      <c r="Q827" s="13">
        <f t="shared" si="48"/>
        <v>96</v>
      </c>
      <c r="R827" s="13">
        <f t="shared" si="49"/>
        <v>39</v>
      </c>
      <c r="S827" s="13">
        <f t="shared" si="50"/>
        <v>57</v>
      </c>
      <c r="T827" s="14">
        <f t="shared" si="51"/>
        <v>0.59375</v>
      </c>
    </row>
    <row r="828" spans="1:20">
      <c r="A828" t="s">
        <v>1532</v>
      </c>
      <c r="B828" s="8">
        <v>45939</v>
      </c>
      <c r="C828" t="s">
        <v>541</v>
      </c>
      <c r="D828" t="s">
        <v>70</v>
      </c>
      <c r="E828" t="s">
        <v>705</v>
      </c>
      <c r="F828" t="s">
        <v>702</v>
      </c>
      <c r="G828">
        <v>1</v>
      </c>
      <c r="H828" s="9">
        <v>0.05</v>
      </c>
      <c r="I828" t="s">
        <v>699</v>
      </c>
      <c r="J828">
        <v>3</v>
      </c>
      <c r="K828">
        <v>5</v>
      </c>
      <c r="L828" t="str">
        <f>VLOOKUP(D828,Products!A:E,2,FALSE)</f>
        <v>USB-C Hub</v>
      </c>
      <c r="M828" t="str">
        <f>VLOOKUP(D828,Products!A:E,3,FALSE)</f>
        <v>Accessories</v>
      </c>
      <c r="N828">
        <f>VLOOKUP(D828,Products!A:E,4,FALSE)</f>
        <v>68</v>
      </c>
      <c r="O828" s="13">
        <f>VLOOKUP(D828,Products!A:E,5,FALSE)</f>
        <v>31</v>
      </c>
      <c r="P828" s="13" t="str">
        <f>VLOOKUP(C828,Customers!A:C,3,FALSE)</f>
        <v>Small Business</v>
      </c>
      <c r="Q828" s="13">
        <f t="shared" si="48"/>
        <v>64.599999999999994</v>
      </c>
      <c r="R828" s="13">
        <f t="shared" si="49"/>
        <v>31</v>
      </c>
      <c r="S828" s="13">
        <f t="shared" si="50"/>
        <v>33.599999999999994</v>
      </c>
      <c r="T828" s="14">
        <f t="shared" si="51"/>
        <v>0.52012383900928794</v>
      </c>
    </row>
    <row r="829" spans="1:20">
      <c r="A829" t="s">
        <v>1533</v>
      </c>
      <c r="B829" s="8">
        <v>46244</v>
      </c>
      <c r="C829" t="s">
        <v>673</v>
      </c>
      <c r="D829" t="s">
        <v>79</v>
      </c>
      <c r="E829" t="s">
        <v>708</v>
      </c>
      <c r="F829" t="s">
        <v>698</v>
      </c>
      <c r="G829">
        <v>4</v>
      </c>
      <c r="H829" s="9">
        <v>0</v>
      </c>
      <c r="I829" t="s">
        <v>699</v>
      </c>
      <c r="J829">
        <v>5</v>
      </c>
      <c r="K829">
        <v>4</v>
      </c>
      <c r="L829" t="str">
        <f>VLOOKUP(D829,Products!A:E,2,FALSE)</f>
        <v>Desk Organiser</v>
      </c>
      <c r="M829" t="str">
        <f>VLOOKUP(D829,Products!A:E,3,FALSE)</f>
        <v>Office Supplies</v>
      </c>
      <c r="N829">
        <f>VLOOKUP(D829,Products!A:E,4,FALSE)</f>
        <v>28</v>
      </c>
      <c r="O829" s="13">
        <f>VLOOKUP(D829,Products!A:E,5,FALSE)</f>
        <v>12</v>
      </c>
      <c r="P829" s="13" t="str">
        <f>VLOOKUP(C829,Customers!A:C,3,FALSE)</f>
        <v>Consumer</v>
      </c>
      <c r="Q829" s="13">
        <f t="shared" si="48"/>
        <v>112</v>
      </c>
      <c r="R829" s="13">
        <f t="shared" si="49"/>
        <v>48</v>
      </c>
      <c r="S829" s="13">
        <f t="shared" si="50"/>
        <v>64</v>
      </c>
      <c r="T829" s="14">
        <f t="shared" si="51"/>
        <v>0.5714285714285714</v>
      </c>
    </row>
    <row r="830" spans="1:20">
      <c r="A830" t="s">
        <v>1534</v>
      </c>
      <c r="B830" s="8">
        <v>45963</v>
      </c>
      <c r="C830" t="s">
        <v>671</v>
      </c>
      <c r="D830" t="s">
        <v>54</v>
      </c>
      <c r="E830" t="s">
        <v>705</v>
      </c>
      <c r="F830" t="s">
        <v>702</v>
      </c>
      <c r="G830">
        <v>6</v>
      </c>
      <c r="H830" s="9">
        <v>0.1</v>
      </c>
      <c r="I830" t="s">
        <v>699</v>
      </c>
      <c r="J830">
        <v>5</v>
      </c>
      <c r="K830">
        <v>1</v>
      </c>
      <c r="L830" t="str">
        <f>VLOOKUP(D830,Products!A:E,2,FALSE)</f>
        <v>Webcam</v>
      </c>
      <c r="M830" t="str">
        <f>VLOOKUP(D830,Products!A:E,3,FALSE)</f>
        <v>Technology</v>
      </c>
      <c r="N830">
        <f>VLOOKUP(D830,Products!A:E,4,FALSE)</f>
        <v>115</v>
      </c>
      <c r="O830" s="13">
        <f>VLOOKUP(D830,Products!A:E,5,FALSE)</f>
        <v>58</v>
      </c>
      <c r="P830" s="13" t="str">
        <f>VLOOKUP(C830,Customers!A:C,3,FALSE)</f>
        <v>Corporate</v>
      </c>
      <c r="Q830" s="13">
        <f t="shared" si="48"/>
        <v>621</v>
      </c>
      <c r="R830" s="13">
        <f t="shared" si="49"/>
        <v>348</v>
      </c>
      <c r="S830" s="13">
        <f t="shared" si="50"/>
        <v>273</v>
      </c>
      <c r="T830" s="14">
        <f t="shared" si="51"/>
        <v>0.43961352657004832</v>
      </c>
    </row>
    <row r="831" spans="1:20">
      <c r="A831" t="s">
        <v>1535</v>
      </c>
      <c r="B831" s="8">
        <v>46061</v>
      </c>
      <c r="C831" t="s">
        <v>655</v>
      </c>
      <c r="D831" t="s">
        <v>79</v>
      </c>
      <c r="E831" t="s">
        <v>705</v>
      </c>
      <c r="F831" t="s">
        <v>706</v>
      </c>
      <c r="G831">
        <v>2</v>
      </c>
      <c r="H831" s="9">
        <v>0.1</v>
      </c>
      <c r="I831" t="s">
        <v>699</v>
      </c>
      <c r="J831">
        <v>5</v>
      </c>
      <c r="K831">
        <v>2</v>
      </c>
      <c r="L831" t="str">
        <f>VLOOKUP(D831,Products!A:E,2,FALSE)</f>
        <v>Desk Organiser</v>
      </c>
      <c r="M831" t="str">
        <f>VLOOKUP(D831,Products!A:E,3,FALSE)</f>
        <v>Office Supplies</v>
      </c>
      <c r="N831">
        <f>VLOOKUP(D831,Products!A:E,4,FALSE)</f>
        <v>28</v>
      </c>
      <c r="O831" s="13">
        <f>VLOOKUP(D831,Products!A:E,5,FALSE)</f>
        <v>12</v>
      </c>
      <c r="P831" s="13" t="str">
        <f>VLOOKUP(C831,Customers!A:C,3,FALSE)</f>
        <v>Consumer</v>
      </c>
      <c r="Q831" s="13">
        <f t="shared" si="48"/>
        <v>50.4</v>
      </c>
      <c r="R831" s="13">
        <f t="shared" si="49"/>
        <v>24</v>
      </c>
      <c r="S831" s="13">
        <f t="shared" si="50"/>
        <v>26.4</v>
      </c>
      <c r="T831" s="14">
        <f t="shared" si="51"/>
        <v>0.52380952380952384</v>
      </c>
    </row>
    <row r="832" spans="1:20">
      <c r="A832" t="s">
        <v>1536</v>
      </c>
      <c r="B832" s="8">
        <v>45778</v>
      </c>
      <c r="C832" t="s">
        <v>271</v>
      </c>
      <c r="D832" t="s">
        <v>56</v>
      </c>
      <c r="E832" t="s">
        <v>705</v>
      </c>
      <c r="F832" t="s">
        <v>702</v>
      </c>
      <c r="G832">
        <v>1</v>
      </c>
      <c r="H832" s="9">
        <v>0</v>
      </c>
      <c r="I832" t="s">
        <v>699</v>
      </c>
      <c r="J832">
        <v>5</v>
      </c>
      <c r="K832">
        <v>1</v>
      </c>
      <c r="L832" t="str">
        <f>VLOOKUP(D832,Products!A:E,2,FALSE)</f>
        <v>Headset</v>
      </c>
      <c r="M832" t="str">
        <f>VLOOKUP(D832,Products!A:E,3,FALSE)</f>
        <v>Technology</v>
      </c>
      <c r="N832">
        <f>VLOOKUP(D832,Products!A:E,4,FALSE)</f>
        <v>98</v>
      </c>
      <c r="O832" s="13">
        <f>VLOOKUP(D832,Products!A:E,5,FALSE)</f>
        <v>46</v>
      </c>
      <c r="P832" s="13" t="str">
        <f>VLOOKUP(C832,Customers!A:C,3,FALSE)</f>
        <v>Corporate</v>
      </c>
      <c r="Q832" s="13">
        <f t="shared" si="48"/>
        <v>98</v>
      </c>
      <c r="R832" s="13">
        <f t="shared" si="49"/>
        <v>46</v>
      </c>
      <c r="S832" s="13">
        <f t="shared" si="50"/>
        <v>52</v>
      </c>
      <c r="T832" s="14">
        <f t="shared" si="51"/>
        <v>0.53061224489795922</v>
      </c>
    </row>
    <row r="833" spans="1:20">
      <c r="A833" t="s">
        <v>1537</v>
      </c>
      <c r="B833" s="8">
        <v>46233</v>
      </c>
      <c r="C833" t="s">
        <v>349</v>
      </c>
      <c r="D833" t="s">
        <v>48</v>
      </c>
      <c r="E833" t="s">
        <v>705</v>
      </c>
      <c r="F833" t="s">
        <v>702</v>
      </c>
      <c r="G833">
        <v>1</v>
      </c>
      <c r="H833" s="9">
        <v>0.2</v>
      </c>
      <c r="I833" t="s">
        <v>699</v>
      </c>
      <c r="J833">
        <v>5</v>
      </c>
      <c r="K833">
        <v>1</v>
      </c>
      <c r="L833" t="str">
        <f>VLOOKUP(D833,Products!A:E,2,FALSE)</f>
        <v>Monitor</v>
      </c>
      <c r="M833" t="str">
        <f>VLOOKUP(D833,Products!A:E,3,FALSE)</f>
        <v>Technology</v>
      </c>
      <c r="N833">
        <f>VLOOKUP(D833,Products!A:E,4,FALSE)</f>
        <v>310</v>
      </c>
      <c r="O833" s="13">
        <f>VLOOKUP(D833,Products!A:E,5,FALSE)</f>
        <v>190</v>
      </c>
      <c r="P833" s="13" t="str">
        <f>VLOOKUP(C833,Customers!A:C,3,FALSE)</f>
        <v>Consumer</v>
      </c>
      <c r="Q833" s="13">
        <f t="shared" si="48"/>
        <v>248</v>
      </c>
      <c r="R833" s="13">
        <f t="shared" si="49"/>
        <v>190</v>
      </c>
      <c r="S833" s="13">
        <f t="shared" si="50"/>
        <v>58</v>
      </c>
      <c r="T833" s="14">
        <f t="shared" si="51"/>
        <v>0.23387096774193547</v>
      </c>
    </row>
    <row r="834" spans="1:20">
      <c r="A834" t="s">
        <v>1538</v>
      </c>
      <c r="B834" s="8">
        <v>45912</v>
      </c>
      <c r="C834" t="s">
        <v>393</v>
      </c>
      <c r="D834" t="s">
        <v>48</v>
      </c>
      <c r="E834" t="s">
        <v>697</v>
      </c>
      <c r="F834" t="s">
        <v>698</v>
      </c>
      <c r="G834">
        <v>4</v>
      </c>
      <c r="H834" s="9">
        <v>0.05</v>
      </c>
      <c r="I834" t="s">
        <v>699</v>
      </c>
      <c r="J834">
        <v>4</v>
      </c>
      <c r="K834">
        <v>3</v>
      </c>
      <c r="L834" t="str">
        <f>VLOOKUP(D834,Products!A:E,2,FALSE)</f>
        <v>Monitor</v>
      </c>
      <c r="M834" t="str">
        <f>VLOOKUP(D834,Products!A:E,3,FALSE)</f>
        <v>Technology</v>
      </c>
      <c r="N834">
        <f>VLOOKUP(D834,Products!A:E,4,FALSE)</f>
        <v>310</v>
      </c>
      <c r="O834" s="13">
        <f>VLOOKUP(D834,Products!A:E,5,FALSE)</f>
        <v>190</v>
      </c>
      <c r="P834" s="13" t="str">
        <f>VLOOKUP(C834,Customers!A:C,3,FALSE)</f>
        <v>Corporate</v>
      </c>
      <c r="Q834" s="13">
        <f t="shared" ref="Q834:Q897" si="52">G834*N834*(1-H834)</f>
        <v>1178</v>
      </c>
      <c r="R834" s="13">
        <f t="shared" ref="R834:R897" si="53">G834*O834</f>
        <v>760</v>
      </c>
      <c r="S834" s="13">
        <f t="shared" ref="S834:S897" si="54">Q834-R834</f>
        <v>418</v>
      </c>
      <c r="T834" s="14">
        <f t="shared" ref="T834:T897" si="55">IFERROR(S834/Q834,0)</f>
        <v>0.35483870967741937</v>
      </c>
    </row>
    <row r="835" spans="1:20">
      <c r="A835" t="s">
        <v>1539</v>
      </c>
      <c r="B835" s="8">
        <v>46193</v>
      </c>
      <c r="C835" t="s">
        <v>447</v>
      </c>
      <c r="D835" t="s">
        <v>58</v>
      </c>
      <c r="E835" t="s">
        <v>701</v>
      </c>
      <c r="F835" t="s">
        <v>698</v>
      </c>
      <c r="G835">
        <v>1</v>
      </c>
      <c r="H835" s="9">
        <v>0</v>
      </c>
      <c r="I835" t="s">
        <v>699</v>
      </c>
      <c r="J835">
        <v>5</v>
      </c>
      <c r="K835">
        <v>2</v>
      </c>
      <c r="L835" t="str">
        <f>VLOOKUP(D835,Products!A:E,2,FALSE)</f>
        <v>Standing Desk</v>
      </c>
      <c r="M835" t="str">
        <f>VLOOKUP(D835,Products!A:E,3,FALSE)</f>
        <v>Furniture</v>
      </c>
      <c r="N835">
        <f>VLOOKUP(D835,Products!A:E,4,FALSE)</f>
        <v>540</v>
      </c>
      <c r="O835" s="13">
        <f>VLOOKUP(D835,Products!A:E,5,FALSE)</f>
        <v>320</v>
      </c>
      <c r="P835" s="13" t="str">
        <f>VLOOKUP(C835,Customers!A:C,3,FALSE)</f>
        <v>Corporate</v>
      </c>
      <c r="Q835" s="13">
        <f t="shared" si="52"/>
        <v>540</v>
      </c>
      <c r="R835" s="13">
        <f t="shared" si="53"/>
        <v>320</v>
      </c>
      <c r="S835" s="13">
        <f t="shared" si="54"/>
        <v>220</v>
      </c>
      <c r="T835" s="14">
        <f t="shared" si="55"/>
        <v>0.40740740740740738</v>
      </c>
    </row>
    <row r="836" spans="1:20">
      <c r="A836" t="s">
        <v>1540</v>
      </c>
      <c r="B836" s="8">
        <v>45795</v>
      </c>
      <c r="C836" t="s">
        <v>651</v>
      </c>
      <c r="D836" t="s">
        <v>58</v>
      </c>
      <c r="E836" t="s">
        <v>715</v>
      </c>
      <c r="F836" t="s">
        <v>702</v>
      </c>
      <c r="G836">
        <v>4</v>
      </c>
      <c r="H836" s="9">
        <v>0</v>
      </c>
      <c r="I836" t="s">
        <v>699</v>
      </c>
      <c r="J836">
        <v>4</v>
      </c>
      <c r="K836">
        <v>2</v>
      </c>
      <c r="L836" t="str">
        <f>VLOOKUP(D836,Products!A:E,2,FALSE)</f>
        <v>Standing Desk</v>
      </c>
      <c r="M836" t="str">
        <f>VLOOKUP(D836,Products!A:E,3,FALSE)</f>
        <v>Furniture</v>
      </c>
      <c r="N836">
        <f>VLOOKUP(D836,Products!A:E,4,FALSE)</f>
        <v>540</v>
      </c>
      <c r="O836" s="13">
        <f>VLOOKUP(D836,Products!A:E,5,FALSE)</f>
        <v>320</v>
      </c>
      <c r="P836" s="13" t="str">
        <f>VLOOKUP(C836,Customers!A:C,3,FALSE)</f>
        <v>Corporate</v>
      </c>
      <c r="Q836" s="13">
        <f t="shared" si="52"/>
        <v>2160</v>
      </c>
      <c r="R836" s="13">
        <f t="shared" si="53"/>
        <v>1280</v>
      </c>
      <c r="S836" s="13">
        <f t="shared" si="54"/>
        <v>880</v>
      </c>
      <c r="T836" s="14">
        <f t="shared" si="55"/>
        <v>0.40740740740740738</v>
      </c>
    </row>
    <row r="837" spans="1:20">
      <c r="A837" t="s">
        <v>1541</v>
      </c>
      <c r="B837" s="8">
        <v>46067</v>
      </c>
      <c r="C837" t="s">
        <v>553</v>
      </c>
      <c r="D837" t="s">
        <v>50</v>
      </c>
      <c r="E837" t="s">
        <v>697</v>
      </c>
      <c r="F837" t="s">
        <v>698</v>
      </c>
      <c r="G837">
        <v>7</v>
      </c>
      <c r="H837" s="9">
        <v>0</v>
      </c>
      <c r="I837" t="s">
        <v>699</v>
      </c>
      <c r="J837">
        <v>5</v>
      </c>
      <c r="K837">
        <v>3</v>
      </c>
      <c r="L837" t="str">
        <f>VLOOKUP(D837,Products!A:E,2,FALSE)</f>
        <v>Keyboard</v>
      </c>
      <c r="M837" t="str">
        <f>VLOOKUP(D837,Products!A:E,3,FALSE)</f>
        <v>Technology</v>
      </c>
      <c r="N837">
        <f>VLOOKUP(D837,Products!A:E,4,FALSE)</f>
        <v>75</v>
      </c>
      <c r="O837" s="13">
        <f>VLOOKUP(D837,Products!A:E,5,FALSE)</f>
        <v>38</v>
      </c>
      <c r="P837" s="13" t="str">
        <f>VLOOKUP(C837,Customers!A:C,3,FALSE)</f>
        <v>Corporate</v>
      </c>
      <c r="Q837" s="13">
        <f t="shared" si="52"/>
        <v>525</v>
      </c>
      <c r="R837" s="13">
        <f t="shared" si="53"/>
        <v>266</v>
      </c>
      <c r="S837" s="13">
        <f t="shared" si="54"/>
        <v>259</v>
      </c>
      <c r="T837" s="14">
        <f t="shared" si="55"/>
        <v>0.49333333333333335</v>
      </c>
    </row>
    <row r="838" spans="1:20">
      <c r="A838" t="s">
        <v>1542</v>
      </c>
      <c r="B838" s="8">
        <v>45855</v>
      </c>
      <c r="C838" t="s">
        <v>467</v>
      </c>
      <c r="D838" t="s">
        <v>56</v>
      </c>
      <c r="E838" t="s">
        <v>708</v>
      </c>
      <c r="F838" t="s">
        <v>702</v>
      </c>
      <c r="G838">
        <v>8</v>
      </c>
      <c r="H838" s="9">
        <v>0</v>
      </c>
      <c r="I838" t="s">
        <v>699</v>
      </c>
      <c r="J838">
        <v>4</v>
      </c>
      <c r="K838">
        <v>1</v>
      </c>
      <c r="L838" t="str">
        <f>VLOOKUP(D838,Products!A:E,2,FALSE)</f>
        <v>Headset</v>
      </c>
      <c r="M838" t="str">
        <f>VLOOKUP(D838,Products!A:E,3,FALSE)</f>
        <v>Technology</v>
      </c>
      <c r="N838">
        <f>VLOOKUP(D838,Products!A:E,4,FALSE)</f>
        <v>98</v>
      </c>
      <c r="O838" s="13">
        <f>VLOOKUP(D838,Products!A:E,5,FALSE)</f>
        <v>46</v>
      </c>
      <c r="P838" s="13" t="str">
        <f>VLOOKUP(C838,Customers!A:C,3,FALSE)</f>
        <v>Consumer</v>
      </c>
      <c r="Q838" s="13">
        <f t="shared" si="52"/>
        <v>784</v>
      </c>
      <c r="R838" s="13">
        <f t="shared" si="53"/>
        <v>368</v>
      </c>
      <c r="S838" s="13">
        <f t="shared" si="54"/>
        <v>416</v>
      </c>
      <c r="T838" s="14">
        <f t="shared" si="55"/>
        <v>0.53061224489795922</v>
      </c>
    </row>
    <row r="839" spans="1:20">
      <c r="A839" t="s">
        <v>1543</v>
      </c>
      <c r="B839" s="8">
        <v>45934</v>
      </c>
      <c r="C839" t="s">
        <v>213</v>
      </c>
      <c r="D839" t="s">
        <v>52</v>
      </c>
      <c r="E839" t="s">
        <v>701</v>
      </c>
      <c r="F839" t="s">
        <v>702</v>
      </c>
      <c r="G839">
        <v>2</v>
      </c>
      <c r="H839" s="9">
        <v>0</v>
      </c>
      <c r="I839" t="s">
        <v>699</v>
      </c>
      <c r="J839">
        <v>5</v>
      </c>
      <c r="K839">
        <v>2</v>
      </c>
      <c r="L839" t="str">
        <f>VLOOKUP(D839,Products!A:E,2,FALSE)</f>
        <v>Mouse</v>
      </c>
      <c r="M839" t="str">
        <f>VLOOKUP(D839,Products!A:E,3,FALSE)</f>
        <v>Technology</v>
      </c>
      <c r="N839">
        <f>VLOOKUP(D839,Products!A:E,4,FALSE)</f>
        <v>42</v>
      </c>
      <c r="O839" s="13">
        <f>VLOOKUP(D839,Products!A:E,5,FALSE)</f>
        <v>19</v>
      </c>
      <c r="P839" s="13" t="str">
        <f>VLOOKUP(C839,Customers!A:C,3,FALSE)</f>
        <v>Corporate</v>
      </c>
      <c r="Q839" s="13">
        <f t="shared" si="52"/>
        <v>84</v>
      </c>
      <c r="R839" s="13">
        <f t="shared" si="53"/>
        <v>38</v>
      </c>
      <c r="S839" s="13">
        <f t="shared" si="54"/>
        <v>46</v>
      </c>
      <c r="T839" s="14">
        <f t="shared" si="55"/>
        <v>0.54761904761904767</v>
      </c>
    </row>
    <row r="840" spans="1:20">
      <c r="A840" t="s">
        <v>1544</v>
      </c>
      <c r="B840" s="8">
        <v>45889</v>
      </c>
      <c r="C840" t="s">
        <v>367</v>
      </c>
      <c r="D840" t="s">
        <v>45</v>
      </c>
      <c r="E840" t="s">
        <v>705</v>
      </c>
      <c r="F840" t="s">
        <v>706</v>
      </c>
      <c r="G840">
        <v>1</v>
      </c>
      <c r="H840" s="9">
        <v>0.2</v>
      </c>
      <c r="I840" t="s">
        <v>699</v>
      </c>
      <c r="J840">
        <v>3</v>
      </c>
      <c r="K840">
        <v>5</v>
      </c>
      <c r="L840" t="str">
        <f>VLOOKUP(D840,Products!A:E,2,FALSE)</f>
        <v>Laptop</v>
      </c>
      <c r="M840" t="str">
        <f>VLOOKUP(D840,Products!A:E,3,FALSE)</f>
        <v>Technology</v>
      </c>
      <c r="N840">
        <f>VLOOKUP(D840,Products!A:E,4,FALSE)</f>
        <v>1100</v>
      </c>
      <c r="O840" s="13">
        <f>VLOOKUP(D840,Products!A:E,5,FALSE)</f>
        <v>720</v>
      </c>
      <c r="P840" s="13" t="str">
        <f>VLOOKUP(C840,Customers!A:C,3,FALSE)</f>
        <v>Consumer</v>
      </c>
      <c r="Q840" s="13">
        <f t="shared" si="52"/>
        <v>880</v>
      </c>
      <c r="R840" s="13">
        <f t="shared" si="53"/>
        <v>720</v>
      </c>
      <c r="S840" s="13">
        <f t="shared" si="54"/>
        <v>160</v>
      </c>
      <c r="T840" s="14">
        <f t="shared" si="55"/>
        <v>0.18181818181818182</v>
      </c>
    </row>
    <row r="841" spans="1:20">
      <c r="A841" t="s">
        <v>1545</v>
      </c>
      <c r="B841" s="8">
        <v>45971</v>
      </c>
      <c r="C841" t="s">
        <v>587</v>
      </c>
      <c r="D841" t="s">
        <v>52</v>
      </c>
      <c r="E841" t="s">
        <v>715</v>
      </c>
      <c r="F841" t="s">
        <v>698</v>
      </c>
      <c r="G841">
        <v>5</v>
      </c>
      <c r="H841" s="9">
        <v>0.05</v>
      </c>
      <c r="I841" t="s">
        <v>699</v>
      </c>
      <c r="J841">
        <v>5</v>
      </c>
      <c r="K841">
        <v>2</v>
      </c>
      <c r="L841" t="str">
        <f>VLOOKUP(D841,Products!A:E,2,FALSE)</f>
        <v>Mouse</v>
      </c>
      <c r="M841" t="str">
        <f>VLOOKUP(D841,Products!A:E,3,FALSE)</f>
        <v>Technology</v>
      </c>
      <c r="N841">
        <f>VLOOKUP(D841,Products!A:E,4,FALSE)</f>
        <v>42</v>
      </c>
      <c r="O841" s="13">
        <f>VLOOKUP(D841,Products!A:E,5,FALSE)</f>
        <v>19</v>
      </c>
      <c r="P841" s="13" t="str">
        <f>VLOOKUP(C841,Customers!A:C,3,FALSE)</f>
        <v>Consumer</v>
      </c>
      <c r="Q841" s="13">
        <f t="shared" si="52"/>
        <v>199.5</v>
      </c>
      <c r="R841" s="13">
        <f t="shared" si="53"/>
        <v>95</v>
      </c>
      <c r="S841" s="13">
        <f t="shared" si="54"/>
        <v>104.5</v>
      </c>
      <c r="T841" s="14">
        <f t="shared" si="55"/>
        <v>0.52380952380952384</v>
      </c>
    </row>
    <row r="842" spans="1:20">
      <c r="A842" t="s">
        <v>1546</v>
      </c>
      <c r="B842" s="8">
        <v>45983</v>
      </c>
      <c r="C842" t="s">
        <v>485</v>
      </c>
      <c r="D842" t="s">
        <v>56</v>
      </c>
      <c r="E842" t="s">
        <v>708</v>
      </c>
      <c r="F842" t="s">
        <v>698</v>
      </c>
      <c r="G842">
        <v>7</v>
      </c>
      <c r="H842" s="9">
        <v>0.05</v>
      </c>
      <c r="I842" t="s">
        <v>699</v>
      </c>
      <c r="J842">
        <v>5</v>
      </c>
      <c r="K842">
        <v>4</v>
      </c>
      <c r="L842" t="str">
        <f>VLOOKUP(D842,Products!A:E,2,FALSE)</f>
        <v>Headset</v>
      </c>
      <c r="M842" t="str">
        <f>VLOOKUP(D842,Products!A:E,3,FALSE)</f>
        <v>Technology</v>
      </c>
      <c r="N842">
        <f>VLOOKUP(D842,Products!A:E,4,FALSE)</f>
        <v>98</v>
      </c>
      <c r="O842" s="13">
        <f>VLOOKUP(D842,Products!A:E,5,FALSE)</f>
        <v>46</v>
      </c>
      <c r="P842" s="13" t="str">
        <f>VLOOKUP(C842,Customers!A:C,3,FALSE)</f>
        <v>Small Business</v>
      </c>
      <c r="Q842" s="13">
        <f t="shared" si="52"/>
        <v>651.69999999999993</v>
      </c>
      <c r="R842" s="13">
        <f t="shared" si="53"/>
        <v>322</v>
      </c>
      <c r="S842" s="13">
        <f t="shared" si="54"/>
        <v>329.69999999999993</v>
      </c>
      <c r="T842" s="14">
        <f t="shared" si="55"/>
        <v>0.50590762620837804</v>
      </c>
    </row>
    <row r="843" spans="1:20">
      <c r="A843" t="s">
        <v>1547</v>
      </c>
      <c r="B843" s="8">
        <v>46264</v>
      </c>
      <c r="C843" t="s">
        <v>217</v>
      </c>
      <c r="D843" t="s">
        <v>63</v>
      </c>
      <c r="E843" t="s">
        <v>705</v>
      </c>
      <c r="F843" t="s">
        <v>698</v>
      </c>
      <c r="G843">
        <v>1</v>
      </c>
      <c r="H843" s="9">
        <v>0</v>
      </c>
      <c r="I843" t="s">
        <v>699</v>
      </c>
      <c r="J843">
        <v>5</v>
      </c>
      <c r="K843">
        <v>1</v>
      </c>
      <c r="L843" t="str">
        <f>VLOOKUP(D843,Products!A:E,2,FALSE)</f>
        <v>Bookshelf</v>
      </c>
      <c r="M843" t="str">
        <f>VLOOKUP(D843,Products!A:E,3,FALSE)</f>
        <v>Furniture</v>
      </c>
      <c r="N843">
        <f>VLOOKUP(D843,Products!A:E,4,FALSE)</f>
        <v>185</v>
      </c>
      <c r="O843" s="13">
        <f>VLOOKUP(D843,Products!A:E,5,FALSE)</f>
        <v>105</v>
      </c>
      <c r="P843" s="13" t="str">
        <f>VLOOKUP(C843,Customers!A:C,3,FALSE)</f>
        <v>Corporate</v>
      </c>
      <c r="Q843" s="13">
        <f t="shared" si="52"/>
        <v>185</v>
      </c>
      <c r="R843" s="13">
        <f t="shared" si="53"/>
        <v>105</v>
      </c>
      <c r="S843" s="13">
        <f t="shared" si="54"/>
        <v>80</v>
      </c>
      <c r="T843" s="14">
        <f t="shared" si="55"/>
        <v>0.43243243243243246</v>
      </c>
    </row>
    <row r="844" spans="1:20">
      <c r="A844" t="s">
        <v>1548</v>
      </c>
      <c r="B844" s="8">
        <v>46037</v>
      </c>
      <c r="C844" t="s">
        <v>341</v>
      </c>
      <c r="D844" t="s">
        <v>74</v>
      </c>
      <c r="E844" t="s">
        <v>701</v>
      </c>
      <c r="F844" t="s">
        <v>702</v>
      </c>
      <c r="G844">
        <v>8</v>
      </c>
      <c r="H844" s="9">
        <v>0.1</v>
      </c>
      <c r="I844" t="s">
        <v>699</v>
      </c>
      <c r="J844">
        <v>4</v>
      </c>
      <c r="K844">
        <v>4</v>
      </c>
      <c r="L844" t="str">
        <f>VLOOKUP(D844,Products!A:E,2,FALSE)</f>
        <v>Printer Paper</v>
      </c>
      <c r="M844" t="str">
        <f>VLOOKUP(D844,Products!A:E,3,FALSE)</f>
        <v>Office Supplies</v>
      </c>
      <c r="N844">
        <f>VLOOKUP(D844,Products!A:E,4,FALSE)</f>
        <v>17</v>
      </c>
      <c r="O844" s="13">
        <f>VLOOKUP(D844,Products!A:E,5,FALSE)</f>
        <v>8</v>
      </c>
      <c r="P844" s="13" t="str">
        <f>VLOOKUP(C844,Customers!A:C,3,FALSE)</f>
        <v>Small Business</v>
      </c>
      <c r="Q844" s="13">
        <f t="shared" si="52"/>
        <v>122.4</v>
      </c>
      <c r="R844" s="13">
        <f t="shared" si="53"/>
        <v>64</v>
      </c>
      <c r="S844" s="13">
        <f t="shared" si="54"/>
        <v>58.400000000000006</v>
      </c>
      <c r="T844" s="14">
        <f t="shared" si="55"/>
        <v>0.47712418300653597</v>
      </c>
    </row>
    <row r="845" spans="1:20">
      <c r="A845" t="s">
        <v>1549</v>
      </c>
      <c r="B845" s="8">
        <v>46191</v>
      </c>
      <c r="C845" t="s">
        <v>321</v>
      </c>
      <c r="D845" t="s">
        <v>65</v>
      </c>
      <c r="E845" t="s">
        <v>701</v>
      </c>
      <c r="F845" t="s">
        <v>702</v>
      </c>
      <c r="G845">
        <v>1</v>
      </c>
      <c r="H845" s="9">
        <v>0.1</v>
      </c>
      <c r="I845" t="s">
        <v>699</v>
      </c>
      <c r="J845">
        <v>5</v>
      </c>
      <c r="K845">
        <v>1</v>
      </c>
      <c r="L845" t="str">
        <f>VLOOKUP(D845,Products!A:E,2,FALSE)</f>
        <v>Laptop Stand</v>
      </c>
      <c r="M845" t="str">
        <f>VLOOKUP(D845,Products!A:E,3,FALSE)</f>
        <v>Accessories</v>
      </c>
      <c r="N845">
        <f>VLOOKUP(D845,Products!A:E,4,FALSE)</f>
        <v>48</v>
      </c>
      <c r="O845" s="13">
        <f>VLOOKUP(D845,Products!A:E,5,FALSE)</f>
        <v>22</v>
      </c>
      <c r="P845" s="13" t="str">
        <f>VLOOKUP(C845,Customers!A:C,3,FALSE)</f>
        <v>Corporate</v>
      </c>
      <c r="Q845" s="13">
        <f t="shared" si="52"/>
        <v>43.2</v>
      </c>
      <c r="R845" s="13">
        <f t="shared" si="53"/>
        <v>22</v>
      </c>
      <c r="S845" s="13">
        <f t="shared" si="54"/>
        <v>21.200000000000003</v>
      </c>
      <c r="T845" s="14">
        <f t="shared" si="55"/>
        <v>0.49074074074074076</v>
      </c>
    </row>
    <row r="846" spans="1:20">
      <c r="A846" t="s">
        <v>1550</v>
      </c>
      <c r="B846" s="8">
        <v>45903</v>
      </c>
      <c r="C846" t="s">
        <v>181</v>
      </c>
      <c r="D846" t="s">
        <v>56</v>
      </c>
      <c r="E846" t="s">
        <v>715</v>
      </c>
      <c r="F846" t="s">
        <v>702</v>
      </c>
      <c r="G846">
        <v>1</v>
      </c>
      <c r="H846" s="9">
        <v>0.15</v>
      </c>
      <c r="I846" t="s">
        <v>699</v>
      </c>
      <c r="J846">
        <v>1</v>
      </c>
      <c r="K846">
        <v>6</v>
      </c>
      <c r="L846" t="str">
        <f>VLOOKUP(D846,Products!A:E,2,FALSE)</f>
        <v>Headset</v>
      </c>
      <c r="M846" t="str">
        <f>VLOOKUP(D846,Products!A:E,3,FALSE)</f>
        <v>Technology</v>
      </c>
      <c r="N846">
        <f>VLOOKUP(D846,Products!A:E,4,FALSE)</f>
        <v>98</v>
      </c>
      <c r="O846" s="13">
        <f>VLOOKUP(D846,Products!A:E,5,FALSE)</f>
        <v>46</v>
      </c>
      <c r="P846" s="13" t="str">
        <f>VLOOKUP(C846,Customers!A:C,3,FALSE)</f>
        <v>Consumer</v>
      </c>
      <c r="Q846" s="13">
        <f t="shared" si="52"/>
        <v>83.3</v>
      </c>
      <c r="R846" s="13">
        <f t="shared" si="53"/>
        <v>46</v>
      </c>
      <c r="S846" s="13">
        <f t="shared" si="54"/>
        <v>37.299999999999997</v>
      </c>
      <c r="T846" s="14">
        <f t="shared" si="55"/>
        <v>0.44777911164465783</v>
      </c>
    </row>
    <row r="847" spans="1:20">
      <c r="A847" t="s">
        <v>1551</v>
      </c>
      <c r="B847" s="8">
        <v>46149</v>
      </c>
      <c r="C847" t="s">
        <v>595</v>
      </c>
      <c r="D847" t="s">
        <v>52</v>
      </c>
      <c r="E847" t="s">
        <v>708</v>
      </c>
      <c r="F847" t="s">
        <v>698</v>
      </c>
      <c r="G847">
        <v>6</v>
      </c>
      <c r="H847" s="9">
        <v>0.1</v>
      </c>
      <c r="I847" t="s">
        <v>699</v>
      </c>
      <c r="J847">
        <v>5</v>
      </c>
      <c r="K847">
        <v>3</v>
      </c>
      <c r="L847" t="str">
        <f>VLOOKUP(D847,Products!A:E,2,FALSE)</f>
        <v>Mouse</v>
      </c>
      <c r="M847" t="str">
        <f>VLOOKUP(D847,Products!A:E,3,FALSE)</f>
        <v>Technology</v>
      </c>
      <c r="N847">
        <f>VLOOKUP(D847,Products!A:E,4,FALSE)</f>
        <v>42</v>
      </c>
      <c r="O847" s="13">
        <f>VLOOKUP(D847,Products!A:E,5,FALSE)</f>
        <v>19</v>
      </c>
      <c r="P847" s="13" t="str">
        <f>VLOOKUP(C847,Customers!A:C,3,FALSE)</f>
        <v>Small Business</v>
      </c>
      <c r="Q847" s="13">
        <f t="shared" si="52"/>
        <v>226.8</v>
      </c>
      <c r="R847" s="13">
        <f t="shared" si="53"/>
        <v>114</v>
      </c>
      <c r="S847" s="13">
        <f t="shared" si="54"/>
        <v>112.80000000000001</v>
      </c>
      <c r="T847" s="14">
        <f t="shared" si="55"/>
        <v>0.49735449735449738</v>
      </c>
    </row>
    <row r="848" spans="1:20">
      <c r="A848" t="s">
        <v>1552</v>
      </c>
      <c r="B848" s="8">
        <v>45908</v>
      </c>
      <c r="C848" t="s">
        <v>627</v>
      </c>
      <c r="D848" t="s">
        <v>48</v>
      </c>
      <c r="E848" t="s">
        <v>701</v>
      </c>
      <c r="F848" t="s">
        <v>706</v>
      </c>
      <c r="G848">
        <v>3</v>
      </c>
      <c r="H848" s="9">
        <v>0.15</v>
      </c>
      <c r="I848" t="s">
        <v>699</v>
      </c>
      <c r="J848">
        <v>3</v>
      </c>
      <c r="K848">
        <v>1</v>
      </c>
      <c r="L848" t="str">
        <f>VLOOKUP(D848,Products!A:E,2,FALSE)</f>
        <v>Monitor</v>
      </c>
      <c r="M848" t="str">
        <f>VLOOKUP(D848,Products!A:E,3,FALSE)</f>
        <v>Technology</v>
      </c>
      <c r="N848">
        <f>VLOOKUP(D848,Products!A:E,4,FALSE)</f>
        <v>310</v>
      </c>
      <c r="O848" s="13">
        <f>VLOOKUP(D848,Products!A:E,5,FALSE)</f>
        <v>190</v>
      </c>
      <c r="P848" s="13" t="str">
        <f>VLOOKUP(C848,Customers!A:C,3,FALSE)</f>
        <v>Small Business</v>
      </c>
      <c r="Q848" s="13">
        <f t="shared" si="52"/>
        <v>790.5</v>
      </c>
      <c r="R848" s="13">
        <f t="shared" si="53"/>
        <v>570</v>
      </c>
      <c r="S848" s="13">
        <f t="shared" si="54"/>
        <v>220.5</v>
      </c>
      <c r="T848" s="14">
        <f t="shared" si="55"/>
        <v>0.27893738140417457</v>
      </c>
    </row>
    <row r="849" spans="1:20">
      <c r="A849" t="s">
        <v>1553</v>
      </c>
      <c r="B849" s="8">
        <v>46033</v>
      </c>
      <c r="C849" t="s">
        <v>223</v>
      </c>
      <c r="D849" t="s">
        <v>70</v>
      </c>
      <c r="E849" t="s">
        <v>697</v>
      </c>
      <c r="F849" t="s">
        <v>702</v>
      </c>
      <c r="G849">
        <v>2</v>
      </c>
      <c r="H849" s="9">
        <v>0</v>
      </c>
      <c r="I849" t="s">
        <v>699</v>
      </c>
      <c r="J849">
        <v>5</v>
      </c>
      <c r="K849">
        <v>2</v>
      </c>
      <c r="L849" t="str">
        <f>VLOOKUP(D849,Products!A:E,2,FALSE)</f>
        <v>USB-C Hub</v>
      </c>
      <c r="M849" t="str">
        <f>VLOOKUP(D849,Products!A:E,3,FALSE)</f>
        <v>Accessories</v>
      </c>
      <c r="N849">
        <f>VLOOKUP(D849,Products!A:E,4,FALSE)</f>
        <v>68</v>
      </c>
      <c r="O849" s="13">
        <f>VLOOKUP(D849,Products!A:E,5,FALSE)</f>
        <v>31</v>
      </c>
      <c r="P849" s="13" t="str">
        <f>VLOOKUP(C849,Customers!A:C,3,FALSE)</f>
        <v>Consumer</v>
      </c>
      <c r="Q849" s="13">
        <f t="shared" si="52"/>
        <v>136</v>
      </c>
      <c r="R849" s="13">
        <f t="shared" si="53"/>
        <v>62</v>
      </c>
      <c r="S849" s="13">
        <f t="shared" si="54"/>
        <v>74</v>
      </c>
      <c r="T849" s="14">
        <f t="shared" si="55"/>
        <v>0.54411764705882348</v>
      </c>
    </row>
    <row r="850" spans="1:20">
      <c r="A850" t="s">
        <v>1554</v>
      </c>
      <c r="B850" s="8">
        <v>46210</v>
      </c>
      <c r="C850" t="s">
        <v>207</v>
      </c>
      <c r="D850" t="s">
        <v>65</v>
      </c>
      <c r="E850" t="s">
        <v>708</v>
      </c>
      <c r="F850" t="s">
        <v>702</v>
      </c>
      <c r="G850">
        <v>1</v>
      </c>
      <c r="H850" s="9">
        <v>0.1</v>
      </c>
      <c r="I850" t="s">
        <v>699</v>
      </c>
      <c r="J850">
        <v>3</v>
      </c>
      <c r="K850">
        <v>3</v>
      </c>
      <c r="L850" t="str">
        <f>VLOOKUP(D850,Products!A:E,2,FALSE)</f>
        <v>Laptop Stand</v>
      </c>
      <c r="M850" t="str">
        <f>VLOOKUP(D850,Products!A:E,3,FALSE)</f>
        <v>Accessories</v>
      </c>
      <c r="N850">
        <f>VLOOKUP(D850,Products!A:E,4,FALSE)</f>
        <v>48</v>
      </c>
      <c r="O850" s="13">
        <f>VLOOKUP(D850,Products!A:E,5,FALSE)</f>
        <v>22</v>
      </c>
      <c r="P850" s="13" t="str">
        <f>VLOOKUP(C850,Customers!A:C,3,FALSE)</f>
        <v>Small Business</v>
      </c>
      <c r="Q850" s="13">
        <f t="shared" si="52"/>
        <v>43.2</v>
      </c>
      <c r="R850" s="13">
        <f t="shared" si="53"/>
        <v>22</v>
      </c>
      <c r="S850" s="13">
        <f t="shared" si="54"/>
        <v>21.200000000000003</v>
      </c>
      <c r="T850" s="14">
        <f t="shared" si="55"/>
        <v>0.49074074074074076</v>
      </c>
    </row>
    <row r="851" spans="1:20">
      <c r="A851" t="s">
        <v>1555</v>
      </c>
      <c r="B851" s="8">
        <v>46185</v>
      </c>
      <c r="C851" t="s">
        <v>123</v>
      </c>
      <c r="D851" t="s">
        <v>77</v>
      </c>
      <c r="E851" t="s">
        <v>697</v>
      </c>
      <c r="F851" t="s">
        <v>706</v>
      </c>
      <c r="G851">
        <v>1</v>
      </c>
      <c r="H851" s="9">
        <v>0</v>
      </c>
      <c r="I851" t="s">
        <v>699</v>
      </c>
      <c r="J851">
        <v>4</v>
      </c>
      <c r="K851">
        <v>1</v>
      </c>
      <c r="L851" t="str">
        <f>VLOOKUP(D851,Products!A:E,2,FALSE)</f>
        <v>File Folder Pack</v>
      </c>
      <c r="M851" t="str">
        <f>VLOOKUP(D851,Products!A:E,3,FALSE)</f>
        <v>Office Supplies</v>
      </c>
      <c r="N851">
        <f>VLOOKUP(D851,Products!A:E,4,FALSE)</f>
        <v>23</v>
      </c>
      <c r="O851" s="13">
        <f>VLOOKUP(D851,Products!A:E,5,FALSE)</f>
        <v>10</v>
      </c>
      <c r="P851" s="13" t="str">
        <f>VLOOKUP(C851,Customers!A:C,3,FALSE)</f>
        <v>Small Business</v>
      </c>
      <c r="Q851" s="13">
        <f t="shared" si="52"/>
        <v>23</v>
      </c>
      <c r="R851" s="13">
        <f t="shared" si="53"/>
        <v>10</v>
      </c>
      <c r="S851" s="13">
        <f t="shared" si="54"/>
        <v>13</v>
      </c>
      <c r="T851" s="14">
        <f t="shared" si="55"/>
        <v>0.56521739130434778</v>
      </c>
    </row>
    <row r="852" spans="1:20">
      <c r="A852" t="s">
        <v>1556</v>
      </c>
      <c r="B852" s="8">
        <v>45663</v>
      </c>
      <c r="C852" t="s">
        <v>445</v>
      </c>
      <c r="D852" t="s">
        <v>56</v>
      </c>
      <c r="E852" t="s">
        <v>708</v>
      </c>
      <c r="F852" t="s">
        <v>702</v>
      </c>
      <c r="G852">
        <v>2</v>
      </c>
      <c r="H852" s="9">
        <v>0</v>
      </c>
      <c r="I852" t="s">
        <v>699</v>
      </c>
      <c r="J852">
        <v>5</v>
      </c>
      <c r="K852">
        <v>4</v>
      </c>
      <c r="L852" t="str">
        <f>VLOOKUP(D852,Products!A:E,2,FALSE)</f>
        <v>Headset</v>
      </c>
      <c r="M852" t="str">
        <f>VLOOKUP(D852,Products!A:E,3,FALSE)</f>
        <v>Technology</v>
      </c>
      <c r="N852">
        <f>VLOOKUP(D852,Products!A:E,4,FALSE)</f>
        <v>98</v>
      </c>
      <c r="O852" s="13">
        <f>VLOOKUP(D852,Products!A:E,5,FALSE)</f>
        <v>46</v>
      </c>
      <c r="P852" s="13" t="str">
        <f>VLOOKUP(C852,Customers!A:C,3,FALSE)</f>
        <v>Consumer</v>
      </c>
      <c r="Q852" s="13">
        <f t="shared" si="52"/>
        <v>196</v>
      </c>
      <c r="R852" s="13">
        <f t="shared" si="53"/>
        <v>92</v>
      </c>
      <c r="S852" s="13">
        <f t="shared" si="54"/>
        <v>104</v>
      </c>
      <c r="T852" s="14">
        <f t="shared" si="55"/>
        <v>0.53061224489795922</v>
      </c>
    </row>
    <row r="853" spans="1:20">
      <c r="A853" t="s">
        <v>1557</v>
      </c>
      <c r="B853" s="8">
        <v>45784</v>
      </c>
      <c r="C853" t="s">
        <v>585</v>
      </c>
      <c r="D853" t="s">
        <v>45</v>
      </c>
      <c r="E853" t="s">
        <v>705</v>
      </c>
      <c r="F853" t="s">
        <v>698</v>
      </c>
      <c r="G853">
        <v>1</v>
      </c>
      <c r="H853" s="9">
        <v>0</v>
      </c>
      <c r="I853" t="s">
        <v>699</v>
      </c>
      <c r="J853">
        <v>4</v>
      </c>
      <c r="K853">
        <v>2</v>
      </c>
      <c r="L853" t="str">
        <f>VLOOKUP(D853,Products!A:E,2,FALSE)</f>
        <v>Laptop</v>
      </c>
      <c r="M853" t="str">
        <f>VLOOKUP(D853,Products!A:E,3,FALSE)</f>
        <v>Technology</v>
      </c>
      <c r="N853">
        <f>VLOOKUP(D853,Products!A:E,4,FALSE)</f>
        <v>1100</v>
      </c>
      <c r="O853" s="13">
        <f>VLOOKUP(D853,Products!A:E,5,FALSE)</f>
        <v>720</v>
      </c>
      <c r="P853" s="13" t="str">
        <f>VLOOKUP(C853,Customers!A:C,3,FALSE)</f>
        <v>Consumer</v>
      </c>
      <c r="Q853" s="13">
        <f t="shared" si="52"/>
        <v>1100</v>
      </c>
      <c r="R853" s="13">
        <f t="shared" si="53"/>
        <v>720</v>
      </c>
      <c r="S853" s="13">
        <f t="shared" si="54"/>
        <v>380</v>
      </c>
      <c r="T853" s="14">
        <f t="shared" si="55"/>
        <v>0.34545454545454546</v>
      </c>
    </row>
    <row r="854" spans="1:20">
      <c r="A854" t="s">
        <v>1558</v>
      </c>
      <c r="B854" s="8">
        <v>46207</v>
      </c>
      <c r="C854" t="s">
        <v>361</v>
      </c>
      <c r="D854" t="s">
        <v>52</v>
      </c>
      <c r="E854" t="s">
        <v>697</v>
      </c>
      <c r="F854" t="s">
        <v>698</v>
      </c>
      <c r="G854">
        <v>2</v>
      </c>
      <c r="H854" s="9">
        <v>0</v>
      </c>
      <c r="I854" t="s">
        <v>699</v>
      </c>
      <c r="J854">
        <v>1</v>
      </c>
      <c r="K854">
        <v>3</v>
      </c>
      <c r="L854" t="str">
        <f>VLOOKUP(D854,Products!A:E,2,FALSE)</f>
        <v>Mouse</v>
      </c>
      <c r="M854" t="str">
        <f>VLOOKUP(D854,Products!A:E,3,FALSE)</f>
        <v>Technology</v>
      </c>
      <c r="N854">
        <f>VLOOKUP(D854,Products!A:E,4,FALSE)</f>
        <v>42</v>
      </c>
      <c r="O854" s="13">
        <f>VLOOKUP(D854,Products!A:E,5,FALSE)</f>
        <v>19</v>
      </c>
      <c r="P854" s="13" t="str">
        <f>VLOOKUP(C854,Customers!A:C,3,FALSE)</f>
        <v>Corporate</v>
      </c>
      <c r="Q854" s="13">
        <f t="shared" si="52"/>
        <v>84</v>
      </c>
      <c r="R854" s="13">
        <f t="shared" si="53"/>
        <v>38</v>
      </c>
      <c r="S854" s="13">
        <f t="shared" si="54"/>
        <v>46</v>
      </c>
      <c r="T854" s="14">
        <f t="shared" si="55"/>
        <v>0.54761904761904767</v>
      </c>
    </row>
    <row r="855" spans="1:20">
      <c r="A855" t="s">
        <v>1559</v>
      </c>
      <c r="B855" s="8">
        <v>45852</v>
      </c>
      <c r="C855" t="s">
        <v>377</v>
      </c>
      <c r="D855" t="s">
        <v>48</v>
      </c>
      <c r="E855" t="s">
        <v>705</v>
      </c>
      <c r="F855" t="s">
        <v>702</v>
      </c>
      <c r="G855">
        <v>2</v>
      </c>
      <c r="H855" s="9">
        <v>0</v>
      </c>
      <c r="I855" t="s">
        <v>699</v>
      </c>
      <c r="J855">
        <v>5</v>
      </c>
      <c r="K855">
        <v>3</v>
      </c>
      <c r="L855" t="str">
        <f>VLOOKUP(D855,Products!A:E,2,FALSE)</f>
        <v>Monitor</v>
      </c>
      <c r="M855" t="str">
        <f>VLOOKUP(D855,Products!A:E,3,FALSE)</f>
        <v>Technology</v>
      </c>
      <c r="N855">
        <f>VLOOKUP(D855,Products!A:E,4,FALSE)</f>
        <v>310</v>
      </c>
      <c r="O855" s="13">
        <f>VLOOKUP(D855,Products!A:E,5,FALSE)</f>
        <v>190</v>
      </c>
      <c r="P855" s="13" t="str">
        <f>VLOOKUP(C855,Customers!A:C,3,FALSE)</f>
        <v>Consumer</v>
      </c>
      <c r="Q855" s="13">
        <f t="shared" si="52"/>
        <v>620</v>
      </c>
      <c r="R855" s="13">
        <f t="shared" si="53"/>
        <v>380</v>
      </c>
      <c r="S855" s="13">
        <f t="shared" si="54"/>
        <v>240</v>
      </c>
      <c r="T855" s="14">
        <f t="shared" si="55"/>
        <v>0.38709677419354838</v>
      </c>
    </row>
    <row r="856" spans="1:20">
      <c r="A856" t="s">
        <v>1560</v>
      </c>
      <c r="B856" s="8">
        <v>45779</v>
      </c>
      <c r="C856" t="s">
        <v>517</v>
      </c>
      <c r="D856" t="s">
        <v>79</v>
      </c>
      <c r="E856" t="s">
        <v>715</v>
      </c>
      <c r="F856" t="s">
        <v>698</v>
      </c>
      <c r="G856">
        <v>4</v>
      </c>
      <c r="H856" s="9">
        <v>0</v>
      </c>
      <c r="I856" t="s">
        <v>699</v>
      </c>
      <c r="J856">
        <v>5</v>
      </c>
      <c r="K856">
        <v>5</v>
      </c>
      <c r="L856" t="str">
        <f>VLOOKUP(D856,Products!A:E,2,FALSE)</f>
        <v>Desk Organiser</v>
      </c>
      <c r="M856" t="str">
        <f>VLOOKUP(D856,Products!A:E,3,FALSE)</f>
        <v>Office Supplies</v>
      </c>
      <c r="N856">
        <f>VLOOKUP(D856,Products!A:E,4,FALSE)</f>
        <v>28</v>
      </c>
      <c r="O856" s="13">
        <f>VLOOKUP(D856,Products!A:E,5,FALSE)</f>
        <v>12</v>
      </c>
      <c r="P856" s="13" t="str">
        <f>VLOOKUP(C856,Customers!A:C,3,FALSE)</f>
        <v>Small Business</v>
      </c>
      <c r="Q856" s="13">
        <f t="shared" si="52"/>
        <v>112</v>
      </c>
      <c r="R856" s="13">
        <f t="shared" si="53"/>
        <v>48</v>
      </c>
      <c r="S856" s="13">
        <f t="shared" si="54"/>
        <v>64</v>
      </c>
      <c r="T856" s="14">
        <f t="shared" si="55"/>
        <v>0.5714285714285714</v>
      </c>
    </row>
    <row r="857" spans="1:20">
      <c r="A857" t="s">
        <v>1561</v>
      </c>
      <c r="B857" s="8">
        <v>46056</v>
      </c>
      <c r="C857" t="s">
        <v>221</v>
      </c>
      <c r="D857" t="s">
        <v>52</v>
      </c>
      <c r="E857" t="s">
        <v>697</v>
      </c>
      <c r="F857" t="s">
        <v>698</v>
      </c>
      <c r="G857">
        <v>1</v>
      </c>
      <c r="H857" s="9">
        <v>0</v>
      </c>
      <c r="I857" t="s">
        <v>699</v>
      </c>
      <c r="J857">
        <v>5</v>
      </c>
      <c r="K857">
        <v>1</v>
      </c>
      <c r="L857" t="str">
        <f>VLOOKUP(D857,Products!A:E,2,FALSE)</f>
        <v>Mouse</v>
      </c>
      <c r="M857" t="str">
        <f>VLOOKUP(D857,Products!A:E,3,FALSE)</f>
        <v>Technology</v>
      </c>
      <c r="N857">
        <f>VLOOKUP(D857,Products!A:E,4,FALSE)</f>
        <v>42</v>
      </c>
      <c r="O857" s="13">
        <f>VLOOKUP(D857,Products!A:E,5,FALSE)</f>
        <v>19</v>
      </c>
      <c r="P857" s="13" t="str">
        <f>VLOOKUP(C857,Customers!A:C,3,FALSE)</f>
        <v>Consumer</v>
      </c>
      <c r="Q857" s="13">
        <f t="shared" si="52"/>
        <v>42</v>
      </c>
      <c r="R857" s="13">
        <f t="shared" si="53"/>
        <v>19</v>
      </c>
      <c r="S857" s="13">
        <f t="shared" si="54"/>
        <v>23</v>
      </c>
      <c r="T857" s="14">
        <f t="shared" si="55"/>
        <v>0.54761904761904767</v>
      </c>
    </row>
    <row r="858" spans="1:20">
      <c r="A858" t="s">
        <v>1562</v>
      </c>
      <c r="B858" s="8">
        <v>46008</v>
      </c>
      <c r="C858" t="s">
        <v>525</v>
      </c>
      <c r="D858" t="s">
        <v>45</v>
      </c>
      <c r="E858" t="s">
        <v>715</v>
      </c>
      <c r="F858" t="s">
        <v>702</v>
      </c>
      <c r="G858">
        <v>2</v>
      </c>
      <c r="H858" s="9">
        <v>0.1</v>
      </c>
      <c r="I858" t="s">
        <v>699</v>
      </c>
      <c r="J858">
        <v>3</v>
      </c>
      <c r="K858">
        <v>5</v>
      </c>
      <c r="L858" t="str">
        <f>VLOOKUP(D858,Products!A:E,2,FALSE)</f>
        <v>Laptop</v>
      </c>
      <c r="M858" t="str">
        <f>VLOOKUP(D858,Products!A:E,3,FALSE)</f>
        <v>Technology</v>
      </c>
      <c r="N858">
        <f>VLOOKUP(D858,Products!A:E,4,FALSE)</f>
        <v>1100</v>
      </c>
      <c r="O858" s="13">
        <f>VLOOKUP(D858,Products!A:E,5,FALSE)</f>
        <v>720</v>
      </c>
      <c r="P858" s="13" t="str">
        <f>VLOOKUP(C858,Customers!A:C,3,FALSE)</f>
        <v>Consumer</v>
      </c>
      <c r="Q858" s="13">
        <f t="shared" si="52"/>
        <v>1980</v>
      </c>
      <c r="R858" s="13">
        <f t="shared" si="53"/>
        <v>1440</v>
      </c>
      <c r="S858" s="13">
        <f t="shared" si="54"/>
        <v>540</v>
      </c>
      <c r="T858" s="14">
        <f t="shared" si="55"/>
        <v>0.27272727272727271</v>
      </c>
    </row>
    <row r="859" spans="1:20">
      <c r="A859" t="s">
        <v>1563</v>
      </c>
      <c r="B859" s="8">
        <v>45849</v>
      </c>
      <c r="C859" t="s">
        <v>341</v>
      </c>
      <c r="D859" t="s">
        <v>63</v>
      </c>
      <c r="E859" t="s">
        <v>701</v>
      </c>
      <c r="F859" t="s">
        <v>706</v>
      </c>
      <c r="G859">
        <v>8</v>
      </c>
      <c r="H859" s="9">
        <v>0</v>
      </c>
      <c r="I859" t="s">
        <v>699</v>
      </c>
      <c r="J859">
        <v>3</v>
      </c>
      <c r="K859">
        <v>1</v>
      </c>
      <c r="L859" t="str">
        <f>VLOOKUP(D859,Products!A:E,2,FALSE)</f>
        <v>Bookshelf</v>
      </c>
      <c r="M859" t="str">
        <f>VLOOKUP(D859,Products!A:E,3,FALSE)</f>
        <v>Furniture</v>
      </c>
      <c r="N859">
        <f>VLOOKUP(D859,Products!A:E,4,FALSE)</f>
        <v>185</v>
      </c>
      <c r="O859" s="13">
        <f>VLOOKUP(D859,Products!A:E,5,FALSE)</f>
        <v>105</v>
      </c>
      <c r="P859" s="13" t="str">
        <f>VLOOKUP(C859,Customers!A:C,3,FALSE)</f>
        <v>Small Business</v>
      </c>
      <c r="Q859" s="13">
        <f t="shared" si="52"/>
        <v>1480</v>
      </c>
      <c r="R859" s="13">
        <f t="shared" si="53"/>
        <v>840</v>
      </c>
      <c r="S859" s="13">
        <f t="shared" si="54"/>
        <v>640</v>
      </c>
      <c r="T859" s="14">
        <f t="shared" si="55"/>
        <v>0.43243243243243246</v>
      </c>
    </row>
    <row r="860" spans="1:20">
      <c r="A860" t="s">
        <v>1564</v>
      </c>
      <c r="B860" s="8">
        <v>46172</v>
      </c>
      <c r="C860" t="s">
        <v>271</v>
      </c>
      <c r="D860" t="s">
        <v>58</v>
      </c>
      <c r="E860" t="s">
        <v>697</v>
      </c>
      <c r="F860" t="s">
        <v>698</v>
      </c>
      <c r="G860">
        <v>3</v>
      </c>
      <c r="H860" s="9">
        <v>0</v>
      </c>
      <c r="I860" t="s">
        <v>699</v>
      </c>
      <c r="J860">
        <v>1</v>
      </c>
      <c r="K860">
        <v>4</v>
      </c>
      <c r="L860" t="str">
        <f>VLOOKUP(D860,Products!A:E,2,FALSE)</f>
        <v>Standing Desk</v>
      </c>
      <c r="M860" t="str">
        <f>VLOOKUP(D860,Products!A:E,3,FALSE)</f>
        <v>Furniture</v>
      </c>
      <c r="N860">
        <f>VLOOKUP(D860,Products!A:E,4,FALSE)</f>
        <v>540</v>
      </c>
      <c r="O860" s="13">
        <f>VLOOKUP(D860,Products!A:E,5,FALSE)</f>
        <v>320</v>
      </c>
      <c r="P860" s="13" t="str">
        <f>VLOOKUP(C860,Customers!A:C,3,FALSE)</f>
        <v>Corporate</v>
      </c>
      <c r="Q860" s="13">
        <f t="shared" si="52"/>
        <v>1620</v>
      </c>
      <c r="R860" s="13">
        <f t="shared" si="53"/>
        <v>960</v>
      </c>
      <c r="S860" s="13">
        <f t="shared" si="54"/>
        <v>660</v>
      </c>
      <c r="T860" s="14">
        <f t="shared" si="55"/>
        <v>0.40740740740740738</v>
      </c>
    </row>
    <row r="861" spans="1:20">
      <c r="A861" t="s">
        <v>1565</v>
      </c>
      <c r="B861" s="8">
        <v>46094</v>
      </c>
      <c r="C861" t="s">
        <v>105</v>
      </c>
      <c r="D861" t="s">
        <v>58</v>
      </c>
      <c r="E861" t="s">
        <v>705</v>
      </c>
      <c r="F861" t="s">
        <v>702</v>
      </c>
      <c r="G861">
        <v>2</v>
      </c>
      <c r="H861" s="9">
        <v>0</v>
      </c>
      <c r="I861" t="s">
        <v>699</v>
      </c>
      <c r="J861">
        <v>3</v>
      </c>
      <c r="K861">
        <v>3</v>
      </c>
      <c r="L861" t="str">
        <f>VLOOKUP(D861,Products!A:E,2,FALSE)</f>
        <v>Standing Desk</v>
      </c>
      <c r="M861" t="str">
        <f>VLOOKUP(D861,Products!A:E,3,FALSE)</f>
        <v>Furniture</v>
      </c>
      <c r="N861">
        <f>VLOOKUP(D861,Products!A:E,4,FALSE)</f>
        <v>540</v>
      </c>
      <c r="O861" s="13">
        <f>VLOOKUP(D861,Products!A:E,5,FALSE)</f>
        <v>320</v>
      </c>
      <c r="P861" s="13" t="str">
        <f>VLOOKUP(C861,Customers!A:C,3,FALSE)</f>
        <v>Consumer</v>
      </c>
      <c r="Q861" s="13">
        <f t="shared" si="52"/>
        <v>1080</v>
      </c>
      <c r="R861" s="13">
        <f t="shared" si="53"/>
        <v>640</v>
      </c>
      <c r="S861" s="13">
        <f t="shared" si="54"/>
        <v>440</v>
      </c>
      <c r="T861" s="14">
        <f t="shared" si="55"/>
        <v>0.40740740740740738</v>
      </c>
    </row>
    <row r="862" spans="1:20">
      <c r="A862" t="s">
        <v>1566</v>
      </c>
      <c r="B862" s="8">
        <v>46094</v>
      </c>
      <c r="C862" t="s">
        <v>577</v>
      </c>
      <c r="D862" t="s">
        <v>48</v>
      </c>
      <c r="E862" t="s">
        <v>715</v>
      </c>
      <c r="F862" t="s">
        <v>698</v>
      </c>
      <c r="G862">
        <v>1</v>
      </c>
      <c r="H862" s="9">
        <v>0</v>
      </c>
      <c r="I862" t="s">
        <v>699</v>
      </c>
      <c r="J862">
        <v>4</v>
      </c>
      <c r="K862">
        <v>4</v>
      </c>
      <c r="L862" t="str">
        <f>VLOOKUP(D862,Products!A:E,2,FALSE)</f>
        <v>Monitor</v>
      </c>
      <c r="M862" t="str">
        <f>VLOOKUP(D862,Products!A:E,3,FALSE)</f>
        <v>Technology</v>
      </c>
      <c r="N862">
        <f>VLOOKUP(D862,Products!A:E,4,FALSE)</f>
        <v>310</v>
      </c>
      <c r="O862" s="13">
        <f>VLOOKUP(D862,Products!A:E,5,FALSE)</f>
        <v>190</v>
      </c>
      <c r="P862" s="13" t="str">
        <f>VLOOKUP(C862,Customers!A:C,3,FALSE)</f>
        <v>Corporate</v>
      </c>
      <c r="Q862" s="13">
        <f t="shared" si="52"/>
        <v>310</v>
      </c>
      <c r="R862" s="13">
        <f t="shared" si="53"/>
        <v>190</v>
      </c>
      <c r="S862" s="13">
        <f t="shared" si="54"/>
        <v>120</v>
      </c>
      <c r="T862" s="14">
        <f t="shared" si="55"/>
        <v>0.38709677419354838</v>
      </c>
    </row>
    <row r="863" spans="1:20">
      <c r="A863" t="s">
        <v>1567</v>
      </c>
      <c r="B863" s="8">
        <v>45910</v>
      </c>
      <c r="C863" t="s">
        <v>413</v>
      </c>
      <c r="D863" t="s">
        <v>48</v>
      </c>
      <c r="E863" t="s">
        <v>705</v>
      </c>
      <c r="F863" t="s">
        <v>702</v>
      </c>
      <c r="G863">
        <v>3</v>
      </c>
      <c r="H863" s="9">
        <v>0</v>
      </c>
      <c r="I863" t="s">
        <v>699</v>
      </c>
      <c r="J863">
        <v>4</v>
      </c>
      <c r="K863">
        <v>5</v>
      </c>
      <c r="L863" t="str">
        <f>VLOOKUP(D863,Products!A:E,2,FALSE)</f>
        <v>Monitor</v>
      </c>
      <c r="M863" t="str">
        <f>VLOOKUP(D863,Products!A:E,3,FALSE)</f>
        <v>Technology</v>
      </c>
      <c r="N863">
        <f>VLOOKUP(D863,Products!A:E,4,FALSE)</f>
        <v>310</v>
      </c>
      <c r="O863" s="13">
        <f>VLOOKUP(D863,Products!A:E,5,FALSE)</f>
        <v>190</v>
      </c>
      <c r="P863" s="13" t="str">
        <f>VLOOKUP(C863,Customers!A:C,3,FALSE)</f>
        <v>Small Business</v>
      </c>
      <c r="Q863" s="13">
        <f t="shared" si="52"/>
        <v>930</v>
      </c>
      <c r="R863" s="13">
        <f t="shared" si="53"/>
        <v>570</v>
      </c>
      <c r="S863" s="13">
        <f t="shared" si="54"/>
        <v>360</v>
      </c>
      <c r="T863" s="14">
        <f t="shared" si="55"/>
        <v>0.38709677419354838</v>
      </c>
    </row>
    <row r="864" spans="1:20">
      <c r="A864" t="s">
        <v>1568</v>
      </c>
      <c r="B864" s="8">
        <v>45761</v>
      </c>
      <c r="C864" t="s">
        <v>527</v>
      </c>
      <c r="D864" t="s">
        <v>56</v>
      </c>
      <c r="E864" t="s">
        <v>708</v>
      </c>
      <c r="F864" t="s">
        <v>698</v>
      </c>
      <c r="G864">
        <v>2</v>
      </c>
      <c r="H864" s="9">
        <v>0</v>
      </c>
      <c r="I864" t="s">
        <v>699</v>
      </c>
      <c r="J864">
        <v>5</v>
      </c>
      <c r="K864">
        <v>2</v>
      </c>
      <c r="L864" t="str">
        <f>VLOOKUP(D864,Products!A:E,2,FALSE)</f>
        <v>Headset</v>
      </c>
      <c r="M864" t="str">
        <f>VLOOKUP(D864,Products!A:E,3,FALSE)</f>
        <v>Technology</v>
      </c>
      <c r="N864">
        <f>VLOOKUP(D864,Products!A:E,4,FALSE)</f>
        <v>98</v>
      </c>
      <c r="O864" s="13">
        <f>VLOOKUP(D864,Products!A:E,5,FALSE)</f>
        <v>46</v>
      </c>
      <c r="P864" s="13" t="str">
        <f>VLOOKUP(C864,Customers!A:C,3,FALSE)</f>
        <v>Small Business</v>
      </c>
      <c r="Q864" s="13">
        <f t="shared" si="52"/>
        <v>196</v>
      </c>
      <c r="R864" s="13">
        <f t="shared" si="53"/>
        <v>92</v>
      </c>
      <c r="S864" s="13">
        <f t="shared" si="54"/>
        <v>104</v>
      </c>
      <c r="T864" s="14">
        <f t="shared" si="55"/>
        <v>0.53061224489795922</v>
      </c>
    </row>
    <row r="865" spans="1:20">
      <c r="A865" t="s">
        <v>1569</v>
      </c>
      <c r="B865" s="8">
        <v>45997</v>
      </c>
      <c r="C865" t="s">
        <v>455</v>
      </c>
      <c r="D865" t="s">
        <v>70</v>
      </c>
      <c r="E865" t="s">
        <v>701</v>
      </c>
      <c r="F865" t="s">
        <v>698</v>
      </c>
      <c r="G865">
        <v>3</v>
      </c>
      <c r="H865" s="9">
        <v>0</v>
      </c>
      <c r="I865" t="s">
        <v>699</v>
      </c>
      <c r="J865">
        <v>4</v>
      </c>
      <c r="K865">
        <v>1</v>
      </c>
      <c r="L865" t="str">
        <f>VLOOKUP(D865,Products!A:E,2,FALSE)</f>
        <v>USB-C Hub</v>
      </c>
      <c r="M865" t="str">
        <f>VLOOKUP(D865,Products!A:E,3,FALSE)</f>
        <v>Accessories</v>
      </c>
      <c r="N865">
        <f>VLOOKUP(D865,Products!A:E,4,FALSE)</f>
        <v>68</v>
      </c>
      <c r="O865" s="13">
        <f>VLOOKUP(D865,Products!A:E,5,FALSE)</f>
        <v>31</v>
      </c>
      <c r="P865" s="13" t="str">
        <f>VLOOKUP(C865,Customers!A:C,3,FALSE)</f>
        <v>Consumer</v>
      </c>
      <c r="Q865" s="13">
        <f t="shared" si="52"/>
        <v>204</v>
      </c>
      <c r="R865" s="13">
        <f t="shared" si="53"/>
        <v>93</v>
      </c>
      <c r="S865" s="13">
        <f t="shared" si="54"/>
        <v>111</v>
      </c>
      <c r="T865" s="14">
        <f t="shared" si="55"/>
        <v>0.54411764705882348</v>
      </c>
    </row>
    <row r="866" spans="1:20">
      <c r="A866" t="s">
        <v>1570</v>
      </c>
      <c r="B866" s="8">
        <v>45766</v>
      </c>
      <c r="C866" t="s">
        <v>219</v>
      </c>
      <c r="D866" t="s">
        <v>52</v>
      </c>
      <c r="E866" t="s">
        <v>705</v>
      </c>
      <c r="F866" t="s">
        <v>706</v>
      </c>
      <c r="G866">
        <v>5</v>
      </c>
      <c r="H866" s="9">
        <v>0.1</v>
      </c>
      <c r="I866" t="s">
        <v>699</v>
      </c>
      <c r="J866">
        <v>4</v>
      </c>
      <c r="K866">
        <v>1</v>
      </c>
      <c r="L866" t="str">
        <f>VLOOKUP(D866,Products!A:E,2,FALSE)</f>
        <v>Mouse</v>
      </c>
      <c r="M866" t="str">
        <f>VLOOKUP(D866,Products!A:E,3,FALSE)</f>
        <v>Technology</v>
      </c>
      <c r="N866">
        <f>VLOOKUP(D866,Products!A:E,4,FALSE)</f>
        <v>42</v>
      </c>
      <c r="O866" s="13">
        <f>VLOOKUP(D866,Products!A:E,5,FALSE)</f>
        <v>19</v>
      </c>
      <c r="P866" s="13" t="str">
        <f>VLOOKUP(C866,Customers!A:C,3,FALSE)</f>
        <v>Consumer</v>
      </c>
      <c r="Q866" s="13">
        <f t="shared" si="52"/>
        <v>189</v>
      </c>
      <c r="R866" s="13">
        <f t="shared" si="53"/>
        <v>95</v>
      </c>
      <c r="S866" s="13">
        <f t="shared" si="54"/>
        <v>94</v>
      </c>
      <c r="T866" s="14">
        <f t="shared" si="55"/>
        <v>0.49735449735449733</v>
      </c>
    </row>
    <row r="867" spans="1:20">
      <c r="A867" t="s">
        <v>1571</v>
      </c>
      <c r="B867" s="8">
        <v>45734</v>
      </c>
      <c r="C867" t="s">
        <v>645</v>
      </c>
      <c r="D867" t="s">
        <v>68</v>
      </c>
      <c r="E867" t="s">
        <v>708</v>
      </c>
      <c r="F867" t="s">
        <v>702</v>
      </c>
      <c r="G867">
        <v>4</v>
      </c>
      <c r="H867" s="9">
        <v>0.05</v>
      </c>
      <c r="I867" t="s">
        <v>699</v>
      </c>
      <c r="J867">
        <v>3</v>
      </c>
      <c r="K867">
        <v>4</v>
      </c>
      <c r="L867" t="str">
        <f>VLOOKUP(D867,Products!A:E,2,FALSE)</f>
        <v>Backpack</v>
      </c>
      <c r="M867" t="str">
        <f>VLOOKUP(D867,Products!A:E,3,FALSE)</f>
        <v>Accessories</v>
      </c>
      <c r="N867">
        <f>VLOOKUP(D867,Products!A:E,4,FALSE)</f>
        <v>85</v>
      </c>
      <c r="O867" s="13">
        <f>VLOOKUP(D867,Products!A:E,5,FALSE)</f>
        <v>39</v>
      </c>
      <c r="P867" s="13" t="str">
        <f>VLOOKUP(C867,Customers!A:C,3,FALSE)</f>
        <v>Corporate</v>
      </c>
      <c r="Q867" s="13">
        <f t="shared" si="52"/>
        <v>323</v>
      </c>
      <c r="R867" s="13">
        <f t="shared" si="53"/>
        <v>156</v>
      </c>
      <c r="S867" s="13">
        <f t="shared" si="54"/>
        <v>167</v>
      </c>
      <c r="T867" s="14">
        <f t="shared" si="55"/>
        <v>0.51702786377708976</v>
      </c>
    </row>
    <row r="868" spans="1:20">
      <c r="A868" t="s">
        <v>1572</v>
      </c>
      <c r="B868" s="8">
        <v>46221</v>
      </c>
      <c r="C868" t="s">
        <v>345</v>
      </c>
      <c r="D868" t="s">
        <v>70</v>
      </c>
      <c r="E868" t="s">
        <v>697</v>
      </c>
      <c r="F868" t="s">
        <v>702</v>
      </c>
      <c r="G868">
        <v>4</v>
      </c>
      <c r="H868" s="9">
        <v>0.15</v>
      </c>
      <c r="I868" t="s">
        <v>699</v>
      </c>
      <c r="J868">
        <v>4</v>
      </c>
      <c r="K868">
        <v>5</v>
      </c>
      <c r="L868" t="str">
        <f>VLOOKUP(D868,Products!A:E,2,FALSE)</f>
        <v>USB-C Hub</v>
      </c>
      <c r="M868" t="str">
        <f>VLOOKUP(D868,Products!A:E,3,FALSE)</f>
        <v>Accessories</v>
      </c>
      <c r="N868">
        <f>VLOOKUP(D868,Products!A:E,4,FALSE)</f>
        <v>68</v>
      </c>
      <c r="O868" s="13">
        <f>VLOOKUP(D868,Products!A:E,5,FALSE)</f>
        <v>31</v>
      </c>
      <c r="P868" s="13" t="str">
        <f>VLOOKUP(C868,Customers!A:C,3,FALSE)</f>
        <v>Small Business</v>
      </c>
      <c r="Q868" s="13">
        <f t="shared" si="52"/>
        <v>231.2</v>
      </c>
      <c r="R868" s="13">
        <f t="shared" si="53"/>
        <v>124</v>
      </c>
      <c r="S868" s="13">
        <f t="shared" si="54"/>
        <v>107.19999999999999</v>
      </c>
      <c r="T868" s="14">
        <f t="shared" si="55"/>
        <v>0.46366782006920415</v>
      </c>
    </row>
    <row r="869" spans="1:20">
      <c r="A869" t="s">
        <v>1573</v>
      </c>
      <c r="B869" s="8">
        <v>45680</v>
      </c>
      <c r="C869" t="s">
        <v>257</v>
      </c>
      <c r="D869" t="s">
        <v>63</v>
      </c>
      <c r="E869" t="s">
        <v>701</v>
      </c>
      <c r="F869" t="s">
        <v>702</v>
      </c>
      <c r="G869">
        <v>1</v>
      </c>
      <c r="H869" s="9">
        <v>0.05</v>
      </c>
      <c r="I869" t="s">
        <v>699</v>
      </c>
      <c r="J869">
        <v>5</v>
      </c>
      <c r="K869">
        <v>4</v>
      </c>
      <c r="L869" t="str">
        <f>VLOOKUP(D869,Products!A:E,2,FALSE)</f>
        <v>Bookshelf</v>
      </c>
      <c r="M869" t="str">
        <f>VLOOKUP(D869,Products!A:E,3,FALSE)</f>
        <v>Furniture</v>
      </c>
      <c r="N869">
        <f>VLOOKUP(D869,Products!A:E,4,FALSE)</f>
        <v>185</v>
      </c>
      <c r="O869" s="13">
        <f>VLOOKUP(D869,Products!A:E,5,FALSE)</f>
        <v>105</v>
      </c>
      <c r="P869" s="13" t="str">
        <f>VLOOKUP(C869,Customers!A:C,3,FALSE)</f>
        <v>Consumer</v>
      </c>
      <c r="Q869" s="13">
        <f t="shared" si="52"/>
        <v>175.75</v>
      </c>
      <c r="R869" s="13">
        <f t="shared" si="53"/>
        <v>105</v>
      </c>
      <c r="S869" s="13">
        <f t="shared" si="54"/>
        <v>70.75</v>
      </c>
      <c r="T869" s="14">
        <f t="shared" si="55"/>
        <v>0.40256045519203415</v>
      </c>
    </row>
    <row r="870" spans="1:20">
      <c r="A870" t="s">
        <v>1574</v>
      </c>
      <c r="B870" s="8">
        <v>46164</v>
      </c>
      <c r="C870" t="s">
        <v>631</v>
      </c>
      <c r="D870" t="s">
        <v>50</v>
      </c>
      <c r="E870" t="s">
        <v>705</v>
      </c>
      <c r="F870" t="s">
        <v>698</v>
      </c>
      <c r="G870">
        <v>2</v>
      </c>
      <c r="H870" s="9">
        <v>0.1</v>
      </c>
      <c r="I870" t="s">
        <v>699</v>
      </c>
      <c r="J870">
        <v>4</v>
      </c>
      <c r="K870">
        <v>2</v>
      </c>
      <c r="L870" t="str">
        <f>VLOOKUP(D870,Products!A:E,2,FALSE)</f>
        <v>Keyboard</v>
      </c>
      <c r="M870" t="str">
        <f>VLOOKUP(D870,Products!A:E,3,FALSE)</f>
        <v>Technology</v>
      </c>
      <c r="N870">
        <f>VLOOKUP(D870,Products!A:E,4,FALSE)</f>
        <v>75</v>
      </c>
      <c r="O870" s="13">
        <f>VLOOKUP(D870,Products!A:E,5,FALSE)</f>
        <v>38</v>
      </c>
      <c r="P870" s="13" t="str">
        <f>VLOOKUP(C870,Customers!A:C,3,FALSE)</f>
        <v>Corporate</v>
      </c>
      <c r="Q870" s="13">
        <f t="shared" si="52"/>
        <v>135</v>
      </c>
      <c r="R870" s="13">
        <f t="shared" si="53"/>
        <v>76</v>
      </c>
      <c r="S870" s="13">
        <f t="shared" si="54"/>
        <v>59</v>
      </c>
      <c r="T870" s="14">
        <f t="shared" si="55"/>
        <v>0.43703703703703706</v>
      </c>
    </row>
    <row r="871" spans="1:20">
      <c r="A871" t="s">
        <v>1575</v>
      </c>
      <c r="B871" s="8">
        <v>45661</v>
      </c>
      <c r="C871" t="s">
        <v>249</v>
      </c>
      <c r="D871" t="s">
        <v>58</v>
      </c>
      <c r="E871" t="s">
        <v>715</v>
      </c>
      <c r="F871" t="s">
        <v>702</v>
      </c>
      <c r="G871">
        <v>6</v>
      </c>
      <c r="H871" s="9">
        <v>0.05</v>
      </c>
      <c r="I871" t="s">
        <v>699</v>
      </c>
      <c r="J871">
        <v>5</v>
      </c>
      <c r="K871">
        <v>3</v>
      </c>
      <c r="L871" t="str">
        <f>VLOOKUP(D871,Products!A:E,2,FALSE)</f>
        <v>Standing Desk</v>
      </c>
      <c r="M871" t="str">
        <f>VLOOKUP(D871,Products!A:E,3,FALSE)</f>
        <v>Furniture</v>
      </c>
      <c r="N871">
        <f>VLOOKUP(D871,Products!A:E,4,FALSE)</f>
        <v>540</v>
      </c>
      <c r="O871" s="13">
        <f>VLOOKUP(D871,Products!A:E,5,FALSE)</f>
        <v>320</v>
      </c>
      <c r="P871" s="13" t="str">
        <f>VLOOKUP(C871,Customers!A:C,3,FALSE)</f>
        <v>Consumer</v>
      </c>
      <c r="Q871" s="13">
        <f t="shared" si="52"/>
        <v>3078</v>
      </c>
      <c r="R871" s="13">
        <f t="shared" si="53"/>
        <v>1920</v>
      </c>
      <c r="S871" s="13">
        <f t="shared" si="54"/>
        <v>1158</v>
      </c>
      <c r="T871" s="14">
        <f t="shared" si="55"/>
        <v>0.37621832358674462</v>
      </c>
    </row>
    <row r="872" spans="1:20">
      <c r="A872" t="s">
        <v>1576</v>
      </c>
      <c r="B872" s="8">
        <v>45968</v>
      </c>
      <c r="C872" t="s">
        <v>311</v>
      </c>
      <c r="D872" t="s">
        <v>65</v>
      </c>
      <c r="E872" t="s">
        <v>701</v>
      </c>
      <c r="F872" t="s">
        <v>698</v>
      </c>
      <c r="G872">
        <v>1</v>
      </c>
      <c r="H872" s="9">
        <v>0</v>
      </c>
      <c r="I872" t="s">
        <v>699</v>
      </c>
      <c r="J872">
        <v>1</v>
      </c>
      <c r="K872">
        <v>5</v>
      </c>
      <c r="L872" t="str">
        <f>VLOOKUP(D872,Products!A:E,2,FALSE)</f>
        <v>Laptop Stand</v>
      </c>
      <c r="M872" t="str">
        <f>VLOOKUP(D872,Products!A:E,3,FALSE)</f>
        <v>Accessories</v>
      </c>
      <c r="N872">
        <f>VLOOKUP(D872,Products!A:E,4,FALSE)</f>
        <v>48</v>
      </c>
      <c r="O872" s="13">
        <f>VLOOKUP(D872,Products!A:E,5,FALSE)</f>
        <v>22</v>
      </c>
      <c r="P872" s="13" t="str">
        <f>VLOOKUP(C872,Customers!A:C,3,FALSE)</f>
        <v>Corporate</v>
      </c>
      <c r="Q872" s="13">
        <f t="shared" si="52"/>
        <v>48</v>
      </c>
      <c r="R872" s="13">
        <f t="shared" si="53"/>
        <v>22</v>
      </c>
      <c r="S872" s="13">
        <f t="shared" si="54"/>
        <v>26</v>
      </c>
      <c r="T872" s="14">
        <f t="shared" si="55"/>
        <v>0.54166666666666663</v>
      </c>
    </row>
    <row r="873" spans="1:20">
      <c r="A873" t="s">
        <v>1577</v>
      </c>
      <c r="B873" s="8">
        <v>45794</v>
      </c>
      <c r="C873" t="s">
        <v>363</v>
      </c>
      <c r="D873" t="s">
        <v>48</v>
      </c>
      <c r="E873" t="s">
        <v>701</v>
      </c>
      <c r="F873" t="s">
        <v>702</v>
      </c>
      <c r="G873">
        <v>5</v>
      </c>
      <c r="H873" s="9">
        <v>0.05</v>
      </c>
      <c r="I873" t="s">
        <v>699</v>
      </c>
      <c r="J873">
        <v>4</v>
      </c>
      <c r="K873">
        <v>5</v>
      </c>
      <c r="L873" t="str">
        <f>VLOOKUP(D873,Products!A:E,2,FALSE)</f>
        <v>Monitor</v>
      </c>
      <c r="M873" t="str">
        <f>VLOOKUP(D873,Products!A:E,3,FALSE)</f>
        <v>Technology</v>
      </c>
      <c r="N873">
        <f>VLOOKUP(D873,Products!A:E,4,FALSE)</f>
        <v>310</v>
      </c>
      <c r="O873" s="13">
        <f>VLOOKUP(D873,Products!A:E,5,FALSE)</f>
        <v>190</v>
      </c>
      <c r="P873" s="13" t="str">
        <f>VLOOKUP(C873,Customers!A:C,3,FALSE)</f>
        <v>Corporate</v>
      </c>
      <c r="Q873" s="13">
        <f t="shared" si="52"/>
        <v>1472.5</v>
      </c>
      <c r="R873" s="13">
        <f t="shared" si="53"/>
        <v>950</v>
      </c>
      <c r="S873" s="13">
        <f t="shared" si="54"/>
        <v>522.5</v>
      </c>
      <c r="T873" s="14">
        <f t="shared" si="55"/>
        <v>0.35483870967741937</v>
      </c>
    </row>
    <row r="874" spans="1:20">
      <c r="A874" t="s">
        <v>1578</v>
      </c>
      <c r="B874" s="8">
        <v>46035</v>
      </c>
      <c r="C874" t="s">
        <v>419</v>
      </c>
      <c r="D874" t="s">
        <v>50</v>
      </c>
      <c r="E874" t="s">
        <v>697</v>
      </c>
      <c r="F874" t="s">
        <v>706</v>
      </c>
      <c r="G874">
        <v>1</v>
      </c>
      <c r="H874" s="9">
        <v>0</v>
      </c>
      <c r="I874" t="s">
        <v>699</v>
      </c>
      <c r="J874">
        <v>4</v>
      </c>
      <c r="K874">
        <v>1</v>
      </c>
      <c r="L874" t="str">
        <f>VLOOKUP(D874,Products!A:E,2,FALSE)</f>
        <v>Keyboard</v>
      </c>
      <c r="M874" t="str">
        <f>VLOOKUP(D874,Products!A:E,3,FALSE)</f>
        <v>Technology</v>
      </c>
      <c r="N874">
        <f>VLOOKUP(D874,Products!A:E,4,FALSE)</f>
        <v>75</v>
      </c>
      <c r="O874" s="13">
        <f>VLOOKUP(D874,Products!A:E,5,FALSE)</f>
        <v>38</v>
      </c>
      <c r="P874" s="13" t="str">
        <f>VLOOKUP(C874,Customers!A:C,3,FALSE)</f>
        <v>Consumer</v>
      </c>
      <c r="Q874" s="13">
        <f t="shared" si="52"/>
        <v>75</v>
      </c>
      <c r="R874" s="13">
        <f t="shared" si="53"/>
        <v>38</v>
      </c>
      <c r="S874" s="13">
        <f t="shared" si="54"/>
        <v>37</v>
      </c>
      <c r="T874" s="14">
        <f t="shared" si="55"/>
        <v>0.49333333333333335</v>
      </c>
    </row>
    <row r="875" spans="1:20">
      <c r="A875" t="s">
        <v>1579</v>
      </c>
      <c r="B875" s="8">
        <v>45668</v>
      </c>
      <c r="C875" t="s">
        <v>451</v>
      </c>
      <c r="D875" t="s">
        <v>61</v>
      </c>
      <c r="E875" t="s">
        <v>701</v>
      </c>
      <c r="F875" t="s">
        <v>702</v>
      </c>
      <c r="G875">
        <v>1</v>
      </c>
      <c r="H875" s="9">
        <v>0</v>
      </c>
      <c r="I875" t="s">
        <v>699</v>
      </c>
      <c r="J875">
        <v>5</v>
      </c>
      <c r="K875">
        <v>5</v>
      </c>
      <c r="L875" t="str">
        <f>VLOOKUP(D875,Products!A:E,2,FALSE)</f>
        <v>Office Chair</v>
      </c>
      <c r="M875" t="str">
        <f>VLOOKUP(D875,Products!A:E,3,FALSE)</f>
        <v>Furniture</v>
      </c>
      <c r="N875">
        <f>VLOOKUP(D875,Products!A:E,4,FALSE)</f>
        <v>255</v>
      </c>
      <c r="O875" s="13">
        <f>VLOOKUP(D875,Products!A:E,5,FALSE)</f>
        <v>145</v>
      </c>
      <c r="P875" s="13" t="str">
        <f>VLOOKUP(C875,Customers!A:C,3,FALSE)</f>
        <v>Small Business</v>
      </c>
      <c r="Q875" s="13">
        <f t="shared" si="52"/>
        <v>255</v>
      </c>
      <c r="R875" s="13">
        <f t="shared" si="53"/>
        <v>145</v>
      </c>
      <c r="S875" s="13">
        <f t="shared" si="54"/>
        <v>110</v>
      </c>
      <c r="T875" s="14">
        <f t="shared" si="55"/>
        <v>0.43137254901960786</v>
      </c>
    </row>
    <row r="876" spans="1:20">
      <c r="A876" t="s">
        <v>1580</v>
      </c>
      <c r="B876" s="8">
        <v>45766</v>
      </c>
      <c r="C876" t="s">
        <v>477</v>
      </c>
      <c r="D876" t="s">
        <v>63</v>
      </c>
      <c r="E876" t="s">
        <v>697</v>
      </c>
      <c r="F876" t="s">
        <v>698</v>
      </c>
      <c r="G876">
        <v>3</v>
      </c>
      <c r="H876" s="9">
        <v>0.1</v>
      </c>
      <c r="I876" t="s">
        <v>699</v>
      </c>
      <c r="J876">
        <v>4</v>
      </c>
      <c r="K876">
        <v>5</v>
      </c>
      <c r="L876" t="str">
        <f>VLOOKUP(D876,Products!A:E,2,FALSE)</f>
        <v>Bookshelf</v>
      </c>
      <c r="M876" t="str">
        <f>VLOOKUP(D876,Products!A:E,3,FALSE)</f>
        <v>Furniture</v>
      </c>
      <c r="N876">
        <f>VLOOKUP(D876,Products!A:E,4,FALSE)</f>
        <v>185</v>
      </c>
      <c r="O876" s="13">
        <f>VLOOKUP(D876,Products!A:E,5,FALSE)</f>
        <v>105</v>
      </c>
      <c r="P876" s="13" t="str">
        <f>VLOOKUP(C876,Customers!A:C,3,FALSE)</f>
        <v>Small Business</v>
      </c>
      <c r="Q876" s="13">
        <f t="shared" si="52"/>
        <v>499.5</v>
      </c>
      <c r="R876" s="13">
        <f t="shared" si="53"/>
        <v>315</v>
      </c>
      <c r="S876" s="13">
        <f t="shared" si="54"/>
        <v>184.5</v>
      </c>
      <c r="T876" s="14">
        <f t="shared" si="55"/>
        <v>0.36936936936936937</v>
      </c>
    </row>
    <row r="877" spans="1:20">
      <c r="A877" t="s">
        <v>1581</v>
      </c>
      <c r="B877" s="8">
        <v>46062</v>
      </c>
      <c r="C877" t="s">
        <v>245</v>
      </c>
      <c r="D877" t="s">
        <v>77</v>
      </c>
      <c r="E877" t="s">
        <v>708</v>
      </c>
      <c r="F877" t="s">
        <v>698</v>
      </c>
      <c r="G877">
        <v>2</v>
      </c>
      <c r="H877" s="9">
        <v>0.15</v>
      </c>
      <c r="I877" t="s">
        <v>699</v>
      </c>
      <c r="J877">
        <v>3</v>
      </c>
      <c r="K877">
        <v>2</v>
      </c>
      <c r="L877" t="str">
        <f>VLOOKUP(D877,Products!A:E,2,FALSE)</f>
        <v>File Folder Pack</v>
      </c>
      <c r="M877" t="str">
        <f>VLOOKUP(D877,Products!A:E,3,FALSE)</f>
        <v>Office Supplies</v>
      </c>
      <c r="N877">
        <f>VLOOKUP(D877,Products!A:E,4,FALSE)</f>
        <v>23</v>
      </c>
      <c r="O877" s="13">
        <f>VLOOKUP(D877,Products!A:E,5,FALSE)</f>
        <v>10</v>
      </c>
      <c r="P877" s="13" t="str">
        <f>VLOOKUP(C877,Customers!A:C,3,FALSE)</f>
        <v>Consumer</v>
      </c>
      <c r="Q877" s="13">
        <f t="shared" si="52"/>
        <v>39.1</v>
      </c>
      <c r="R877" s="13">
        <f t="shared" si="53"/>
        <v>20</v>
      </c>
      <c r="S877" s="13">
        <f t="shared" si="54"/>
        <v>19.100000000000001</v>
      </c>
      <c r="T877" s="14">
        <f t="shared" si="55"/>
        <v>0.48849104859335041</v>
      </c>
    </row>
    <row r="878" spans="1:20">
      <c r="A878" t="s">
        <v>1582</v>
      </c>
      <c r="B878" s="8">
        <v>45838</v>
      </c>
      <c r="C878" t="s">
        <v>279</v>
      </c>
      <c r="D878" t="s">
        <v>79</v>
      </c>
      <c r="E878" t="s">
        <v>697</v>
      </c>
      <c r="F878" t="s">
        <v>702</v>
      </c>
      <c r="G878">
        <v>1</v>
      </c>
      <c r="H878" s="9">
        <v>0</v>
      </c>
      <c r="I878" t="s">
        <v>699</v>
      </c>
      <c r="J878">
        <v>5</v>
      </c>
      <c r="K878">
        <v>5</v>
      </c>
      <c r="L878" t="str">
        <f>VLOOKUP(D878,Products!A:E,2,FALSE)</f>
        <v>Desk Organiser</v>
      </c>
      <c r="M878" t="str">
        <f>VLOOKUP(D878,Products!A:E,3,FALSE)</f>
        <v>Office Supplies</v>
      </c>
      <c r="N878">
        <f>VLOOKUP(D878,Products!A:E,4,FALSE)</f>
        <v>28</v>
      </c>
      <c r="O878" s="13">
        <f>VLOOKUP(D878,Products!A:E,5,FALSE)</f>
        <v>12</v>
      </c>
      <c r="P878" s="13" t="str">
        <f>VLOOKUP(C878,Customers!A:C,3,FALSE)</f>
        <v>Small Business</v>
      </c>
      <c r="Q878" s="13">
        <f t="shared" si="52"/>
        <v>28</v>
      </c>
      <c r="R878" s="13">
        <f t="shared" si="53"/>
        <v>12</v>
      </c>
      <c r="S878" s="13">
        <f t="shared" si="54"/>
        <v>16</v>
      </c>
      <c r="T878" s="14">
        <f t="shared" si="55"/>
        <v>0.5714285714285714</v>
      </c>
    </row>
    <row r="879" spans="1:20">
      <c r="A879" t="s">
        <v>1583</v>
      </c>
      <c r="B879" s="8">
        <v>45850</v>
      </c>
      <c r="C879" t="s">
        <v>157</v>
      </c>
      <c r="D879" t="s">
        <v>54</v>
      </c>
      <c r="E879" t="s">
        <v>705</v>
      </c>
      <c r="F879" t="s">
        <v>702</v>
      </c>
      <c r="G879">
        <v>6</v>
      </c>
      <c r="H879" s="9">
        <v>0.2</v>
      </c>
      <c r="I879" t="s">
        <v>699</v>
      </c>
      <c r="J879">
        <v>4</v>
      </c>
      <c r="K879">
        <v>1</v>
      </c>
      <c r="L879" t="str">
        <f>VLOOKUP(D879,Products!A:E,2,FALSE)</f>
        <v>Webcam</v>
      </c>
      <c r="M879" t="str">
        <f>VLOOKUP(D879,Products!A:E,3,FALSE)</f>
        <v>Technology</v>
      </c>
      <c r="N879">
        <f>VLOOKUP(D879,Products!A:E,4,FALSE)</f>
        <v>115</v>
      </c>
      <c r="O879" s="13">
        <f>VLOOKUP(D879,Products!A:E,5,FALSE)</f>
        <v>58</v>
      </c>
      <c r="P879" s="13" t="str">
        <f>VLOOKUP(C879,Customers!A:C,3,FALSE)</f>
        <v>Corporate</v>
      </c>
      <c r="Q879" s="13">
        <f t="shared" si="52"/>
        <v>552</v>
      </c>
      <c r="R879" s="13">
        <f t="shared" si="53"/>
        <v>348</v>
      </c>
      <c r="S879" s="13">
        <f t="shared" si="54"/>
        <v>204</v>
      </c>
      <c r="T879" s="14">
        <f t="shared" si="55"/>
        <v>0.36956521739130432</v>
      </c>
    </row>
    <row r="880" spans="1:20">
      <c r="A880" t="s">
        <v>1584</v>
      </c>
      <c r="B880" s="8">
        <v>45760</v>
      </c>
      <c r="C880" t="s">
        <v>473</v>
      </c>
      <c r="D880" t="s">
        <v>72</v>
      </c>
      <c r="E880" t="s">
        <v>705</v>
      </c>
      <c r="F880" t="s">
        <v>698</v>
      </c>
      <c r="G880">
        <v>4</v>
      </c>
      <c r="H880" s="9">
        <v>0.05</v>
      </c>
      <c r="I880" t="s">
        <v>699</v>
      </c>
      <c r="J880">
        <v>3</v>
      </c>
      <c r="K880">
        <v>1</v>
      </c>
      <c r="L880" t="str">
        <f>VLOOKUP(D880,Products!A:E,2,FALSE)</f>
        <v>Phone Charger</v>
      </c>
      <c r="M880" t="str">
        <f>VLOOKUP(D880,Products!A:E,3,FALSE)</f>
        <v>Accessories</v>
      </c>
      <c r="N880">
        <f>VLOOKUP(D880,Products!A:E,4,FALSE)</f>
        <v>32</v>
      </c>
      <c r="O880" s="13">
        <f>VLOOKUP(D880,Products!A:E,5,FALSE)</f>
        <v>13</v>
      </c>
      <c r="P880" s="13" t="str">
        <f>VLOOKUP(C880,Customers!A:C,3,FALSE)</f>
        <v>Small Business</v>
      </c>
      <c r="Q880" s="13">
        <f t="shared" si="52"/>
        <v>121.6</v>
      </c>
      <c r="R880" s="13">
        <f t="shared" si="53"/>
        <v>52</v>
      </c>
      <c r="S880" s="13">
        <f t="shared" si="54"/>
        <v>69.599999999999994</v>
      </c>
      <c r="T880" s="14">
        <f t="shared" si="55"/>
        <v>0.57236842105263153</v>
      </c>
    </row>
    <row r="881" spans="1:20">
      <c r="A881" t="s">
        <v>1585</v>
      </c>
      <c r="B881" s="8">
        <v>45932</v>
      </c>
      <c r="C881" t="s">
        <v>233</v>
      </c>
      <c r="D881" t="s">
        <v>45</v>
      </c>
      <c r="E881" t="s">
        <v>697</v>
      </c>
      <c r="F881" t="s">
        <v>702</v>
      </c>
      <c r="G881">
        <v>4</v>
      </c>
      <c r="H881" s="9">
        <v>0.05</v>
      </c>
      <c r="I881" t="s">
        <v>699</v>
      </c>
      <c r="J881">
        <v>5</v>
      </c>
      <c r="K881">
        <v>1</v>
      </c>
      <c r="L881" t="str">
        <f>VLOOKUP(D881,Products!A:E,2,FALSE)</f>
        <v>Laptop</v>
      </c>
      <c r="M881" t="str">
        <f>VLOOKUP(D881,Products!A:E,3,FALSE)</f>
        <v>Technology</v>
      </c>
      <c r="N881">
        <f>VLOOKUP(D881,Products!A:E,4,FALSE)</f>
        <v>1100</v>
      </c>
      <c r="O881" s="13">
        <f>VLOOKUP(D881,Products!A:E,5,FALSE)</f>
        <v>720</v>
      </c>
      <c r="P881" s="13" t="str">
        <f>VLOOKUP(C881,Customers!A:C,3,FALSE)</f>
        <v>Consumer</v>
      </c>
      <c r="Q881" s="13">
        <f t="shared" si="52"/>
        <v>4180</v>
      </c>
      <c r="R881" s="13">
        <f t="shared" si="53"/>
        <v>2880</v>
      </c>
      <c r="S881" s="13">
        <f t="shared" si="54"/>
        <v>1300</v>
      </c>
      <c r="T881" s="14">
        <f t="shared" si="55"/>
        <v>0.31100478468899523</v>
      </c>
    </row>
    <row r="882" spans="1:20">
      <c r="A882" t="s">
        <v>1586</v>
      </c>
      <c r="B882" s="8">
        <v>45865</v>
      </c>
      <c r="C882" t="s">
        <v>229</v>
      </c>
      <c r="D882" t="s">
        <v>79</v>
      </c>
      <c r="E882" t="s">
        <v>701</v>
      </c>
      <c r="F882" t="s">
        <v>706</v>
      </c>
      <c r="G882">
        <v>4</v>
      </c>
      <c r="H882" s="9">
        <v>0</v>
      </c>
      <c r="I882" t="s">
        <v>699</v>
      </c>
      <c r="J882">
        <v>3</v>
      </c>
      <c r="K882">
        <v>5</v>
      </c>
      <c r="L882" t="str">
        <f>VLOOKUP(D882,Products!A:E,2,FALSE)</f>
        <v>Desk Organiser</v>
      </c>
      <c r="M882" t="str">
        <f>VLOOKUP(D882,Products!A:E,3,FALSE)</f>
        <v>Office Supplies</v>
      </c>
      <c r="N882">
        <f>VLOOKUP(D882,Products!A:E,4,FALSE)</f>
        <v>28</v>
      </c>
      <c r="O882" s="13">
        <f>VLOOKUP(D882,Products!A:E,5,FALSE)</f>
        <v>12</v>
      </c>
      <c r="P882" s="13" t="str">
        <f>VLOOKUP(C882,Customers!A:C,3,FALSE)</f>
        <v>Small Business</v>
      </c>
      <c r="Q882" s="13">
        <f t="shared" si="52"/>
        <v>112</v>
      </c>
      <c r="R882" s="13">
        <f t="shared" si="53"/>
        <v>48</v>
      </c>
      <c r="S882" s="13">
        <f t="shared" si="54"/>
        <v>64</v>
      </c>
      <c r="T882" s="14">
        <f t="shared" si="55"/>
        <v>0.5714285714285714</v>
      </c>
    </row>
    <row r="883" spans="1:20">
      <c r="A883" t="s">
        <v>1587</v>
      </c>
      <c r="B883" s="8">
        <v>45931</v>
      </c>
      <c r="C883" t="s">
        <v>643</v>
      </c>
      <c r="D883" t="s">
        <v>52</v>
      </c>
      <c r="E883" t="s">
        <v>705</v>
      </c>
      <c r="F883" t="s">
        <v>702</v>
      </c>
      <c r="G883">
        <v>2</v>
      </c>
      <c r="H883" s="9">
        <v>0</v>
      </c>
      <c r="I883" t="s">
        <v>699</v>
      </c>
      <c r="J883">
        <v>4</v>
      </c>
      <c r="K883">
        <v>1</v>
      </c>
      <c r="L883" t="str">
        <f>VLOOKUP(D883,Products!A:E,2,FALSE)</f>
        <v>Mouse</v>
      </c>
      <c r="M883" t="str">
        <f>VLOOKUP(D883,Products!A:E,3,FALSE)</f>
        <v>Technology</v>
      </c>
      <c r="N883">
        <f>VLOOKUP(D883,Products!A:E,4,FALSE)</f>
        <v>42</v>
      </c>
      <c r="O883" s="13">
        <f>VLOOKUP(D883,Products!A:E,5,FALSE)</f>
        <v>19</v>
      </c>
      <c r="P883" s="13" t="str">
        <f>VLOOKUP(C883,Customers!A:C,3,FALSE)</f>
        <v>Consumer</v>
      </c>
      <c r="Q883" s="13">
        <f t="shared" si="52"/>
        <v>84</v>
      </c>
      <c r="R883" s="13">
        <f t="shared" si="53"/>
        <v>38</v>
      </c>
      <c r="S883" s="13">
        <f t="shared" si="54"/>
        <v>46</v>
      </c>
      <c r="T883" s="14">
        <f t="shared" si="55"/>
        <v>0.54761904761904767</v>
      </c>
    </row>
    <row r="884" spans="1:20">
      <c r="A884" t="s">
        <v>1588</v>
      </c>
      <c r="B884" s="8">
        <v>45887</v>
      </c>
      <c r="C884" t="s">
        <v>111</v>
      </c>
      <c r="D884" t="s">
        <v>61</v>
      </c>
      <c r="E884" t="s">
        <v>715</v>
      </c>
      <c r="F884" t="s">
        <v>702</v>
      </c>
      <c r="G884">
        <v>3</v>
      </c>
      <c r="H884" s="9">
        <v>0</v>
      </c>
      <c r="I884" t="s">
        <v>699</v>
      </c>
      <c r="J884">
        <v>4</v>
      </c>
      <c r="K884">
        <v>1</v>
      </c>
      <c r="L884" t="str">
        <f>VLOOKUP(D884,Products!A:E,2,FALSE)</f>
        <v>Office Chair</v>
      </c>
      <c r="M884" t="str">
        <f>VLOOKUP(D884,Products!A:E,3,FALSE)</f>
        <v>Furniture</v>
      </c>
      <c r="N884">
        <f>VLOOKUP(D884,Products!A:E,4,FALSE)</f>
        <v>255</v>
      </c>
      <c r="O884" s="13">
        <f>VLOOKUP(D884,Products!A:E,5,FALSE)</f>
        <v>145</v>
      </c>
      <c r="P884" s="13" t="str">
        <f>VLOOKUP(C884,Customers!A:C,3,FALSE)</f>
        <v>Consumer</v>
      </c>
      <c r="Q884" s="13">
        <f t="shared" si="52"/>
        <v>765</v>
      </c>
      <c r="R884" s="13">
        <f t="shared" si="53"/>
        <v>435</v>
      </c>
      <c r="S884" s="13">
        <f t="shared" si="54"/>
        <v>330</v>
      </c>
      <c r="T884" s="14">
        <f t="shared" si="55"/>
        <v>0.43137254901960786</v>
      </c>
    </row>
    <row r="885" spans="1:20">
      <c r="A885" t="s">
        <v>1589</v>
      </c>
      <c r="B885" s="8">
        <v>46161</v>
      </c>
      <c r="C885" t="s">
        <v>259</v>
      </c>
      <c r="D885" t="s">
        <v>52</v>
      </c>
      <c r="E885" t="s">
        <v>708</v>
      </c>
      <c r="F885" t="s">
        <v>706</v>
      </c>
      <c r="G885">
        <v>1</v>
      </c>
      <c r="H885" s="9">
        <v>0</v>
      </c>
      <c r="I885" t="s">
        <v>699</v>
      </c>
      <c r="J885">
        <v>4</v>
      </c>
      <c r="K885">
        <v>1</v>
      </c>
      <c r="L885" t="str">
        <f>VLOOKUP(D885,Products!A:E,2,FALSE)</f>
        <v>Mouse</v>
      </c>
      <c r="M885" t="str">
        <f>VLOOKUP(D885,Products!A:E,3,FALSE)</f>
        <v>Technology</v>
      </c>
      <c r="N885">
        <f>VLOOKUP(D885,Products!A:E,4,FALSE)</f>
        <v>42</v>
      </c>
      <c r="O885" s="13">
        <f>VLOOKUP(D885,Products!A:E,5,FALSE)</f>
        <v>19</v>
      </c>
      <c r="P885" s="13" t="str">
        <f>VLOOKUP(C885,Customers!A:C,3,FALSE)</f>
        <v>Small Business</v>
      </c>
      <c r="Q885" s="13">
        <f t="shared" si="52"/>
        <v>42</v>
      </c>
      <c r="R885" s="13">
        <f t="shared" si="53"/>
        <v>19</v>
      </c>
      <c r="S885" s="13">
        <f t="shared" si="54"/>
        <v>23</v>
      </c>
      <c r="T885" s="14">
        <f t="shared" si="55"/>
        <v>0.54761904761904767</v>
      </c>
    </row>
    <row r="886" spans="1:20">
      <c r="A886" t="s">
        <v>1590</v>
      </c>
      <c r="B886" s="8">
        <v>45702</v>
      </c>
      <c r="C886" t="s">
        <v>241</v>
      </c>
      <c r="D886" t="s">
        <v>56</v>
      </c>
      <c r="E886" t="s">
        <v>715</v>
      </c>
      <c r="F886" t="s">
        <v>702</v>
      </c>
      <c r="G886">
        <v>1</v>
      </c>
      <c r="H886" s="9">
        <v>0</v>
      </c>
      <c r="I886" t="s">
        <v>699</v>
      </c>
      <c r="J886">
        <v>5</v>
      </c>
      <c r="K886">
        <v>5</v>
      </c>
      <c r="L886" t="str">
        <f>VLOOKUP(D886,Products!A:E,2,FALSE)</f>
        <v>Headset</v>
      </c>
      <c r="M886" t="str">
        <f>VLOOKUP(D886,Products!A:E,3,FALSE)</f>
        <v>Technology</v>
      </c>
      <c r="N886">
        <f>VLOOKUP(D886,Products!A:E,4,FALSE)</f>
        <v>98</v>
      </c>
      <c r="O886" s="13">
        <f>VLOOKUP(D886,Products!A:E,5,FALSE)</f>
        <v>46</v>
      </c>
      <c r="P886" s="13" t="str">
        <f>VLOOKUP(C886,Customers!A:C,3,FALSE)</f>
        <v>Consumer</v>
      </c>
      <c r="Q886" s="13">
        <f t="shared" si="52"/>
        <v>98</v>
      </c>
      <c r="R886" s="13">
        <f t="shared" si="53"/>
        <v>46</v>
      </c>
      <c r="S886" s="13">
        <f t="shared" si="54"/>
        <v>52</v>
      </c>
      <c r="T886" s="14">
        <f t="shared" si="55"/>
        <v>0.53061224489795922</v>
      </c>
    </row>
    <row r="887" spans="1:20">
      <c r="A887" t="s">
        <v>1591</v>
      </c>
      <c r="B887" s="8">
        <v>45951</v>
      </c>
      <c r="C887" t="s">
        <v>443</v>
      </c>
      <c r="D887" t="s">
        <v>52</v>
      </c>
      <c r="E887" t="s">
        <v>708</v>
      </c>
      <c r="F887" t="s">
        <v>698</v>
      </c>
      <c r="G887">
        <v>2</v>
      </c>
      <c r="H887" s="9">
        <v>0</v>
      </c>
      <c r="I887" t="s">
        <v>699</v>
      </c>
      <c r="J887">
        <v>5</v>
      </c>
      <c r="K887">
        <v>1</v>
      </c>
      <c r="L887" t="str">
        <f>VLOOKUP(D887,Products!A:E,2,FALSE)</f>
        <v>Mouse</v>
      </c>
      <c r="M887" t="str">
        <f>VLOOKUP(D887,Products!A:E,3,FALSE)</f>
        <v>Technology</v>
      </c>
      <c r="N887">
        <f>VLOOKUP(D887,Products!A:E,4,FALSE)</f>
        <v>42</v>
      </c>
      <c r="O887" s="13">
        <f>VLOOKUP(D887,Products!A:E,5,FALSE)</f>
        <v>19</v>
      </c>
      <c r="P887" s="13" t="str">
        <f>VLOOKUP(C887,Customers!A:C,3,FALSE)</f>
        <v>Consumer</v>
      </c>
      <c r="Q887" s="13">
        <f t="shared" si="52"/>
        <v>84</v>
      </c>
      <c r="R887" s="13">
        <f t="shared" si="53"/>
        <v>38</v>
      </c>
      <c r="S887" s="13">
        <f t="shared" si="54"/>
        <v>46</v>
      </c>
      <c r="T887" s="14">
        <f t="shared" si="55"/>
        <v>0.54761904761904767</v>
      </c>
    </row>
    <row r="888" spans="1:20">
      <c r="A888" t="s">
        <v>1592</v>
      </c>
      <c r="B888" s="8">
        <v>45810</v>
      </c>
      <c r="C888" t="s">
        <v>237</v>
      </c>
      <c r="D888" t="s">
        <v>68</v>
      </c>
      <c r="E888" t="s">
        <v>705</v>
      </c>
      <c r="F888" t="s">
        <v>702</v>
      </c>
      <c r="G888">
        <v>4</v>
      </c>
      <c r="H888" s="9">
        <v>0.2</v>
      </c>
      <c r="I888" t="s">
        <v>699</v>
      </c>
      <c r="J888">
        <v>3</v>
      </c>
      <c r="K888">
        <v>4</v>
      </c>
      <c r="L888" t="str">
        <f>VLOOKUP(D888,Products!A:E,2,FALSE)</f>
        <v>Backpack</v>
      </c>
      <c r="M888" t="str">
        <f>VLOOKUP(D888,Products!A:E,3,FALSE)</f>
        <v>Accessories</v>
      </c>
      <c r="N888">
        <f>VLOOKUP(D888,Products!A:E,4,FALSE)</f>
        <v>85</v>
      </c>
      <c r="O888" s="13">
        <f>VLOOKUP(D888,Products!A:E,5,FALSE)</f>
        <v>39</v>
      </c>
      <c r="P888" s="13" t="str">
        <f>VLOOKUP(C888,Customers!A:C,3,FALSE)</f>
        <v>Consumer</v>
      </c>
      <c r="Q888" s="13">
        <f t="shared" si="52"/>
        <v>272</v>
      </c>
      <c r="R888" s="13">
        <f t="shared" si="53"/>
        <v>156</v>
      </c>
      <c r="S888" s="13">
        <f t="shared" si="54"/>
        <v>116</v>
      </c>
      <c r="T888" s="14">
        <f t="shared" si="55"/>
        <v>0.4264705882352941</v>
      </c>
    </row>
    <row r="889" spans="1:20">
      <c r="A889" t="s">
        <v>1593</v>
      </c>
      <c r="B889" s="8">
        <v>45943</v>
      </c>
      <c r="C889" t="s">
        <v>235</v>
      </c>
      <c r="D889" t="s">
        <v>50</v>
      </c>
      <c r="E889" t="s">
        <v>708</v>
      </c>
      <c r="F889" t="s">
        <v>702</v>
      </c>
      <c r="G889">
        <v>4</v>
      </c>
      <c r="H889" s="9">
        <v>0</v>
      </c>
      <c r="I889" t="s">
        <v>699</v>
      </c>
      <c r="J889">
        <v>4</v>
      </c>
      <c r="K889">
        <v>4</v>
      </c>
      <c r="L889" t="str">
        <f>VLOOKUP(D889,Products!A:E,2,FALSE)</f>
        <v>Keyboard</v>
      </c>
      <c r="M889" t="str">
        <f>VLOOKUP(D889,Products!A:E,3,FALSE)</f>
        <v>Technology</v>
      </c>
      <c r="N889">
        <f>VLOOKUP(D889,Products!A:E,4,FALSE)</f>
        <v>75</v>
      </c>
      <c r="O889" s="13">
        <f>VLOOKUP(D889,Products!A:E,5,FALSE)</f>
        <v>38</v>
      </c>
      <c r="P889" s="13" t="str">
        <f>VLOOKUP(C889,Customers!A:C,3,FALSE)</f>
        <v>Corporate</v>
      </c>
      <c r="Q889" s="13">
        <f t="shared" si="52"/>
        <v>300</v>
      </c>
      <c r="R889" s="13">
        <f t="shared" si="53"/>
        <v>152</v>
      </c>
      <c r="S889" s="13">
        <f t="shared" si="54"/>
        <v>148</v>
      </c>
      <c r="T889" s="14">
        <f t="shared" si="55"/>
        <v>0.49333333333333335</v>
      </c>
    </row>
    <row r="890" spans="1:20">
      <c r="A890" t="s">
        <v>1594</v>
      </c>
      <c r="B890" s="8">
        <v>45999</v>
      </c>
      <c r="C890" t="s">
        <v>227</v>
      </c>
      <c r="D890" t="s">
        <v>61</v>
      </c>
      <c r="E890" t="s">
        <v>708</v>
      </c>
      <c r="F890" t="s">
        <v>698</v>
      </c>
      <c r="G890">
        <v>2</v>
      </c>
      <c r="H890" s="9">
        <v>0.05</v>
      </c>
      <c r="I890" t="s">
        <v>699</v>
      </c>
      <c r="J890">
        <v>3</v>
      </c>
      <c r="K890">
        <v>1</v>
      </c>
      <c r="L890" t="str">
        <f>VLOOKUP(D890,Products!A:E,2,FALSE)</f>
        <v>Office Chair</v>
      </c>
      <c r="M890" t="str">
        <f>VLOOKUP(D890,Products!A:E,3,FALSE)</f>
        <v>Furniture</v>
      </c>
      <c r="N890">
        <f>VLOOKUP(D890,Products!A:E,4,FALSE)</f>
        <v>255</v>
      </c>
      <c r="O890" s="13">
        <f>VLOOKUP(D890,Products!A:E,5,FALSE)</f>
        <v>145</v>
      </c>
      <c r="P890" s="13" t="str">
        <f>VLOOKUP(C890,Customers!A:C,3,FALSE)</f>
        <v>Consumer</v>
      </c>
      <c r="Q890" s="13">
        <f t="shared" si="52"/>
        <v>484.5</v>
      </c>
      <c r="R890" s="13">
        <f t="shared" si="53"/>
        <v>290</v>
      </c>
      <c r="S890" s="13">
        <f t="shared" si="54"/>
        <v>194.5</v>
      </c>
      <c r="T890" s="14">
        <f t="shared" si="55"/>
        <v>0.40144478844169246</v>
      </c>
    </row>
    <row r="891" spans="1:20">
      <c r="A891" t="s">
        <v>1595</v>
      </c>
      <c r="B891" s="8">
        <v>46252</v>
      </c>
      <c r="C891" t="s">
        <v>517</v>
      </c>
      <c r="D891" t="s">
        <v>61</v>
      </c>
      <c r="E891" t="s">
        <v>701</v>
      </c>
      <c r="F891" t="s">
        <v>702</v>
      </c>
      <c r="G891">
        <v>1</v>
      </c>
      <c r="H891" s="9">
        <v>0.2</v>
      </c>
      <c r="I891" t="s">
        <v>699</v>
      </c>
      <c r="J891">
        <v>4</v>
      </c>
      <c r="K891">
        <v>2</v>
      </c>
      <c r="L891" t="str">
        <f>VLOOKUP(D891,Products!A:E,2,FALSE)</f>
        <v>Office Chair</v>
      </c>
      <c r="M891" t="str">
        <f>VLOOKUP(D891,Products!A:E,3,FALSE)</f>
        <v>Furniture</v>
      </c>
      <c r="N891">
        <f>VLOOKUP(D891,Products!A:E,4,FALSE)</f>
        <v>255</v>
      </c>
      <c r="O891" s="13">
        <f>VLOOKUP(D891,Products!A:E,5,FALSE)</f>
        <v>145</v>
      </c>
      <c r="P891" s="13" t="str">
        <f>VLOOKUP(C891,Customers!A:C,3,FALSE)</f>
        <v>Small Business</v>
      </c>
      <c r="Q891" s="13">
        <f t="shared" si="52"/>
        <v>204</v>
      </c>
      <c r="R891" s="13">
        <f t="shared" si="53"/>
        <v>145</v>
      </c>
      <c r="S891" s="13">
        <f t="shared" si="54"/>
        <v>59</v>
      </c>
      <c r="T891" s="14">
        <f t="shared" si="55"/>
        <v>0.28921568627450983</v>
      </c>
    </row>
    <row r="892" spans="1:20">
      <c r="A892" t="s">
        <v>1596</v>
      </c>
      <c r="B892" s="8">
        <v>45770</v>
      </c>
      <c r="C892" t="s">
        <v>147</v>
      </c>
      <c r="D892" t="s">
        <v>70</v>
      </c>
      <c r="E892" t="s">
        <v>708</v>
      </c>
      <c r="F892" t="s">
        <v>706</v>
      </c>
      <c r="G892">
        <v>4</v>
      </c>
      <c r="H892" s="9">
        <v>0</v>
      </c>
      <c r="I892" t="s">
        <v>699</v>
      </c>
      <c r="J892">
        <v>5</v>
      </c>
      <c r="K892">
        <v>5</v>
      </c>
      <c r="L892" t="str">
        <f>VLOOKUP(D892,Products!A:E,2,FALSE)</f>
        <v>USB-C Hub</v>
      </c>
      <c r="M892" t="str">
        <f>VLOOKUP(D892,Products!A:E,3,FALSE)</f>
        <v>Accessories</v>
      </c>
      <c r="N892">
        <f>VLOOKUP(D892,Products!A:E,4,FALSE)</f>
        <v>68</v>
      </c>
      <c r="O892" s="13">
        <f>VLOOKUP(D892,Products!A:E,5,FALSE)</f>
        <v>31</v>
      </c>
      <c r="P892" s="13" t="str">
        <f>VLOOKUP(C892,Customers!A:C,3,FALSE)</f>
        <v>Small Business</v>
      </c>
      <c r="Q892" s="13">
        <f t="shared" si="52"/>
        <v>272</v>
      </c>
      <c r="R892" s="13">
        <f t="shared" si="53"/>
        <v>124</v>
      </c>
      <c r="S892" s="13">
        <f t="shared" si="54"/>
        <v>148</v>
      </c>
      <c r="T892" s="14">
        <f t="shared" si="55"/>
        <v>0.54411764705882348</v>
      </c>
    </row>
    <row r="893" spans="1:20">
      <c r="A893" t="s">
        <v>1597</v>
      </c>
      <c r="B893" s="8">
        <v>46089</v>
      </c>
      <c r="C893" t="s">
        <v>335</v>
      </c>
      <c r="D893" t="s">
        <v>58</v>
      </c>
      <c r="E893" t="s">
        <v>697</v>
      </c>
      <c r="F893" t="s">
        <v>702</v>
      </c>
      <c r="G893">
        <v>1</v>
      </c>
      <c r="H893" s="9">
        <v>0.2</v>
      </c>
      <c r="I893" t="s">
        <v>699</v>
      </c>
      <c r="J893">
        <v>4</v>
      </c>
      <c r="K893">
        <v>1</v>
      </c>
      <c r="L893" t="str">
        <f>VLOOKUP(D893,Products!A:E,2,FALSE)</f>
        <v>Standing Desk</v>
      </c>
      <c r="M893" t="str">
        <f>VLOOKUP(D893,Products!A:E,3,FALSE)</f>
        <v>Furniture</v>
      </c>
      <c r="N893">
        <f>VLOOKUP(D893,Products!A:E,4,FALSE)</f>
        <v>540</v>
      </c>
      <c r="O893" s="13">
        <f>VLOOKUP(D893,Products!A:E,5,FALSE)</f>
        <v>320</v>
      </c>
      <c r="P893" s="13" t="str">
        <f>VLOOKUP(C893,Customers!A:C,3,FALSE)</f>
        <v>Consumer</v>
      </c>
      <c r="Q893" s="13">
        <f t="shared" si="52"/>
        <v>432</v>
      </c>
      <c r="R893" s="13">
        <f t="shared" si="53"/>
        <v>320</v>
      </c>
      <c r="S893" s="13">
        <f t="shared" si="54"/>
        <v>112</v>
      </c>
      <c r="T893" s="14">
        <f t="shared" si="55"/>
        <v>0.25925925925925924</v>
      </c>
    </row>
    <row r="894" spans="1:20">
      <c r="A894" t="s">
        <v>1598</v>
      </c>
      <c r="B894" s="8">
        <v>46092</v>
      </c>
      <c r="C894" t="s">
        <v>467</v>
      </c>
      <c r="D894" t="s">
        <v>48</v>
      </c>
      <c r="E894" t="s">
        <v>701</v>
      </c>
      <c r="F894" t="s">
        <v>698</v>
      </c>
      <c r="G894">
        <v>1</v>
      </c>
      <c r="H894" s="9">
        <v>0.15</v>
      </c>
      <c r="I894" t="s">
        <v>699</v>
      </c>
      <c r="J894">
        <v>1</v>
      </c>
      <c r="K894">
        <v>5</v>
      </c>
      <c r="L894" t="str">
        <f>VLOOKUP(D894,Products!A:E,2,FALSE)</f>
        <v>Monitor</v>
      </c>
      <c r="M894" t="str">
        <f>VLOOKUP(D894,Products!A:E,3,FALSE)</f>
        <v>Technology</v>
      </c>
      <c r="N894">
        <f>VLOOKUP(D894,Products!A:E,4,FALSE)</f>
        <v>310</v>
      </c>
      <c r="O894" s="13">
        <f>VLOOKUP(D894,Products!A:E,5,FALSE)</f>
        <v>190</v>
      </c>
      <c r="P894" s="13" t="str">
        <f>VLOOKUP(C894,Customers!A:C,3,FALSE)</f>
        <v>Consumer</v>
      </c>
      <c r="Q894" s="13">
        <f t="shared" si="52"/>
        <v>263.5</v>
      </c>
      <c r="R894" s="13">
        <f t="shared" si="53"/>
        <v>190</v>
      </c>
      <c r="S894" s="13">
        <f t="shared" si="54"/>
        <v>73.5</v>
      </c>
      <c r="T894" s="14">
        <f t="shared" si="55"/>
        <v>0.27893738140417457</v>
      </c>
    </row>
    <row r="895" spans="1:20">
      <c r="A895" t="s">
        <v>1599</v>
      </c>
      <c r="B895" s="8">
        <v>45738</v>
      </c>
      <c r="C895" t="s">
        <v>337</v>
      </c>
      <c r="D895" t="s">
        <v>50</v>
      </c>
      <c r="E895" t="s">
        <v>705</v>
      </c>
      <c r="F895" t="s">
        <v>706</v>
      </c>
      <c r="G895">
        <v>2</v>
      </c>
      <c r="H895" s="9">
        <v>0.1</v>
      </c>
      <c r="I895" t="s">
        <v>699</v>
      </c>
      <c r="J895">
        <v>3</v>
      </c>
      <c r="K895">
        <v>5</v>
      </c>
      <c r="L895" t="str">
        <f>VLOOKUP(D895,Products!A:E,2,FALSE)</f>
        <v>Keyboard</v>
      </c>
      <c r="M895" t="str">
        <f>VLOOKUP(D895,Products!A:E,3,FALSE)</f>
        <v>Technology</v>
      </c>
      <c r="N895">
        <f>VLOOKUP(D895,Products!A:E,4,FALSE)</f>
        <v>75</v>
      </c>
      <c r="O895" s="13">
        <f>VLOOKUP(D895,Products!A:E,5,FALSE)</f>
        <v>38</v>
      </c>
      <c r="P895" s="13" t="str">
        <f>VLOOKUP(C895,Customers!A:C,3,FALSE)</f>
        <v>Consumer</v>
      </c>
      <c r="Q895" s="13">
        <f t="shared" si="52"/>
        <v>135</v>
      </c>
      <c r="R895" s="13">
        <f t="shared" si="53"/>
        <v>76</v>
      </c>
      <c r="S895" s="13">
        <f t="shared" si="54"/>
        <v>59</v>
      </c>
      <c r="T895" s="14">
        <f t="shared" si="55"/>
        <v>0.43703703703703706</v>
      </c>
    </row>
    <row r="896" spans="1:20">
      <c r="A896" t="s">
        <v>1600</v>
      </c>
      <c r="B896" s="8">
        <v>45964</v>
      </c>
      <c r="C896" t="s">
        <v>567</v>
      </c>
      <c r="D896" t="s">
        <v>74</v>
      </c>
      <c r="E896" t="s">
        <v>701</v>
      </c>
      <c r="F896" t="s">
        <v>702</v>
      </c>
      <c r="G896">
        <v>3</v>
      </c>
      <c r="H896" s="9">
        <v>0</v>
      </c>
      <c r="I896" t="s">
        <v>699</v>
      </c>
      <c r="J896">
        <v>2</v>
      </c>
      <c r="K896">
        <v>3</v>
      </c>
      <c r="L896" t="str">
        <f>VLOOKUP(D896,Products!A:E,2,FALSE)</f>
        <v>Printer Paper</v>
      </c>
      <c r="M896" t="str">
        <f>VLOOKUP(D896,Products!A:E,3,FALSE)</f>
        <v>Office Supplies</v>
      </c>
      <c r="N896">
        <f>VLOOKUP(D896,Products!A:E,4,FALSE)</f>
        <v>17</v>
      </c>
      <c r="O896" s="13">
        <f>VLOOKUP(D896,Products!A:E,5,FALSE)</f>
        <v>8</v>
      </c>
      <c r="P896" s="13" t="str">
        <f>VLOOKUP(C896,Customers!A:C,3,FALSE)</f>
        <v>Consumer</v>
      </c>
      <c r="Q896" s="13">
        <f t="shared" si="52"/>
        <v>51</v>
      </c>
      <c r="R896" s="13">
        <f t="shared" si="53"/>
        <v>24</v>
      </c>
      <c r="S896" s="13">
        <f t="shared" si="54"/>
        <v>27</v>
      </c>
      <c r="T896" s="14">
        <f t="shared" si="55"/>
        <v>0.52941176470588236</v>
      </c>
    </row>
    <row r="897" spans="1:20">
      <c r="A897" t="s">
        <v>1601</v>
      </c>
      <c r="B897" s="8">
        <v>46173</v>
      </c>
      <c r="C897" t="s">
        <v>251</v>
      </c>
      <c r="D897" t="s">
        <v>45</v>
      </c>
      <c r="E897" t="s">
        <v>708</v>
      </c>
      <c r="F897" t="s">
        <v>702</v>
      </c>
      <c r="G897">
        <v>7</v>
      </c>
      <c r="H897" s="9">
        <v>0</v>
      </c>
      <c r="I897" t="s">
        <v>699</v>
      </c>
      <c r="J897">
        <v>4</v>
      </c>
      <c r="K897">
        <v>5</v>
      </c>
      <c r="L897" t="str">
        <f>VLOOKUP(D897,Products!A:E,2,FALSE)</f>
        <v>Laptop</v>
      </c>
      <c r="M897" t="str">
        <f>VLOOKUP(D897,Products!A:E,3,FALSE)</f>
        <v>Technology</v>
      </c>
      <c r="N897">
        <f>VLOOKUP(D897,Products!A:E,4,FALSE)</f>
        <v>1100</v>
      </c>
      <c r="O897" s="13">
        <f>VLOOKUP(D897,Products!A:E,5,FALSE)</f>
        <v>720</v>
      </c>
      <c r="P897" s="13" t="str">
        <f>VLOOKUP(C897,Customers!A:C,3,FALSE)</f>
        <v>Corporate</v>
      </c>
      <c r="Q897" s="13">
        <f t="shared" si="52"/>
        <v>7700</v>
      </c>
      <c r="R897" s="13">
        <f t="shared" si="53"/>
        <v>5040</v>
      </c>
      <c r="S897" s="13">
        <f t="shared" si="54"/>
        <v>2660</v>
      </c>
      <c r="T897" s="14">
        <f t="shared" si="55"/>
        <v>0.34545454545454546</v>
      </c>
    </row>
    <row r="898" spans="1:20">
      <c r="A898" t="s">
        <v>1602</v>
      </c>
      <c r="B898" s="8">
        <v>46171</v>
      </c>
      <c r="C898" t="s">
        <v>399</v>
      </c>
      <c r="D898" t="s">
        <v>61</v>
      </c>
      <c r="E898" t="s">
        <v>715</v>
      </c>
      <c r="F898" t="s">
        <v>702</v>
      </c>
      <c r="G898">
        <v>8</v>
      </c>
      <c r="H898" s="9">
        <v>0.05</v>
      </c>
      <c r="I898" t="s">
        <v>703</v>
      </c>
      <c r="J898">
        <v>3</v>
      </c>
      <c r="K898">
        <v>6</v>
      </c>
      <c r="L898" t="str">
        <f>VLOOKUP(D898,Products!A:E,2,FALSE)</f>
        <v>Office Chair</v>
      </c>
      <c r="M898" t="str">
        <f>VLOOKUP(D898,Products!A:E,3,FALSE)</f>
        <v>Furniture</v>
      </c>
      <c r="N898">
        <f>VLOOKUP(D898,Products!A:E,4,FALSE)</f>
        <v>255</v>
      </c>
      <c r="O898" s="13">
        <f>VLOOKUP(D898,Products!A:E,5,FALSE)</f>
        <v>145</v>
      </c>
      <c r="P898" s="13" t="str">
        <f>VLOOKUP(C898,Customers!A:C,3,FALSE)</f>
        <v>Consumer</v>
      </c>
      <c r="Q898" s="13">
        <f t="shared" ref="Q898:Q961" si="56">G898*N898*(1-H898)</f>
        <v>1938</v>
      </c>
      <c r="R898" s="13">
        <f t="shared" ref="R898:R961" si="57">G898*O898</f>
        <v>1160</v>
      </c>
      <c r="S898" s="13">
        <f t="shared" ref="S898:S961" si="58">Q898-R898</f>
        <v>778</v>
      </c>
      <c r="T898" s="14">
        <f t="shared" ref="T898:T961" si="59">IFERROR(S898/Q898,0)</f>
        <v>0.40144478844169246</v>
      </c>
    </row>
    <row r="899" spans="1:20">
      <c r="A899" t="s">
        <v>1603</v>
      </c>
      <c r="B899" s="8">
        <v>45715</v>
      </c>
      <c r="C899" t="s">
        <v>311</v>
      </c>
      <c r="D899" t="s">
        <v>72</v>
      </c>
      <c r="E899" t="s">
        <v>705</v>
      </c>
      <c r="F899" t="s">
        <v>698</v>
      </c>
      <c r="G899">
        <v>3</v>
      </c>
      <c r="H899" s="9">
        <v>0.15</v>
      </c>
      <c r="I899" t="s">
        <v>699</v>
      </c>
      <c r="J899">
        <v>4</v>
      </c>
      <c r="K899">
        <v>3</v>
      </c>
      <c r="L899" t="str">
        <f>VLOOKUP(D899,Products!A:E,2,FALSE)</f>
        <v>Phone Charger</v>
      </c>
      <c r="M899" t="str">
        <f>VLOOKUP(D899,Products!A:E,3,FALSE)</f>
        <v>Accessories</v>
      </c>
      <c r="N899">
        <f>VLOOKUP(D899,Products!A:E,4,FALSE)</f>
        <v>32</v>
      </c>
      <c r="O899" s="13">
        <f>VLOOKUP(D899,Products!A:E,5,FALSE)</f>
        <v>13</v>
      </c>
      <c r="P899" s="13" t="str">
        <f>VLOOKUP(C899,Customers!A:C,3,FALSE)</f>
        <v>Corporate</v>
      </c>
      <c r="Q899" s="13">
        <f t="shared" si="56"/>
        <v>81.599999999999994</v>
      </c>
      <c r="R899" s="13">
        <f t="shared" si="57"/>
        <v>39</v>
      </c>
      <c r="S899" s="13">
        <f t="shared" si="58"/>
        <v>42.599999999999994</v>
      </c>
      <c r="T899" s="14">
        <f t="shared" si="59"/>
        <v>0.52205882352941169</v>
      </c>
    </row>
    <row r="900" spans="1:20">
      <c r="A900" t="s">
        <v>1604</v>
      </c>
      <c r="B900" s="8">
        <v>46072</v>
      </c>
      <c r="C900" t="s">
        <v>475</v>
      </c>
      <c r="D900" t="s">
        <v>56</v>
      </c>
      <c r="E900" t="s">
        <v>705</v>
      </c>
      <c r="F900" t="s">
        <v>702</v>
      </c>
      <c r="G900">
        <v>2</v>
      </c>
      <c r="H900" s="9">
        <v>0</v>
      </c>
      <c r="I900" t="s">
        <v>699</v>
      </c>
      <c r="J900">
        <v>4</v>
      </c>
      <c r="K900">
        <v>3</v>
      </c>
      <c r="L900" t="str">
        <f>VLOOKUP(D900,Products!A:E,2,FALSE)</f>
        <v>Headset</v>
      </c>
      <c r="M900" t="str">
        <f>VLOOKUP(D900,Products!A:E,3,FALSE)</f>
        <v>Technology</v>
      </c>
      <c r="N900">
        <f>VLOOKUP(D900,Products!A:E,4,FALSE)</f>
        <v>98</v>
      </c>
      <c r="O900" s="13">
        <f>VLOOKUP(D900,Products!A:E,5,FALSE)</f>
        <v>46</v>
      </c>
      <c r="P900" s="13" t="str">
        <f>VLOOKUP(C900,Customers!A:C,3,FALSE)</f>
        <v>Consumer</v>
      </c>
      <c r="Q900" s="13">
        <f t="shared" si="56"/>
        <v>196</v>
      </c>
      <c r="R900" s="13">
        <f t="shared" si="57"/>
        <v>92</v>
      </c>
      <c r="S900" s="13">
        <f t="shared" si="58"/>
        <v>104</v>
      </c>
      <c r="T900" s="14">
        <f t="shared" si="59"/>
        <v>0.53061224489795922</v>
      </c>
    </row>
    <row r="901" spans="1:20">
      <c r="A901" t="s">
        <v>1605</v>
      </c>
      <c r="B901" s="8">
        <v>45686</v>
      </c>
      <c r="C901" t="s">
        <v>331</v>
      </c>
      <c r="D901" t="s">
        <v>65</v>
      </c>
      <c r="E901" t="s">
        <v>705</v>
      </c>
      <c r="F901" t="s">
        <v>702</v>
      </c>
      <c r="G901">
        <v>1</v>
      </c>
      <c r="H901" s="9">
        <v>0</v>
      </c>
      <c r="I901" t="s">
        <v>699</v>
      </c>
      <c r="J901">
        <v>3</v>
      </c>
      <c r="K901">
        <v>2</v>
      </c>
      <c r="L901" t="str">
        <f>VLOOKUP(D901,Products!A:E,2,FALSE)</f>
        <v>Laptop Stand</v>
      </c>
      <c r="M901" t="str">
        <f>VLOOKUP(D901,Products!A:E,3,FALSE)</f>
        <v>Accessories</v>
      </c>
      <c r="N901">
        <f>VLOOKUP(D901,Products!A:E,4,FALSE)</f>
        <v>48</v>
      </c>
      <c r="O901" s="13">
        <f>VLOOKUP(D901,Products!A:E,5,FALSE)</f>
        <v>22</v>
      </c>
      <c r="P901" s="13" t="str">
        <f>VLOOKUP(C901,Customers!A:C,3,FALSE)</f>
        <v>Corporate</v>
      </c>
      <c r="Q901" s="13">
        <f t="shared" si="56"/>
        <v>48</v>
      </c>
      <c r="R901" s="13">
        <f t="shared" si="57"/>
        <v>22</v>
      </c>
      <c r="S901" s="13">
        <f t="shared" si="58"/>
        <v>26</v>
      </c>
      <c r="T901" s="14">
        <f t="shared" si="59"/>
        <v>0.54166666666666663</v>
      </c>
    </row>
    <row r="902" spans="1:20">
      <c r="A902" t="s">
        <v>1606</v>
      </c>
      <c r="B902" s="8">
        <v>45691</v>
      </c>
      <c r="C902" t="s">
        <v>333</v>
      </c>
      <c r="D902" t="s">
        <v>63</v>
      </c>
      <c r="E902" t="s">
        <v>705</v>
      </c>
      <c r="F902" t="s">
        <v>698</v>
      </c>
      <c r="G902">
        <v>1</v>
      </c>
      <c r="H902" s="9">
        <v>0.2</v>
      </c>
      <c r="I902" t="s">
        <v>699</v>
      </c>
      <c r="J902">
        <v>2</v>
      </c>
      <c r="K902">
        <v>4</v>
      </c>
      <c r="L902" t="str">
        <f>VLOOKUP(D902,Products!A:E,2,FALSE)</f>
        <v>Bookshelf</v>
      </c>
      <c r="M902" t="str">
        <f>VLOOKUP(D902,Products!A:E,3,FALSE)</f>
        <v>Furniture</v>
      </c>
      <c r="N902">
        <f>VLOOKUP(D902,Products!A:E,4,FALSE)</f>
        <v>185</v>
      </c>
      <c r="O902" s="13">
        <f>VLOOKUP(D902,Products!A:E,5,FALSE)</f>
        <v>105</v>
      </c>
      <c r="P902" s="13" t="str">
        <f>VLOOKUP(C902,Customers!A:C,3,FALSE)</f>
        <v>Corporate</v>
      </c>
      <c r="Q902" s="13">
        <f t="shared" si="56"/>
        <v>148</v>
      </c>
      <c r="R902" s="13">
        <f t="shared" si="57"/>
        <v>105</v>
      </c>
      <c r="S902" s="13">
        <f t="shared" si="58"/>
        <v>43</v>
      </c>
      <c r="T902" s="14">
        <f t="shared" si="59"/>
        <v>0.29054054054054052</v>
      </c>
    </row>
    <row r="903" spans="1:20">
      <c r="A903" t="s">
        <v>1607</v>
      </c>
      <c r="B903" s="8">
        <v>45666</v>
      </c>
      <c r="C903" t="s">
        <v>451</v>
      </c>
      <c r="D903" t="s">
        <v>65</v>
      </c>
      <c r="E903" t="s">
        <v>697</v>
      </c>
      <c r="F903" t="s">
        <v>698</v>
      </c>
      <c r="G903">
        <v>1</v>
      </c>
      <c r="H903" s="9">
        <v>0</v>
      </c>
      <c r="I903" t="s">
        <v>699</v>
      </c>
      <c r="J903">
        <v>3</v>
      </c>
      <c r="K903">
        <v>1</v>
      </c>
      <c r="L903" t="str">
        <f>VLOOKUP(D903,Products!A:E,2,FALSE)</f>
        <v>Laptop Stand</v>
      </c>
      <c r="M903" t="str">
        <f>VLOOKUP(D903,Products!A:E,3,FALSE)</f>
        <v>Accessories</v>
      </c>
      <c r="N903">
        <f>VLOOKUP(D903,Products!A:E,4,FALSE)</f>
        <v>48</v>
      </c>
      <c r="O903" s="13">
        <f>VLOOKUP(D903,Products!A:E,5,FALSE)</f>
        <v>22</v>
      </c>
      <c r="P903" s="13" t="str">
        <f>VLOOKUP(C903,Customers!A:C,3,FALSE)</f>
        <v>Small Business</v>
      </c>
      <c r="Q903" s="13">
        <f t="shared" si="56"/>
        <v>48</v>
      </c>
      <c r="R903" s="13">
        <f t="shared" si="57"/>
        <v>22</v>
      </c>
      <c r="S903" s="13">
        <f t="shared" si="58"/>
        <v>26</v>
      </c>
      <c r="T903" s="14">
        <f t="shared" si="59"/>
        <v>0.54166666666666663</v>
      </c>
    </row>
    <row r="904" spans="1:20">
      <c r="A904" t="s">
        <v>1608</v>
      </c>
      <c r="B904" s="8">
        <v>45997</v>
      </c>
      <c r="C904" t="s">
        <v>503</v>
      </c>
      <c r="D904" t="s">
        <v>52</v>
      </c>
      <c r="E904" t="s">
        <v>715</v>
      </c>
      <c r="F904" t="s">
        <v>698</v>
      </c>
      <c r="G904">
        <v>1</v>
      </c>
      <c r="H904" s="9">
        <v>0.1</v>
      </c>
      <c r="I904" t="s">
        <v>699</v>
      </c>
      <c r="J904">
        <v>5</v>
      </c>
      <c r="K904">
        <v>1</v>
      </c>
      <c r="L904" t="str">
        <f>VLOOKUP(D904,Products!A:E,2,FALSE)</f>
        <v>Mouse</v>
      </c>
      <c r="M904" t="str">
        <f>VLOOKUP(D904,Products!A:E,3,FALSE)</f>
        <v>Technology</v>
      </c>
      <c r="N904">
        <f>VLOOKUP(D904,Products!A:E,4,FALSE)</f>
        <v>42</v>
      </c>
      <c r="O904" s="13">
        <f>VLOOKUP(D904,Products!A:E,5,FALSE)</f>
        <v>19</v>
      </c>
      <c r="P904" s="13" t="str">
        <f>VLOOKUP(C904,Customers!A:C,3,FALSE)</f>
        <v>Consumer</v>
      </c>
      <c r="Q904" s="13">
        <f t="shared" si="56"/>
        <v>37.800000000000004</v>
      </c>
      <c r="R904" s="13">
        <f t="shared" si="57"/>
        <v>19</v>
      </c>
      <c r="S904" s="13">
        <f t="shared" si="58"/>
        <v>18.800000000000004</v>
      </c>
      <c r="T904" s="14">
        <f t="shared" si="59"/>
        <v>0.49735449735449744</v>
      </c>
    </row>
    <row r="905" spans="1:20">
      <c r="A905" t="s">
        <v>1609</v>
      </c>
      <c r="B905" s="8">
        <v>45955</v>
      </c>
      <c r="C905" t="s">
        <v>251</v>
      </c>
      <c r="D905" t="s">
        <v>54</v>
      </c>
      <c r="E905" t="s">
        <v>701</v>
      </c>
      <c r="F905" t="s">
        <v>702</v>
      </c>
      <c r="G905">
        <v>3</v>
      </c>
      <c r="H905" s="9">
        <v>0.2</v>
      </c>
      <c r="I905" t="s">
        <v>699</v>
      </c>
      <c r="J905">
        <v>3</v>
      </c>
      <c r="K905">
        <v>2</v>
      </c>
      <c r="L905" t="str">
        <f>VLOOKUP(D905,Products!A:E,2,FALSE)</f>
        <v>Webcam</v>
      </c>
      <c r="M905" t="str">
        <f>VLOOKUP(D905,Products!A:E,3,FALSE)</f>
        <v>Technology</v>
      </c>
      <c r="N905">
        <f>VLOOKUP(D905,Products!A:E,4,FALSE)</f>
        <v>115</v>
      </c>
      <c r="O905" s="13">
        <f>VLOOKUP(D905,Products!A:E,5,FALSE)</f>
        <v>58</v>
      </c>
      <c r="P905" s="13" t="str">
        <f>VLOOKUP(C905,Customers!A:C,3,FALSE)</f>
        <v>Corporate</v>
      </c>
      <c r="Q905" s="13">
        <f t="shared" si="56"/>
        <v>276</v>
      </c>
      <c r="R905" s="13">
        <f t="shared" si="57"/>
        <v>174</v>
      </c>
      <c r="S905" s="13">
        <f t="shared" si="58"/>
        <v>102</v>
      </c>
      <c r="T905" s="14">
        <f t="shared" si="59"/>
        <v>0.36956521739130432</v>
      </c>
    </row>
    <row r="906" spans="1:20">
      <c r="A906" t="s">
        <v>1610</v>
      </c>
      <c r="B906" s="8">
        <v>45822</v>
      </c>
      <c r="C906" t="s">
        <v>599</v>
      </c>
      <c r="D906" t="s">
        <v>68</v>
      </c>
      <c r="E906" t="s">
        <v>715</v>
      </c>
      <c r="F906" t="s">
        <v>702</v>
      </c>
      <c r="G906">
        <v>1</v>
      </c>
      <c r="H906" s="9">
        <v>0.05</v>
      </c>
      <c r="I906" t="s">
        <v>703</v>
      </c>
      <c r="J906">
        <v>2</v>
      </c>
      <c r="K906">
        <v>6</v>
      </c>
      <c r="L906" t="str">
        <f>VLOOKUP(D906,Products!A:E,2,FALSE)</f>
        <v>Backpack</v>
      </c>
      <c r="M906" t="str">
        <f>VLOOKUP(D906,Products!A:E,3,FALSE)</f>
        <v>Accessories</v>
      </c>
      <c r="N906">
        <f>VLOOKUP(D906,Products!A:E,4,FALSE)</f>
        <v>85</v>
      </c>
      <c r="O906" s="13">
        <f>VLOOKUP(D906,Products!A:E,5,FALSE)</f>
        <v>39</v>
      </c>
      <c r="P906" s="13" t="str">
        <f>VLOOKUP(C906,Customers!A:C,3,FALSE)</f>
        <v>Consumer</v>
      </c>
      <c r="Q906" s="13">
        <f t="shared" si="56"/>
        <v>80.75</v>
      </c>
      <c r="R906" s="13">
        <f t="shared" si="57"/>
        <v>39</v>
      </c>
      <c r="S906" s="13">
        <f t="shared" si="58"/>
        <v>41.75</v>
      </c>
      <c r="T906" s="14">
        <f t="shared" si="59"/>
        <v>0.51702786377708976</v>
      </c>
    </row>
    <row r="907" spans="1:20">
      <c r="A907" t="s">
        <v>1611</v>
      </c>
      <c r="B907" s="8">
        <v>45871</v>
      </c>
      <c r="C907" t="s">
        <v>163</v>
      </c>
      <c r="D907" t="s">
        <v>54</v>
      </c>
      <c r="E907" t="s">
        <v>715</v>
      </c>
      <c r="F907" t="s">
        <v>706</v>
      </c>
      <c r="G907">
        <v>1</v>
      </c>
      <c r="H907" s="9">
        <v>0</v>
      </c>
      <c r="I907" t="s">
        <v>699</v>
      </c>
      <c r="J907">
        <v>4</v>
      </c>
      <c r="K907">
        <v>1</v>
      </c>
      <c r="L907" t="str">
        <f>VLOOKUP(D907,Products!A:E,2,FALSE)</f>
        <v>Webcam</v>
      </c>
      <c r="M907" t="str">
        <f>VLOOKUP(D907,Products!A:E,3,FALSE)</f>
        <v>Technology</v>
      </c>
      <c r="N907">
        <f>VLOOKUP(D907,Products!A:E,4,FALSE)</f>
        <v>115</v>
      </c>
      <c r="O907" s="13">
        <f>VLOOKUP(D907,Products!A:E,5,FALSE)</f>
        <v>58</v>
      </c>
      <c r="P907" s="13" t="str">
        <f>VLOOKUP(C907,Customers!A:C,3,FALSE)</f>
        <v>Small Business</v>
      </c>
      <c r="Q907" s="13">
        <f t="shared" si="56"/>
        <v>115</v>
      </c>
      <c r="R907" s="13">
        <f t="shared" si="57"/>
        <v>58</v>
      </c>
      <c r="S907" s="13">
        <f t="shared" si="58"/>
        <v>57</v>
      </c>
      <c r="T907" s="14">
        <f t="shared" si="59"/>
        <v>0.4956521739130435</v>
      </c>
    </row>
    <row r="908" spans="1:20">
      <c r="A908" t="s">
        <v>1612</v>
      </c>
      <c r="B908" s="8">
        <v>46168</v>
      </c>
      <c r="C908" t="s">
        <v>183</v>
      </c>
      <c r="D908" t="s">
        <v>77</v>
      </c>
      <c r="E908" t="s">
        <v>708</v>
      </c>
      <c r="F908" t="s">
        <v>706</v>
      </c>
      <c r="G908">
        <v>1</v>
      </c>
      <c r="H908" s="9">
        <v>0</v>
      </c>
      <c r="I908" t="s">
        <v>699</v>
      </c>
      <c r="J908">
        <v>2</v>
      </c>
      <c r="K908">
        <v>6</v>
      </c>
      <c r="L908" t="str">
        <f>VLOOKUP(D908,Products!A:E,2,FALSE)</f>
        <v>File Folder Pack</v>
      </c>
      <c r="M908" t="str">
        <f>VLOOKUP(D908,Products!A:E,3,FALSE)</f>
        <v>Office Supplies</v>
      </c>
      <c r="N908">
        <f>VLOOKUP(D908,Products!A:E,4,FALSE)</f>
        <v>23</v>
      </c>
      <c r="O908" s="13">
        <f>VLOOKUP(D908,Products!A:E,5,FALSE)</f>
        <v>10</v>
      </c>
      <c r="P908" s="13" t="str">
        <f>VLOOKUP(C908,Customers!A:C,3,FALSE)</f>
        <v>Corporate</v>
      </c>
      <c r="Q908" s="13">
        <f t="shared" si="56"/>
        <v>23</v>
      </c>
      <c r="R908" s="13">
        <f t="shared" si="57"/>
        <v>10</v>
      </c>
      <c r="S908" s="13">
        <f t="shared" si="58"/>
        <v>13</v>
      </c>
      <c r="T908" s="14">
        <f t="shared" si="59"/>
        <v>0.56521739130434778</v>
      </c>
    </row>
    <row r="909" spans="1:20">
      <c r="A909" t="s">
        <v>1613</v>
      </c>
      <c r="B909" s="8">
        <v>45922</v>
      </c>
      <c r="C909" t="s">
        <v>571</v>
      </c>
      <c r="D909" t="s">
        <v>63</v>
      </c>
      <c r="E909" t="s">
        <v>701</v>
      </c>
      <c r="F909" t="s">
        <v>702</v>
      </c>
      <c r="G909">
        <v>6</v>
      </c>
      <c r="H909" s="9">
        <v>0.15</v>
      </c>
      <c r="I909" t="s">
        <v>703</v>
      </c>
      <c r="J909">
        <v>4</v>
      </c>
      <c r="K909">
        <v>6</v>
      </c>
      <c r="L909" t="str">
        <f>VLOOKUP(D909,Products!A:E,2,FALSE)</f>
        <v>Bookshelf</v>
      </c>
      <c r="M909" t="str">
        <f>VLOOKUP(D909,Products!A:E,3,FALSE)</f>
        <v>Furniture</v>
      </c>
      <c r="N909">
        <f>VLOOKUP(D909,Products!A:E,4,FALSE)</f>
        <v>185</v>
      </c>
      <c r="O909" s="13">
        <f>VLOOKUP(D909,Products!A:E,5,FALSE)</f>
        <v>105</v>
      </c>
      <c r="P909" s="13" t="str">
        <f>VLOOKUP(C909,Customers!A:C,3,FALSE)</f>
        <v>Corporate</v>
      </c>
      <c r="Q909" s="13">
        <f t="shared" si="56"/>
        <v>943.5</v>
      </c>
      <c r="R909" s="13">
        <f t="shared" si="57"/>
        <v>630</v>
      </c>
      <c r="S909" s="13">
        <f t="shared" si="58"/>
        <v>313.5</v>
      </c>
      <c r="T909" s="14">
        <f t="shared" si="59"/>
        <v>0.33227344992050872</v>
      </c>
    </row>
    <row r="910" spans="1:20">
      <c r="A910" t="s">
        <v>1614</v>
      </c>
      <c r="B910" s="8">
        <v>46068</v>
      </c>
      <c r="C910" t="s">
        <v>505</v>
      </c>
      <c r="D910" t="s">
        <v>54</v>
      </c>
      <c r="E910" t="s">
        <v>715</v>
      </c>
      <c r="F910" t="s">
        <v>698</v>
      </c>
      <c r="G910">
        <v>3</v>
      </c>
      <c r="H910" s="9">
        <v>0</v>
      </c>
      <c r="I910" t="s">
        <v>699</v>
      </c>
      <c r="J910">
        <v>4</v>
      </c>
      <c r="K910">
        <v>4</v>
      </c>
      <c r="L910" t="str">
        <f>VLOOKUP(D910,Products!A:E,2,FALSE)</f>
        <v>Webcam</v>
      </c>
      <c r="M910" t="str">
        <f>VLOOKUP(D910,Products!A:E,3,FALSE)</f>
        <v>Technology</v>
      </c>
      <c r="N910">
        <f>VLOOKUP(D910,Products!A:E,4,FALSE)</f>
        <v>115</v>
      </c>
      <c r="O910" s="13">
        <f>VLOOKUP(D910,Products!A:E,5,FALSE)</f>
        <v>58</v>
      </c>
      <c r="P910" s="13" t="str">
        <f>VLOOKUP(C910,Customers!A:C,3,FALSE)</f>
        <v>Small Business</v>
      </c>
      <c r="Q910" s="13">
        <f t="shared" si="56"/>
        <v>345</v>
      </c>
      <c r="R910" s="13">
        <f t="shared" si="57"/>
        <v>174</v>
      </c>
      <c r="S910" s="13">
        <f t="shared" si="58"/>
        <v>171</v>
      </c>
      <c r="T910" s="14">
        <f t="shared" si="59"/>
        <v>0.4956521739130435</v>
      </c>
    </row>
    <row r="911" spans="1:20">
      <c r="A911" t="s">
        <v>1615</v>
      </c>
      <c r="B911" s="8">
        <v>45927</v>
      </c>
      <c r="C911" t="s">
        <v>129</v>
      </c>
      <c r="D911" t="s">
        <v>48</v>
      </c>
      <c r="E911" t="s">
        <v>701</v>
      </c>
      <c r="F911" t="s">
        <v>702</v>
      </c>
      <c r="G911">
        <v>5</v>
      </c>
      <c r="H911" s="9">
        <v>0</v>
      </c>
      <c r="I911" t="s">
        <v>699</v>
      </c>
      <c r="J911">
        <v>4</v>
      </c>
      <c r="K911">
        <v>2</v>
      </c>
      <c r="L911" t="str">
        <f>VLOOKUP(D911,Products!A:E,2,FALSE)</f>
        <v>Monitor</v>
      </c>
      <c r="M911" t="str">
        <f>VLOOKUP(D911,Products!A:E,3,FALSE)</f>
        <v>Technology</v>
      </c>
      <c r="N911">
        <f>VLOOKUP(D911,Products!A:E,4,FALSE)</f>
        <v>310</v>
      </c>
      <c r="O911" s="13">
        <f>VLOOKUP(D911,Products!A:E,5,FALSE)</f>
        <v>190</v>
      </c>
      <c r="P911" s="13" t="str">
        <f>VLOOKUP(C911,Customers!A:C,3,FALSE)</f>
        <v>Corporate</v>
      </c>
      <c r="Q911" s="13">
        <f t="shared" si="56"/>
        <v>1550</v>
      </c>
      <c r="R911" s="13">
        <f t="shared" si="57"/>
        <v>950</v>
      </c>
      <c r="S911" s="13">
        <f t="shared" si="58"/>
        <v>600</v>
      </c>
      <c r="T911" s="14">
        <f t="shared" si="59"/>
        <v>0.38709677419354838</v>
      </c>
    </row>
    <row r="912" spans="1:20">
      <c r="A912" t="s">
        <v>1616</v>
      </c>
      <c r="B912" s="8">
        <v>46241</v>
      </c>
      <c r="C912" t="s">
        <v>495</v>
      </c>
      <c r="D912" t="s">
        <v>50</v>
      </c>
      <c r="E912" t="s">
        <v>708</v>
      </c>
      <c r="F912" t="s">
        <v>706</v>
      </c>
      <c r="G912">
        <v>3</v>
      </c>
      <c r="H912" s="9">
        <v>0</v>
      </c>
      <c r="I912" t="s">
        <v>699</v>
      </c>
      <c r="J912">
        <v>4</v>
      </c>
      <c r="K912">
        <v>4</v>
      </c>
      <c r="L912" t="str">
        <f>VLOOKUP(D912,Products!A:E,2,FALSE)</f>
        <v>Keyboard</v>
      </c>
      <c r="M912" t="str">
        <f>VLOOKUP(D912,Products!A:E,3,FALSE)</f>
        <v>Technology</v>
      </c>
      <c r="N912">
        <f>VLOOKUP(D912,Products!A:E,4,FALSE)</f>
        <v>75</v>
      </c>
      <c r="O912" s="13">
        <f>VLOOKUP(D912,Products!A:E,5,FALSE)</f>
        <v>38</v>
      </c>
      <c r="P912" s="13" t="str">
        <f>VLOOKUP(C912,Customers!A:C,3,FALSE)</f>
        <v>Consumer</v>
      </c>
      <c r="Q912" s="13">
        <f t="shared" si="56"/>
        <v>225</v>
      </c>
      <c r="R912" s="13">
        <f t="shared" si="57"/>
        <v>114</v>
      </c>
      <c r="S912" s="13">
        <f t="shared" si="58"/>
        <v>111</v>
      </c>
      <c r="T912" s="14">
        <f t="shared" si="59"/>
        <v>0.49333333333333335</v>
      </c>
    </row>
    <row r="913" spans="1:20">
      <c r="A913" t="s">
        <v>1617</v>
      </c>
      <c r="B913" s="8">
        <v>45769</v>
      </c>
      <c r="C913" t="s">
        <v>173</v>
      </c>
      <c r="D913" t="s">
        <v>56</v>
      </c>
      <c r="E913" t="s">
        <v>701</v>
      </c>
      <c r="F913" t="s">
        <v>706</v>
      </c>
      <c r="G913">
        <v>6</v>
      </c>
      <c r="H913" s="9">
        <v>0.1</v>
      </c>
      <c r="I913" t="s">
        <v>699</v>
      </c>
      <c r="J913">
        <v>4</v>
      </c>
      <c r="K913">
        <v>3</v>
      </c>
      <c r="L913" t="str">
        <f>VLOOKUP(D913,Products!A:E,2,FALSE)</f>
        <v>Headset</v>
      </c>
      <c r="M913" t="str">
        <f>VLOOKUP(D913,Products!A:E,3,FALSE)</f>
        <v>Technology</v>
      </c>
      <c r="N913">
        <f>VLOOKUP(D913,Products!A:E,4,FALSE)</f>
        <v>98</v>
      </c>
      <c r="O913" s="13">
        <f>VLOOKUP(D913,Products!A:E,5,FALSE)</f>
        <v>46</v>
      </c>
      <c r="P913" s="13" t="str">
        <f>VLOOKUP(C913,Customers!A:C,3,FALSE)</f>
        <v>Consumer</v>
      </c>
      <c r="Q913" s="13">
        <f t="shared" si="56"/>
        <v>529.20000000000005</v>
      </c>
      <c r="R913" s="13">
        <f t="shared" si="57"/>
        <v>276</v>
      </c>
      <c r="S913" s="13">
        <f t="shared" si="58"/>
        <v>253.20000000000005</v>
      </c>
      <c r="T913" s="14">
        <f t="shared" si="59"/>
        <v>0.47845804988662138</v>
      </c>
    </row>
    <row r="914" spans="1:20">
      <c r="A914" t="s">
        <v>1618</v>
      </c>
      <c r="B914" s="8">
        <v>46008</v>
      </c>
      <c r="C914" t="s">
        <v>583</v>
      </c>
      <c r="D914" t="s">
        <v>58</v>
      </c>
      <c r="E914" t="s">
        <v>701</v>
      </c>
      <c r="F914" t="s">
        <v>702</v>
      </c>
      <c r="G914">
        <v>1</v>
      </c>
      <c r="H914" s="9">
        <v>0</v>
      </c>
      <c r="I914" t="s">
        <v>699</v>
      </c>
      <c r="J914">
        <v>4</v>
      </c>
      <c r="K914">
        <v>2</v>
      </c>
      <c r="L914" t="str">
        <f>VLOOKUP(D914,Products!A:E,2,FALSE)</f>
        <v>Standing Desk</v>
      </c>
      <c r="M914" t="str">
        <f>VLOOKUP(D914,Products!A:E,3,FALSE)</f>
        <v>Furniture</v>
      </c>
      <c r="N914">
        <f>VLOOKUP(D914,Products!A:E,4,FALSE)</f>
        <v>540</v>
      </c>
      <c r="O914" s="13">
        <f>VLOOKUP(D914,Products!A:E,5,FALSE)</f>
        <v>320</v>
      </c>
      <c r="P914" s="13" t="str">
        <f>VLOOKUP(C914,Customers!A:C,3,FALSE)</f>
        <v>Corporate</v>
      </c>
      <c r="Q914" s="13">
        <f t="shared" si="56"/>
        <v>540</v>
      </c>
      <c r="R914" s="13">
        <f t="shared" si="57"/>
        <v>320</v>
      </c>
      <c r="S914" s="13">
        <f t="shared" si="58"/>
        <v>220</v>
      </c>
      <c r="T914" s="14">
        <f t="shared" si="59"/>
        <v>0.40740740740740738</v>
      </c>
    </row>
    <row r="915" spans="1:20">
      <c r="A915" t="s">
        <v>1619</v>
      </c>
      <c r="B915" s="8">
        <v>45985</v>
      </c>
      <c r="C915" t="s">
        <v>667</v>
      </c>
      <c r="D915" t="s">
        <v>48</v>
      </c>
      <c r="E915" t="s">
        <v>697</v>
      </c>
      <c r="F915" t="s">
        <v>698</v>
      </c>
      <c r="G915">
        <v>1</v>
      </c>
      <c r="H915" s="9">
        <v>0.1</v>
      </c>
      <c r="I915" t="s">
        <v>699</v>
      </c>
      <c r="J915">
        <v>5</v>
      </c>
      <c r="K915">
        <v>2</v>
      </c>
      <c r="L915" t="str">
        <f>VLOOKUP(D915,Products!A:E,2,FALSE)</f>
        <v>Monitor</v>
      </c>
      <c r="M915" t="str">
        <f>VLOOKUP(D915,Products!A:E,3,FALSE)</f>
        <v>Technology</v>
      </c>
      <c r="N915">
        <f>VLOOKUP(D915,Products!A:E,4,FALSE)</f>
        <v>310</v>
      </c>
      <c r="O915" s="13">
        <f>VLOOKUP(D915,Products!A:E,5,FALSE)</f>
        <v>190</v>
      </c>
      <c r="P915" s="13" t="str">
        <f>VLOOKUP(C915,Customers!A:C,3,FALSE)</f>
        <v>Consumer</v>
      </c>
      <c r="Q915" s="13">
        <f t="shared" si="56"/>
        <v>279</v>
      </c>
      <c r="R915" s="13">
        <f t="shared" si="57"/>
        <v>190</v>
      </c>
      <c r="S915" s="13">
        <f t="shared" si="58"/>
        <v>89</v>
      </c>
      <c r="T915" s="14">
        <f t="shared" si="59"/>
        <v>0.31899641577060933</v>
      </c>
    </row>
    <row r="916" spans="1:20">
      <c r="A916" t="s">
        <v>1620</v>
      </c>
      <c r="B916" s="8">
        <v>45713</v>
      </c>
      <c r="C916" t="s">
        <v>303</v>
      </c>
      <c r="D916" t="s">
        <v>45</v>
      </c>
      <c r="E916" t="s">
        <v>697</v>
      </c>
      <c r="F916" t="s">
        <v>698</v>
      </c>
      <c r="G916">
        <v>1</v>
      </c>
      <c r="H916" s="9">
        <v>0.05</v>
      </c>
      <c r="I916" t="s">
        <v>699</v>
      </c>
      <c r="J916">
        <v>2</v>
      </c>
      <c r="K916">
        <v>5</v>
      </c>
      <c r="L916" t="str">
        <f>VLOOKUP(D916,Products!A:E,2,FALSE)</f>
        <v>Laptop</v>
      </c>
      <c r="M916" t="str">
        <f>VLOOKUP(D916,Products!A:E,3,FALSE)</f>
        <v>Technology</v>
      </c>
      <c r="N916">
        <f>VLOOKUP(D916,Products!A:E,4,FALSE)</f>
        <v>1100</v>
      </c>
      <c r="O916" s="13">
        <f>VLOOKUP(D916,Products!A:E,5,FALSE)</f>
        <v>720</v>
      </c>
      <c r="P916" s="13" t="str">
        <f>VLOOKUP(C916,Customers!A:C,3,FALSE)</f>
        <v>Consumer</v>
      </c>
      <c r="Q916" s="13">
        <f t="shared" si="56"/>
        <v>1045</v>
      </c>
      <c r="R916" s="13">
        <f t="shared" si="57"/>
        <v>720</v>
      </c>
      <c r="S916" s="13">
        <f t="shared" si="58"/>
        <v>325</v>
      </c>
      <c r="T916" s="14">
        <f t="shared" si="59"/>
        <v>0.31100478468899523</v>
      </c>
    </row>
    <row r="917" spans="1:20">
      <c r="A917" t="s">
        <v>1621</v>
      </c>
      <c r="B917" s="8">
        <v>45963</v>
      </c>
      <c r="C917" t="s">
        <v>549</v>
      </c>
      <c r="D917" t="s">
        <v>74</v>
      </c>
      <c r="E917" t="s">
        <v>715</v>
      </c>
      <c r="F917" t="s">
        <v>698</v>
      </c>
      <c r="G917">
        <v>1</v>
      </c>
      <c r="H917" s="9">
        <v>0.15</v>
      </c>
      <c r="I917" t="s">
        <v>699</v>
      </c>
      <c r="J917">
        <v>5</v>
      </c>
      <c r="K917">
        <v>3</v>
      </c>
      <c r="L917" t="str">
        <f>VLOOKUP(D917,Products!A:E,2,FALSE)</f>
        <v>Printer Paper</v>
      </c>
      <c r="M917" t="str">
        <f>VLOOKUP(D917,Products!A:E,3,FALSE)</f>
        <v>Office Supplies</v>
      </c>
      <c r="N917">
        <f>VLOOKUP(D917,Products!A:E,4,FALSE)</f>
        <v>17</v>
      </c>
      <c r="O917" s="13">
        <f>VLOOKUP(D917,Products!A:E,5,FALSE)</f>
        <v>8</v>
      </c>
      <c r="P917" s="13" t="str">
        <f>VLOOKUP(C917,Customers!A:C,3,FALSE)</f>
        <v>Consumer</v>
      </c>
      <c r="Q917" s="13">
        <f t="shared" si="56"/>
        <v>14.45</v>
      </c>
      <c r="R917" s="13">
        <f t="shared" si="57"/>
        <v>8</v>
      </c>
      <c r="S917" s="13">
        <f t="shared" si="58"/>
        <v>6.4499999999999993</v>
      </c>
      <c r="T917" s="14">
        <f t="shared" si="59"/>
        <v>0.44636678200692037</v>
      </c>
    </row>
    <row r="918" spans="1:20">
      <c r="A918" t="s">
        <v>1622</v>
      </c>
      <c r="B918" s="8">
        <v>45962</v>
      </c>
      <c r="C918" t="s">
        <v>255</v>
      </c>
      <c r="D918" t="s">
        <v>58</v>
      </c>
      <c r="E918" t="s">
        <v>708</v>
      </c>
      <c r="F918" t="s">
        <v>702</v>
      </c>
      <c r="G918">
        <v>2</v>
      </c>
      <c r="H918" s="9">
        <v>0.1</v>
      </c>
      <c r="I918" t="s">
        <v>699</v>
      </c>
      <c r="J918">
        <v>5</v>
      </c>
      <c r="K918">
        <v>3</v>
      </c>
      <c r="L918" t="str">
        <f>VLOOKUP(D918,Products!A:E,2,FALSE)</f>
        <v>Standing Desk</v>
      </c>
      <c r="M918" t="str">
        <f>VLOOKUP(D918,Products!A:E,3,FALSE)</f>
        <v>Furniture</v>
      </c>
      <c r="N918">
        <f>VLOOKUP(D918,Products!A:E,4,FALSE)</f>
        <v>540</v>
      </c>
      <c r="O918" s="13">
        <f>VLOOKUP(D918,Products!A:E,5,FALSE)</f>
        <v>320</v>
      </c>
      <c r="P918" s="13" t="str">
        <f>VLOOKUP(C918,Customers!A:C,3,FALSE)</f>
        <v>Consumer</v>
      </c>
      <c r="Q918" s="13">
        <f t="shared" si="56"/>
        <v>972</v>
      </c>
      <c r="R918" s="13">
        <f t="shared" si="57"/>
        <v>640</v>
      </c>
      <c r="S918" s="13">
        <f t="shared" si="58"/>
        <v>332</v>
      </c>
      <c r="T918" s="14">
        <f t="shared" si="59"/>
        <v>0.34156378600823045</v>
      </c>
    </row>
    <row r="919" spans="1:20">
      <c r="A919" t="s">
        <v>1623</v>
      </c>
      <c r="B919" s="8">
        <v>46242</v>
      </c>
      <c r="C919" t="s">
        <v>485</v>
      </c>
      <c r="D919" t="s">
        <v>45</v>
      </c>
      <c r="E919" t="s">
        <v>715</v>
      </c>
      <c r="F919" t="s">
        <v>706</v>
      </c>
      <c r="G919">
        <v>1</v>
      </c>
      <c r="H919" s="9">
        <v>0.1</v>
      </c>
      <c r="I919" t="s">
        <v>699</v>
      </c>
      <c r="J919">
        <v>3</v>
      </c>
      <c r="K919">
        <v>3</v>
      </c>
      <c r="L919" t="str">
        <f>VLOOKUP(D919,Products!A:E,2,FALSE)</f>
        <v>Laptop</v>
      </c>
      <c r="M919" t="str">
        <f>VLOOKUP(D919,Products!A:E,3,FALSE)</f>
        <v>Technology</v>
      </c>
      <c r="N919">
        <f>VLOOKUP(D919,Products!A:E,4,FALSE)</f>
        <v>1100</v>
      </c>
      <c r="O919" s="13">
        <f>VLOOKUP(D919,Products!A:E,5,FALSE)</f>
        <v>720</v>
      </c>
      <c r="P919" s="13" t="str">
        <f>VLOOKUP(C919,Customers!A:C,3,FALSE)</f>
        <v>Small Business</v>
      </c>
      <c r="Q919" s="13">
        <f t="shared" si="56"/>
        <v>990</v>
      </c>
      <c r="R919" s="13">
        <f t="shared" si="57"/>
        <v>720</v>
      </c>
      <c r="S919" s="13">
        <f t="shared" si="58"/>
        <v>270</v>
      </c>
      <c r="T919" s="14">
        <f t="shared" si="59"/>
        <v>0.27272727272727271</v>
      </c>
    </row>
    <row r="920" spans="1:20">
      <c r="A920" t="s">
        <v>1624</v>
      </c>
      <c r="B920" s="8">
        <v>45672</v>
      </c>
      <c r="C920" t="s">
        <v>241</v>
      </c>
      <c r="D920" t="s">
        <v>77</v>
      </c>
      <c r="E920" t="s">
        <v>697</v>
      </c>
      <c r="F920" t="s">
        <v>698</v>
      </c>
      <c r="G920">
        <v>1</v>
      </c>
      <c r="H920" s="9">
        <v>0.1</v>
      </c>
      <c r="I920" t="s">
        <v>699</v>
      </c>
      <c r="J920">
        <v>4</v>
      </c>
      <c r="K920">
        <v>1</v>
      </c>
      <c r="L920" t="str">
        <f>VLOOKUP(D920,Products!A:E,2,FALSE)</f>
        <v>File Folder Pack</v>
      </c>
      <c r="M920" t="str">
        <f>VLOOKUP(D920,Products!A:E,3,FALSE)</f>
        <v>Office Supplies</v>
      </c>
      <c r="N920">
        <f>VLOOKUP(D920,Products!A:E,4,FALSE)</f>
        <v>23</v>
      </c>
      <c r="O920" s="13">
        <f>VLOOKUP(D920,Products!A:E,5,FALSE)</f>
        <v>10</v>
      </c>
      <c r="P920" s="13" t="str">
        <f>VLOOKUP(C920,Customers!A:C,3,FALSE)</f>
        <v>Consumer</v>
      </c>
      <c r="Q920" s="13">
        <f t="shared" si="56"/>
        <v>20.7</v>
      </c>
      <c r="R920" s="13">
        <f t="shared" si="57"/>
        <v>10</v>
      </c>
      <c r="S920" s="13">
        <f t="shared" si="58"/>
        <v>10.7</v>
      </c>
      <c r="T920" s="14">
        <f t="shared" si="59"/>
        <v>0.51690821256038644</v>
      </c>
    </row>
    <row r="921" spans="1:20">
      <c r="A921" t="s">
        <v>1625</v>
      </c>
      <c r="B921" s="8">
        <v>46119</v>
      </c>
      <c r="C921" t="s">
        <v>215</v>
      </c>
      <c r="D921" t="s">
        <v>77</v>
      </c>
      <c r="E921" t="s">
        <v>701</v>
      </c>
      <c r="F921" t="s">
        <v>698</v>
      </c>
      <c r="G921">
        <v>1</v>
      </c>
      <c r="H921" s="9">
        <v>0.1</v>
      </c>
      <c r="I921" t="s">
        <v>699</v>
      </c>
      <c r="J921">
        <v>5</v>
      </c>
      <c r="K921">
        <v>2</v>
      </c>
      <c r="L921" t="str">
        <f>VLOOKUP(D921,Products!A:E,2,FALSE)</f>
        <v>File Folder Pack</v>
      </c>
      <c r="M921" t="str">
        <f>VLOOKUP(D921,Products!A:E,3,FALSE)</f>
        <v>Office Supplies</v>
      </c>
      <c r="N921">
        <f>VLOOKUP(D921,Products!A:E,4,FALSE)</f>
        <v>23</v>
      </c>
      <c r="O921" s="13">
        <f>VLOOKUP(D921,Products!A:E,5,FALSE)</f>
        <v>10</v>
      </c>
      <c r="P921" s="13" t="str">
        <f>VLOOKUP(C921,Customers!A:C,3,FALSE)</f>
        <v>Small Business</v>
      </c>
      <c r="Q921" s="13">
        <f t="shared" si="56"/>
        <v>20.7</v>
      </c>
      <c r="R921" s="13">
        <f t="shared" si="57"/>
        <v>10</v>
      </c>
      <c r="S921" s="13">
        <f t="shared" si="58"/>
        <v>10.7</v>
      </c>
      <c r="T921" s="14">
        <f t="shared" si="59"/>
        <v>0.51690821256038644</v>
      </c>
    </row>
    <row r="922" spans="1:20">
      <c r="A922" t="s">
        <v>1626</v>
      </c>
      <c r="B922" s="8">
        <v>46044</v>
      </c>
      <c r="C922" t="s">
        <v>307</v>
      </c>
      <c r="D922" t="s">
        <v>70</v>
      </c>
      <c r="E922" t="s">
        <v>705</v>
      </c>
      <c r="F922" t="s">
        <v>702</v>
      </c>
      <c r="G922">
        <v>3</v>
      </c>
      <c r="H922" s="9">
        <v>0.2</v>
      </c>
      <c r="I922" t="s">
        <v>699</v>
      </c>
      <c r="J922">
        <v>4</v>
      </c>
      <c r="K922">
        <v>3</v>
      </c>
      <c r="L922" t="str">
        <f>VLOOKUP(D922,Products!A:E,2,FALSE)</f>
        <v>USB-C Hub</v>
      </c>
      <c r="M922" t="str">
        <f>VLOOKUP(D922,Products!A:E,3,FALSE)</f>
        <v>Accessories</v>
      </c>
      <c r="N922">
        <f>VLOOKUP(D922,Products!A:E,4,FALSE)</f>
        <v>68</v>
      </c>
      <c r="O922" s="13">
        <f>VLOOKUP(D922,Products!A:E,5,FALSE)</f>
        <v>31</v>
      </c>
      <c r="P922" s="13" t="str">
        <f>VLOOKUP(C922,Customers!A:C,3,FALSE)</f>
        <v>Small Business</v>
      </c>
      <c r="Q922" s="13">
        <f t="shared" si="56"/>
        <v>163.20000000000002</v>
      </c>
      <c r="R922" s="13">
        <f t="shared" si="57"/>
        <v>93</v>
      </c>
      <c r="S922" s="13">
        <f t="shared" si="58"/>
        <v>70.200000000000017</v>
      </c>
      <c r="T922" s="14">
        <f t="shared" si="59"/>
        <v>0.43014705882352949</v>
      </c>
    </row>
    <row r="923" spans="1:20">
      <c r="A923" t="s">
        <v>1627</v>
      </c>
      <c r="B923" s="8">
        <v>45972</v>
      </c>
      <c r="C923" t="s">
        <v>601</v>
      </c>
      <c r="D923" t="s">
        <v>52</v>
      </c>
      <c r="E923" t="s">
        <v>701</v>
      </c>
      <c r="F923" t="s">
        <v>698</v>
      </c>
      <c r="G923">
        <v>2</v>
      </c>
      <c r="H923" s="9">
        <v>0</v>
      </c>
      <c r="I923" t="s">
        <v>699</v>
      </c>
      <c r="J923">
        <v>4</v>
      </c>
      <c r="K923">
        <v>5</v>
      </c>
      <c r="L923" t="str">
        <f>VLOOKUP(D923,Products!A:E,2,FALSE)</f>
        <v>Mouse</v>
      </c>
      <c r="M923" t="str">
        <f>VLOOKUP(D923,Products!A:E,3,FALSE)</f>
        <v>Technology</v>
      </c>
      <c r="N923">
        <f>VLOOKUP(D923,Products!A:E,4,FALSE)</f>
        <v>42</v>
      </c>
      <c r="O923" s="13">
        <f>VLOOKUP(D923,Products!A:E,5,FALSE)</f>
        <v>19</v>
      </c>
      <c r="P923" s="13" t="str">
        <f>VLOOKUP(C923,Customers!A:C,3,FALSE)</f>
        <v>Consumer</v>
      </c>
      <c r="Q923" s="13">
        <f t="shared" si="56"/>
        <v>84</v>
      </c>
      <c r="R923" s="13">
        <f t="shared" si="57"/>
        <v>38</v>
      </c>
      <c r="S923" s="13">
        <f t="shared" si="58"/>
        <v>46</v>
      </c>
      <c r="T923" s="14">
        <f t="shared" si="59"/>
        <v>0.54761904761904767</v>
      </c>
    </row>
    <row r="924" spans="1:20">
      <c r="A924" t="s">
        <v>1628</v>
      </c>
      <c r="B924" s="8">
        <v>46001</v>
      </c>
      <c r="C924" t="s">
        <v>203</v>
      </c>
      <c r="D924" t="s">
        <v>56</v>
      </c>
      <c r="E924" t="s">
        <v>715</v>
      </c>
      <c r="F924" t="s">
        <v>702</v>
      </c>
      <c r="G924">
        <v>3</v>
      </c>
      <c r="H924" s="9">
        <v>0</v>
      </c>
      <c r="I924" t="s">
        <v>699</v>
      </c>
      <c r="J924">
        <v>4</v>
      </c>
      <c r="K924">
        <v>4</v>
      </c>
      <c r="L924" t="str">
        <f>VLOOKUP(D924,Products!A:E,2,FALSE)</f>
        <v>Headset</v>
      </c>
      <c r="M924" t="str">
        <f>VLOOKUP(D924,Products!A:E,3,FALSE)</f>
        <v>Technology</v>
      </c>
      <c r="N924">
        <f>VLOOKUP(D924,Products!A:E,4,FALSE)</f>
        <v>98</v>
      </c>
      <c r="O924" s="13">
        <f>VLOOKUP(D924,Products!A:E,5,FALSE)</f>
        <v>46</v>
      </c>
      <c r="P924" s="13" t="str">
        <f>VLOOKUP(C924,Customers!A:C,3,FALSE)</f>
        <v>Consumer</v>
      </c>
      <c r="Q924" s="13">
        <f t="shared" si="56"/>
        <v>294</v>
      </c>
      <c r="R924" s="13">
        <f t="shared" si="57"/>
        <v>138</v>
      </c>
      <c r="S924" s="13">
        <f t="shared" si="58"/>
        <v>156</v>
      </c>
      <c r="T924" s="14">
        <f t="shared" si="59"/>
        <v>0.53061224489795922</v>
      </c>
    </row>
    <row r="925" spans="1:20">
      <c r="A925" t="s">
        <v>1629</v>
      </c>
      <c r="B925" s="8">
        <v>45948</v>
      </c>
      <c r="C925" t="s">
        <v>187</v>
      </c>
      <c r="D925" t="s">
        <v>50</v>
      </c>
      <c r="E925" t="s">
        <v>697</v>
      </c>
      <c r="F925" t="s">
        <v>702</v>
      </c>
      <c r="G925">
        <v>3</v>
      </c>
      <c r="H925" s="9">
        <v>0.05</v>
      </c>
      <c r="I925" t="s">
        <v>699</v>
      </c>
      <c r="J925">
        <v>4</v>
      </c>
      <c r="K925">
        <v>5</v>
      </c>
      <c r="L925" t="str">
        <f>VLOOKUP(D925,Products!A:E,2,FALSE)</f>
        <v>Keyboard</v>
      </c>
      <c r="M925" t="str">
        <f>VLOOKUP(D925,Products!A:E,3,FALSE)</f>
        <v>Technology</v>
      </c>
      <c r="N925">
        <f>VLOOKUP(D925,Products!A:E,4,FALSE)</f>
        <v>75</v>
      </c>
      <c r="O925" s="13">
        <f>VLOOKUP(D925,Products!A:E,5,FALSE)</f>
        <v>38</v>
      </c>
      <c r="P925" s="13" t="str">
        <f>VLOOKUP(C925,Customers!A:C,3,FALSE)</f>
        <v>Consumer</v>
      </c>
      <c r="Q925" s="13">
        <f t="shared" si="56"/>
        <v>213.75</v>
      </c>
      <c r="R925" s="13">
        <f t="shared" si="57"/>
        <v>114</v>
      </c>
      <c r="S925" s="13">
        <f t="shared" si="58"/>
        <v>99.75</v>
      </c>
      <c r="T925" s="14">
        <f t="shared" si="59"/>
        <v>0.46666666666666667</v>
      </c>
    </row>
    <row r="926" spans="1:20">
      <c r="A926" t="s">
        <v>1630</v>
      </c>
      <c r="B926" s="8">
        <v>46215</v>
      </c>
      <c r="C926" t="s">
        <v>189</v>
      </c>
      <c r="D926" t="s">
        <v>77</v>
      </c>
      <c r="E926" t="s">
        <v>715</v>
      </c>
      <c r="F926" t="s">
        <v>698</v>
      </c>
      <c r="G926">
        <v>3</v>
      </c>
      <c r="H926" s="9">
        <v>0.15</v>
      </c>
      <c r="I926" t="s">
        <v>699</v>
      </c>
      <c r="J926">
        <v>5</v>
      </c>
      <c r="K926">
        <v>5</v>
      </c>
      <c r="L926" t="str">
        <f>VLOOKUP(D926,Products!A:E,2,FALSE)</f>
        <v>File Folder Pack</v>
      </c>
      <c r="M926" t="str">
        <f>VLOOKUP(D926,Products!A:E,3,FALSE)</f>
        <v>Office Supplies</v>
      </c>
      <c r="N926">
        <f>VLOOKUP(D926,Products!A:E,4,FALSE)</f>
        <v>23</v>
      </c>
      <c r="O926" s="13">
        <f>VLOOKUP(D926,Products!A:E,5,FALSE)</f>
        <v>10</v>
      </c>
      <c r="P926" s="13" t="str">
        <f>VLOOKUP(C926,Customers!A:C,3,FALSE)</f>
        <v>Consumer</v>
      </c>
      <c r="Q926" s="13">
        <f t="shared" si="56"/>
        <v>58.65</v>
      </c>
      <c r="R926" s="13">
        <f t="shared" si="57"/>
        <v>30</v>
      </c>
      <c r="S926" s="13">
        <f t="shared" si="58"/>
        <v>28.65</v>
      </c>
      <c r="T926" s="14">
        <f t="shared" si="59"/>
        <v>0.48849104859335035</v>
      </c>
    </row>
    <row r="927" spans="1:20">
      <c r="A927" t="s">
        <v>1631</v>
      </c>
      <c r="B927" s="8">
        <v>46048</v>
      </c>
      <c r="C927" t="s">
        <v>203</v>
      </c>
      <c r="D927" t="s">
        <v>58</v>
      </c>
      <c r="E927" t="s">
        <v>697</v>
      </c>
      <c r="F927" t="s">
        <v>706</v>
      </c>
      <c r="G927">
        <v>2</v>
      </c>
      <c r="H927" s="9">
        <v>0.1</v>
      </c>
      <c r="I927" t="s">
        <v>699</v>
      </c>
      <c r="J927">
        <v>5</v>
      </c>
      <c r="K927">
        <v>4</v>
      </c>
      <c r="L927" t="str">
        <f>VLOOKUP(D927,Products!A:E,2,FALSE)</f>
        <v>Standing Desk</v>
      </c>
      <c r="M927" t="str">
        <f>VLOOKUP(D927,Products!A:E,3,FALSE)</f>
        <v>Furniture</v>
      </c>
      <c r="N927">
        <f>VLOOKUP(D927,Products!A:E,4,FALSE)</f>
        <v>540</v>
      </c>
      <c r="O927" s="13">
        <f>VLOOKUP(D927,Products!A:E,5,FALSE)</f>
        <v>320</v>
      </c>
      <c r="P927" s="13" t="str">
        <f>VLOOKUP(C927,Customers!A:C,3,FALSE)</f>
        <v>Consumer</v>
      </c>
      <c r="Q927" s="13">
        <f t="shared" si="56"/>
        <v>972</v>
      </c>
      <c r="R927" s="13">
        <f t="shared" si="57"/>
        <v>640</v>
      </c>
      <c r="S927" s="13">
        <f t="shared" si="58"/>
        <v>332</v>
      </c>
      <c r="T927" s="14">
        <f t="shared" si="59"/>
        <v>0.34156378600823045</v>
      </c>
    </row>
    <row r="928" spans="1:20">
      <c r="A928" t="s">
        <v>1632</v>
      </c>
      <c r="B928" s="8">
        <v>45665</v>
      </c>
      <c r="C928" t="s">
        <v>469</v>
      </c>
      <c r="D928" t="s">
        <v>61</v>
      </c>
      <c r="E928" t="s">
        <v>715</v>
      </c>
      <c r="F928" t="s">
        <v>702</v>
      </c>
      <c r="G928">
        <v>3</v>
      </c>
      <c r="H928" s="9">
        <v>0</v>
      </c>
      <c r="I928" t="s">
        <v>699</v>
      </c>
      <c r="J928">
        <v>5</v>
      </c>
      <c r="K928">
        <v>2</v>
      </c>
      <c r="L928" t="str">
        <f>VLOOKUP(D928,Products!A:E,2,FALSE)</f>
        <v>Office Chair</v>
      </c>
      <c r="M928" t="str">
        <f>VLOOKUP(D928,Products!A:E,3,FALSE)</f>
        <v>Furniture</v>
      </c>
      <c r="N928">
        <f>VLOOKUP(D928,Products!A:E,4,FALSE)</f>
        <v>255</v>
      </c>
      <c r="O928" s="13">
        <f>VLOOKUP(D928,Products!A:E,5,FALSE)</f>
        <v>145</v>
      </c>
      <c r="P928" s="13" t="str">
        <f>VLOOKUP(C928,Customers!A:C,3,FALSE)</f>
        <v>Consumer</v>
      </c>
      <c r="Q928" s="13">
        <f t="shared" si="56"/>
        <v>765</v>
      </c>
      <c r="R928" s="13">
        <f t="shared" si="57"/>
        <v>435</v>
      </c>
      <c r="S928" s="13">
        <f t="shared" si="58"/>
        <v>330</v>
      </c>
      <c r="T928" s="14">
        <f t="shared" si="59"/>
        <v>0.43137254901960786</v>
      </c>
    </row>
    <row r="929" spans="1:20">
      <c r="A929" t="s">
        <v>1633</v>
      </c>
      <c r="B929" s="8">
        <v>45662</v>
      </c>
      <c r="C929" t="s">
        <v>511</v>
      </c>
      <c r="D929" t="s">
        <v>48</v>
      </c>
      <c r="E929" t="s">
        <v>705</v>
      </c>
      <c r="F929" t="s">
        <v>702</v>
      </c>
      <c r="G929">
        <v>2</v>
      </c>
      <c r="H929" s="9">
        <v>0.1</v>
      </c>
      <c r="I929" t="s">
        <v>699</v>
      </c>
      <c r="J929">
        <v>4</v>
      </c>
      <c r="K929">
        <v>3</v>
      </c>
      <c r="L929" t="str">
        <f>VLOOKUP(D929,Products!A:E,2,FALSE)</f>
        <v>Monitor</v>
      </c>
      <c r="M929" t="str">
        <f>VLOOKUP(D929,Products!A:E,3,FALSE)</f>
        <v>Technology</v>
      </c>
      <c r="N929">
        <f>VLOOKUP(D929,Products!A:E,4,FALSE)</f>
        <v>310</v>
      </c>
      <c r="O929" s="13">
        <f>VLOOKUP(D929,Products!A:E,5,FALSE)</f>
        <v>190</v>
      </c>
      <c r="P929" s="13" t="str">
        <f>VLOOKUP(C929,Customers!A:C,3,FALSE)</f>
        <v>Consumer</v>
      </c>
      <c r="Q929" s="13">
        <f t="shared" si="56"/>
        <v>558</v>
      </c>
      <c r="R929" s="13">
        <f t="shared" si="57"/>
        <v>380</v>
      </c>
      <c r="S929" s="13">
        <f t="shared" si="58"/>
        <v>178</v>
      </c>
      <c r="T929" s="14">
        <f t="shared" si="59"/>
        <v>0.31899641577060933</v>
      </c>
    </row>
    <row r="930" spans="1:20">
      <c r="A930" t="s">
        <v>1634</v>
      </c>
      <c r="B930" s="8">
        <v>45832</v>
      </c>
      <c r="C930" t="s">
        <v>671</v>
      </c>
      <c r="D930" t="s">
        <v>74</v>
      </c>
      <c r="E930" t="s">
        <v>708</v>
      </c>
      <c r="F930" t="s">
        <v>706</v>
      </c>
      <c r="G930">
        <v>1</v>
      </c>
      <c r="H930" s="9">
        <v>0.05</v>
      </c>
      <c r="I930" t="s">
        <v>699</v>
      </c>
      <c r="J930">
        <v>5</v>
      </c>
      <c r="K930">
        <v>5</v>
      </c>
      <c r="L930" t="str">
        <f>VLOOKUP(D930,Products!A:E,2,FALSE)</f>
        <v>Printer Paper</v>
      </c>
      <c r="M930" t="str">
        <f>VLOOKUP(D930,Products!A:E,3,FALSE)</f>
        <v>Office Supplies</v>
      </c>
      <c r="N930">
        <f>VLOOKUP(D930,Products!A:E,4,FALSE)</f>
        <v>17</v>
      </c>
      <c r="O930" s="13">
        <f>VLOOKUP(D930,Products!A:E,5,FALSE)</f>
        <v>8</v>
      </c>
      <c r="P930" s="13" t="str">
        <f>VLOOKUP(C930,Customers!A:C,3,FALSE)</f>
        <v>Corporate</v>
      </c>
      <c r="Q930" s="13">
        <f t="shared" si="56"/>
        <v>16.149999999999999</v>
      </c>
      <c r="R930" s="13">
        <f t="shared" si="57"/>
        <v>8</v>
      </c>
      <c r="S930" s="13">
        <f t="shared" si="58"/>
        <v>8.1499999999999986</v>
      </c>
      <c r="T930" s="14">
        <f t="shared" si="59"/>
        <v>0.50464396284829716</v>
      </c>
    </row>
    <row r="931" spans="1:20">
      <c r="A931" t="s">
        <v>1635</v>
      </c>
      <c r="B931" s="8">
        <v>46097</v>
      </c>
      <c r="C931" t="s">
        <v>217</v>
      </c>
      <c r="D931" t="s">
        <v>72</v>
      </c>
      <c r="E931" t="s">
        <v>697</v>
      </c>
      <c r="F931" t="s">
        <v>702</v>
      </c>
      <c r="G931">
        <v>6</v>
      </c>
      <c r="H931" s="9">
        <v>0.05</v>
      </c>
      <c r="I931" t="s">
        <v>699</v>
      </c>
      <c r="J931">
        <v>2</v>
      </c>
      <c r="K931">
        <v>3</v>
      </c>
      <c r="L931" t="str">
        <f>VLOOKUP(D931,Products!A:E,2,FALSE)</f>
        <v>Phone Charger</v>
      </c>
      <c r="M931" t="str">
        <f>VLOOKUP(D931,Products!A:E,3,FALSE)</f>
        <v>Accessories</v>
      </c>
      <c r="N931">
        <f>VLOOKUP(D931,Products!A:E,4,FALSE)</f>
        <v>32</v>
      </c>
      <c r="O931" s="13">
        <f>VLOOKUP(D931,Products!A:E,5,FALSE)</f>
        <v>13</v>
      </c>
      <c r="P931" s="13" t="str">
        <f>VLOOKUP(C931,Customers!A:C,3,FALSE)</f>
        <v>Corporate</v>
      </c>
      <c r="Q931" s="13">
        <f t="shared" si="56"/>
        <v>182.39999999999998</v>
      </c>
      <c r="R931" s="13">
        <f t="shared" si="57"/>
        <v>78</v>
      </c>
      <c r="S931" s="13">
        <f t="shared" si="58"/>
        <v>104.39999999999998</v>
      </c>
      <c r="T931" s="14">
        <f t="shared" si="59"/>
        <v>0.57236842105263153</v>
      </c>
    </row>
    <row r="932" spans="1:20">
      <c r="A932" t="s">
        <v>1636</v>
      </c>
      <c r="B932" s="8">
        <v>46248</v>
      </c>
      <c r="C932" t="s">
        <v>487</v>
      </c>
      <c r="D932" t="s">
        <v>63</v>
      </c>
      <c r="E932" t="s">
        <v>697</v>
      </c>
      <c r="F932" t="s">
        <v>702</v>
      </c>
      <c r="G932">
        <v>2</v>
      </c>
      <c r="H932" s="9">
        <v>0</v>
      </c>
      <c r="I932" t="s">
        <v>699</v>
      </c>
      <c r="J932">
        <v>1</v>
      </c>
      <c r="K932">
        <v>7</v>
      </c>
      <c r="L932" t="str">
        <f>VLOOKUP(D932,Products!A:E,2,FALSE)</f>
        <v>Bookshelf</v>
      </c>
      <c r="M932" t="str">
        <f>VLOOKUP(D932,Products!A:E,3,FALSE)</f>
        <v>Furniture</v>
      </c>
      <c r="N932">
        <f>VLOOKUP(D932,Products!A:E,4,FALSE)</f>
        <v>185</v>
      </c>
      <c r="O932" s="13">
        <f>VLOOKUP(D932,Products!A:E,5,FALSE)</f>
        <v>105</v>
      </c>
      <c r="P932" s="13" t="str">
        <f>VLOOKUP(C932,Customers!A:C,3,FALSE)</f>
        <v>Small Business</v>
      </c>
      <c r="Q932" s="13">
        <f t="shared" si="56"/>
        <v>370</v>
      </c>
      <c r="R932" s="13">
        <f t="shared" si="57"/>
        <v>210</v>
      </c>
      <c r="S932" s="13">
        <f t="shared" si="58"/>
        <v>160</v>
      </c>
      <c r="T932" s="14">
        <f t="shared" si="59"/>
        <v>0.43243243243243246</v>
      </c>
    </row>
    <row r="933" spans="1:20">
      <c r="A933" t="s">
        <v>1637</v>
      </c>
      <c r="B933" s="8">
        <v>45686</v>
      </c>
      <c r="C933" t="s">
        <v>643</v>
      </c>
      <c r="D933" t="s">
        <v>50</v>
      </c>
      <c r="E933" t="s">
        <v>715</v>
      </c>
      <c r="F933" t="s">
        <v>702</v>
      </c>
      <c r="G933">
        <v>4</v>
      </c>
      <c r="H933" s="9">
        <v>0.2</v>
      </c>
      <c r="I933" t="s">
        <v>699</v>
      </c>
      <c r="J933">
        <v>5</v>
      </c>
      <c r="K933">
        <v>2</v>
      </c>
      <c r="L933" t="str">
        <f>VLOOKUP(D933,Products!A:E,2,FALSE)</f>
        <v>Keyboard</v>
      </c>
      <c r="M933" t="str">
        <f>VLOOKUP(D933,Products!A:E,3,FALSE)</f>
        <v>Technology</v>
      </c>
      <c r="N933">
        <f>VLOOKUP(D933,Products!A:E,4,FALSE)</f>
        <v>75</v>
      </c>
      <c r="O933" s="13">
        <f>VLOOKUP(D933,Products!A:E,5,FALSE)</f>
        <v>38</v>
      </c>
      <c r="P933" s="13" t="str">
        <f>VLOOKUP(C933,Customers!A:C,3,FALSE)</f>
        <v>Consumer</v>
      </c>
      <c r="Q933" s="13">
        <f t="shared" si="56"/>
        <v>240</v>
      </c>
      <c r="R933" s="13">
        <f t="shared" si="57"/>
        <v>152</v>
      </c>
      <c r="S933" s="13">
        <f t="shared" si="58"/>
        <v>88</v>
      </c>
      <c r="T933" s="14">
        <f t="shared" si="59"/>
        <v>0.36666666666666664</v>
      </c>
    </row>
    <row r="934" spans="1:20">
      <c r="A934" t="s">
        <v>1638</v>
      </c>
      <c r="B934" s="8">
        <v>45903</v>
      </c>
      <c r="C934" t="s">
        <v>313</v>
      </c>
      <c r="D934" t="s">
        <v>65</v>
      </c>
      <c r="E934" t="s">
        <v>705</v>
      </c>
      <c r="F934" t="s">
        <v>706</v>
      </c>
      <c r="G934">
        <v>4</v>
      </c>
      <c r="H934" s="9">
        <v>0.1</v>
      </c>
      <c r="I934" t="s">
        <v>699</v>
      </c>
      <c r="J934">
        <v>4</v>
      </c>
      <c r="K934">
        <v>1</v>
      </c>
      <c r="L934" t="str">
        <f>VLOOKUP(D934,Products!A:E,2,FALSE)</f>
        <v>Laptop Stand</v>
      </c>
      <c r="M934" t="str">
        <f>VLOOKUP(D934,Products!A:E,3,FALSE)</f>
        <v>Accessories</v>
      </c>
      <c r="N934">
        <f>VLOOKUP(D934,Products!A:E,4,FALSE)</f>
        <v>48</v>
      </c>
      <c r="O934" s="13">
        <f>VLOOKUP(D934,Products!A:E,5,FALSE)</f>
        <v>22</v>
      </c>
      <c r="P934" s="13" t="str">
        <f>VLOOKUP(C934,Customers!A:C,3,FALSE)</f>
        <v>Consumer</v>
      </c>
      <c r="Q934" s="13">
        <f t="shared" si="56"/>
        <v>172.8</v>
      </c>
      <c r="R934" s="13">
        <f t="shared" si="57"/>
        <v>88</v>
      </c>
      <c r="S934" s="13">
        <f t="shared" si="58"/>
        <v>84.800000000000011</v>
      </c>
      <c r="T934" s="14">
        <f t="shared" si="59"/>
        <v>0.49074074074074076</v>
      </c>
    </row>
    <row r="935" spans="1:20">
      <c r="A935" t="s">
        <v>1639</v>
      </c>
      <c r="B935" s="8">
        <v>45939</v>
      </c>
      <c r="C935" t="s">
        <v>171</v>
      </c>
      <c r="D935" t="s">
        <v>54</v>
      </c>
      <c r="E935" t="s">
        <v>701</v>
      </c>
      <c r="F935" t="s">
        <v>698</v>
      </c>
      <c r="G935">
        <v>3</v>
      </c>
      <c r="H935" s="9">
        <v>0</v>
      </c>
      <c r="I935" t="s">
        <v>699</v>
      </c>
      <c r="J935">
        <v>4</v>
      </c>
      <c r="K935">
        <v>1</v>
      </c>
      <c r="L935" t="str">
        <f>VLOOKUP(D935,Products!A:E,2,FALSE)</f>
        <v>Webcam</v>
      </c>
      <c r="M935" t="str">
        <f>VLOOKUP(D935,Products!A:E,3,FALSE)</f>
        <v>Technology</v>
      </c>
      <c r="N935">
        <f>VLOOKUP(D935,Products!A:E,4,FALSE)</f>
        <v>115</v>
      </c>
      <c r="O935" s="13">
        <f>VLOOKUP(D935,Products!A:E,5,FALSE)</f>
        <v>58</v>
      </c>
      <c r="P935" s="13" t="str">
        <f>VLOOKUP(C935,Customers!A:C,3,FALSE)</f>
        <v>Consumer</v>
      </c>
      <c r="Q935" s="13">
        <f t="shared" si="56"/>
        <v>345</v>
      </c>
      <c r="R935" s="13">
        <f t="shared" si="57"/>
        <v>174</v>
      </c>
      <c r="S935" s="13">
        <f t="shared" si="58"/>
        <v>171</v>
      </c>
      <c r="T935" s="14">
        <f t="shared" si="59"/>
        <v>0.4956521739130435</v>
      </c>
    </row>
    <row r="936" spans="1:20">
      <c r="A936" t="s">
        <v>1640</v>
      </c>
      <c r="B936" s="8">
        <v>45803</v>
      </c>
      <c r="C936" t="s">
        <v>375</v>
      </c>
      <c r="D936" t="s">
        <v>63</v>
      </c>
      <c r="E936" t="s">
        <v>697</v>
      </c>
      <c r="F936" t="s">
        <v>702</v>
      </c>
      <c r="G936">
        <v>2</v>
      </c>
      <c r="H936" s="9">
        <v>0</v>
      </c>
      <c r="I936" t="s">
        <v>699</v>
      </c>
      <c r="J936">
        <v>4</v>
      </c>
      <c r="K936">
        <v>4</v>
      </c>
      <c r="L936" t="str">
        <f>VLOOKUP(D936,Products!A:E,2,FALSE)</f>
        <v>Bookshelf</v>
      </c>
      <c r="M936" t="str">
        <f>VLOOKUP(D936,Products!A:E,3,FALSE)</f>
        <v>Furniture</v>
      </c>
      <c r="N936">
        <f>VLOOKUP(D936,Products!A:E,4,FALSE)</f>
        <v>185</v>
      </c>
      <c r="O936" s="13">
        <f>VLOOKUP(D936,Products!A:E,5,FALSE)</f>
        <v>105</v>
      </c>
      <c r="P936" s="13" t="str">
        <f>VLOOKUP(C936,Customers!A:C,3,FALSE)</f>
        <v>Consumer</v>
      </c>
      <c r="Q936" s="13">
        <f t="shared" si="56"/>
        <v>370</v>
      </c>
      <c r="R936" s="13">
        <f t="shared" si="57"/>
        <v>210</v>
      </c>
      <c r="S936" s="13">
        <f t="shared" si="58"/>
        <v>160</v>
      </c>
      <c r="T936" s="14">
        <f t="shared" si="59"/>
        <v>0.43243243243243246</v>
      </c>
    </row>
    <row r="937" spans="1:20">
      <c r="A937" t="s">
        <v>1641</v>
      </c>
      <c r="B937" s="8">
        <v>45680</v>
      </c>
      <c r="C937" t="s">
        <v>509</v>
      </c>
      <c r="D937" t="s">
        <v>50</v>
      </c>
      <c r="E937" t="s">
        <v>715</v>
      </c>
      <c r="F937" t="s">
        <v>698</v>
      </c>
      <c r="G937">
        <v>1</v>
      </c>
      <c r="H937" s="9">
        <v>0</v>
      </c>
      <c r="I937" t="s">
        <v>699</v>
      </c>
      <c r="J937">
        <v>5</v>
      </c>
      <c r="K937">
        <v>4</v>
      </c>
      <c r="L937" t="str">
        <f>VLOOKUP(D937,Products!A:E,2,FALSE)</f>
        <v>Keyboard</v>
      </c>
      <c r="M937" t="str">
        <f>VLOOKUP(D937,Products!A:E,3,FALSE)</f>
        <v>Technology</v>
      </c>
      <c r="N937">
        <f>VLOOKUP(D937,Products!A:E,4,FALSE)</f>
        <v>75</v>
      </c>
      <c r="O937" s="13">
        <f>VLOOKUP(D937,Products!A:E,5,FALSE)</f>
        <v>38</v>
      </c>
      <c r="P937" s="13" t="str">
        <f>VLOOKUP(C937,Customers!A:C,3,FALSE)</f>
        <v>Corporate</v>
      </c>
      <c r="Q937" s="13">
        <f t="shared" si="56"/>
        <v>75</v>
      </c>
      <c r="R937" s="13">
        <f t="shared" si="57"/>
        <v>38</v>
      </c>
      <c r="S937" s="13">
        <f t="shared" si="58"/>
        <v>37</v>
      </c>
      <c r="T937" s="14">
        <f t="shared" si="59"/>
        <v>0.49333333333333335</v>
      </c>
    </row>
    <row r="938" spans="1:20">
      <c r="A938" t="s">
        <v>1642</v>
      </c>
      <c r="B938" s="8">
        <v>45822</v>
      </c>
      <c r="C938" t="s">
        <v>271</v>
      </c>
      <c r="D938" t="s">
        <v>65</v>
      </c>
      <c r="E938" t="s">
        <v>705</v>
      </c>
      <c r="F938" t="s">
        <v>702</v>
      </c>
      <c r="G938">
        <v>3</v>
      </c>
      <c r="H938" s="9">
        <v>0.05</v>
      </c>
      <c r="I938" t="s">
        <v>699</v>
      </c>
      <c r="J938">
        <v>5</v>
      </c>
      <c r="K938">
        <v>3</v>
      </c>
      <c r="L938" t="str">
        <f>VLOOKUP(D938,Products!A:E,2,FALSE)</f>
        <v>Laptop Stand</v>
      </c>
      <c r="M938" t="str">
        <f>VLOOKUP(D938,Products!A:E,3,FALSE)</f>
        <v>Accessories</v>
      </c>
      <c r="N938">
        <f>VLOOKUP(D938,Products!A:E,4,FALSE)</f>
        <v>48</v>
      </c>
      <c r="O938" s="13">
        <f>VLOOKUP(D938,Products!A:E,5,FALSE)</f>
        <v>22</v>
      </c>
      <c r="P938" s="13" t="str">
        <f>VLOOKUP(C938,Customers!A:C,3,FALSE)</f>
        <v>Corporate</v>
      </c>
      <c r="Q938" s="13">
        <f t="shared" si="56"/>
        <v>136.79999999999998</v>
      </c>
      <c r="R938" s="13">
        <f t="shared" si="57"/>
        <v>66</v>
      </c>
      <c r="S938" s="13">
        <f t="shared" si="58"/>
        <v>70.799999999999983</v>
      </c>
      <c r="T938" s="14">
        <f t="shared" si="59"/>
        <v>0.51754385964912275</v>
      </c>
    </row>
    <row r="939" spans="1:20">
      <c r="A939" t="s">
        <v>1643</v>
      </c>
      <c r="B939" s="8">
        <v>46153</v>
      </c>
      <c r="C939" t="s">
        <v>645</v>
      </c>
      <c r="D939" t="s">
        <v>45</v>
      </c>
      <c r="E939" t="s">
        <v>705</v>
      </c>
      <c r="F939" t="s">
        <v>698</v>
      </c>
      <c r="G939">
        <v>6</v>
      </c>
      <c r="H939" s="9">
        <v>0</v>
      </c>
      <c r="I939" t="s">
        <v>699</v>
      </c>
      <c r="J939">
        <v>1</v>
      </c>
      <c r="K939">
        <v>7</v>
      </c>
      <c r="L939" t="str">
        <f>VLOOKUP(D939,Products!A:E,2,FALSE)</f>
        <v>Laptop</v>
      </c>
      <c r="M939" t="str">
        <f>VLOOKUP(D939,Products!A:E,3,FALSE)</f>
        <v>Technology</v>
      </c>
      <c r="N939">
        <f>VLOOKUP(D939,Products!A:E,4,FALSE)</f>
        <v>1100</v>
      </c>
      <c r="O939" s="13">
        <f>VLOOKUP(D939,Products!A:E,5,FALSE)</f>
        <v>720</v>
      </c>
      <c r="P939" s="13" t="str">
        <f>VLOOKUP(C939,Customers!A:C,3,FALSE)</f>
        <v>Corporate</v>
      </c>
      <c r="Q939" s="13">
        <f t="shared" si="56"/>
        <v>6600</v>
      </c>
      <c r="R939" s="13">
        <f t="shared" si="57"/>
        <v>4320</v>
      </c>
      <c r="S939" s="13">
        <f t="shared" si="58"/>
        <v>2280</v>
      </c>
      <c r="T939" s="14">
        <f t="shared" si="59"/>
        <v>0.34545454545454546</v>
      </c>
    </row>
    <row r="940" spans="1:20">
      <c r="A940" t="s">
        <v>1644</v>
      </c>
      <c r="B940" s="8">
        <v>45879</v>
      </c>
      <c r="C940" t="s">
        <v>459</v>
      </c>
      <c r="D940" t="s">
        <v>52</v>
      </c>
      <c r="E940" t="s">
        <v>697</v>
      </c>
      <c r="F940" t="s">
        <v>702</v>
      </c>
      <c r="G940">
        <v>1</v>
      </c>
      <c r="H940" s="9">
        <v>0</v>
      </c>
      <c r="I940" t="s">
        <v>699</v>
      </c>
      <c r="J940">
        <v>3</v>
      </c>
      <c r="K940">
        <v>3</v>
      </c>
      <c r="L940" t="str">
        <f>VLOOKUP(D940,Products!A:E,2,FALSE)</f>
        <v>Mouse</v>
      </c>
      <c r="M940" t="str">
        <f>VLOOKUP(D940,Products!A:E,3,FALSE)</f>
        <v>Technology</v>
      </c>
      <c r="N940">
        <f>VLOOKUP(D940,Products!A:E,4,FALSE)</f>
        <v>42</v>
      </c>
      <c r="O940" s="13">
        <f>VLOOKUP(D940,Products!A:E,5,FALSE)</f>
        <v>19</v>
      </c>
      <c r="P940" s="13" t="str">
        <f>VLOOKUP(C940,Customers!A:C,3,FALSE)</f>
        <v>Small Business</v>
      </c>
      <c r="Q940" s="13">
        <f t="shared" si="56"/>
        <v>42</v>
      </c>
      <c r="R940" s="13">
        <f t="shared" si="57"/>
        <v>19</v>
      </c>
      <c r="S940" s="13">
        <f t="shared" si="58"/>
        <v>23</v>
      </c>
      <c r="T940" s="14">
        <f t="shared" si="59"/>
        <v>0.54761904761904767</v>
      </c>
    </row>
    <row r="941" spans="1:20">
      <c r="A941" t="s">
        <v>1645</v>
      </c>
      <c r="B941" s="8">
        <v>46151</v>
      </c>
      <c r="C941" t="s">
        <v>291</v>
      </c>
      <c r="D941" t="s">
        <v>50</v>
      </c>
      <c r="E941" t="s">
        <v>708</v>
      </c>
      <c r="F941" t="s">
        <v>698</v>
      </c>
      <c r="G941">
        <v>1</v>
      </c>
      <c r="H941" s="9">
        <v>0.1</v>
      </c>
      <c r="I941" t="s">
        <v>699</v>
      </c>
      <c r="J941">
        <v>4</v>
      </c>
      <c r="K941">
        <v>4</v>
      </c>
      <c r="L941" t="str">
        <f>VLOOKUP(D941,Products!A:E,2,FALSE)</f>
        <v>Keyboard</v>
      </c>
      <c r="M941" t="str">
        <f>VLOOKUP(D941,Products!A:E,3,FALSE)</f>
        <v>Technology</v>
      </c>
      <c r="N941">
        <f>VLOOKUP(D941,Products!A:E,4,FALSE)</f>
        <v>75</v>
      </c>
      <c r="O941" s="13">
        <f>VLOOKUP(D941,Products!A:E,5,FALSE)</f>
        <v>38</v>
      </c>
      <c r="P941" s="13" t="str">
        <f>VLOOKUP(C941,Customers!A:C,3,FALSE)</f>
        <v>Corporate</v>
      </c>
      <c r="Q941" s="13">
        <f t="shared" si="56"/>
        <v>67.5</v>
      </c>
      <c r="R941" s="13">
        <f t="shared" si="57"/>
        <v>38</v>
      </c>
      <c r="S941" s="13">
        <f t="shared" si="58"/>
        <v>29.5</v>
      </c>
      <c r="T941" s="14">
        <f t="shared" si="59"/>
        <v>0.43703703703703706</v>
      </c>
    </row>
    <row r="942" spans="1:20">
      <c r="A942" t="s">
        <v>1646</v>
      </c>
      <c r="B942" s="8">
        <v>45855</v>
      </c>
      <c r="C942" t="s">
        <v>343</v>
      </c>
      <c r="D942" t="s">
        <v>56</v>
      </c>
      <c r="E942" t="s">
        <v>705</v>
      </c>
      <c r="F942" t="s">
        <v>706</v>
      </c>
      <c r="G942">
        <v>4</v>
      </c>
      <c r="H942" s="9">
        <v>0.2</v>
      </c>
      <c r="I942" t="s">
        <v>699</v>
      </c>
      <c r="J942">
        <v>5</v>
      </c>
      <c r="K942">
        <v>5</v>
      </c>
      <c r="L942" t="str">
        <f>VLOOKUP(D942,Products!A:E,2,FALSE)</f>
        <v>Headset</v>
      </c>
      <c r="M942" t="str">
        <f>VLOOKUP(D942,Products!A:E,3,FALSE)</f>
        <v>Technology</v>
      </c>
      <c r="N942">
        <f>VLOOKUP(D942,Products!A:E,4,FALSE)</f>
        <v>98</v>
      </c>
      <c r="O942" s="13">
        <f>VLOOKUP(D942,Products!A:E,5,FALSE)</f>
        <v>46</v>
      </c>
      <c r="P942" s="13" t="str">
        <f>VLOOKUP(C942,Customers!A:C,3,FALSE)</f>
        <v>Small Business</v>
      </c>
      <c r="Q942" s="13">
        <f t="shared" si="56"/>
        <v>313.60000000000002</v>
      </c>
      <c r="R942" s="13">
        <f t="shared" si="57"/>
        <v>184</v>
      </c>
      <c r="S942" s="13">
        <f t="shared" si="58"/>
        <v>129.60000000000002</v>
      </c>
      <c r="T942" s="14">
        <f t="shared" si="59"/>
        <v>0.41326530612244905</v>
      </c>
    </row>
    <row r="943" spans="1:20">
      <c r="A943" t="s">
        <v>1647</v>
      </c>
      <c r="B943" s="8">
        <v>45977</v>
      </c>
      <c r="C943" t="s">
        <v>255</v>
      </c>
      <c r="D943" t="s">
        <v>58</v>
      </c>
      <c r="E943" t="s">
        <v>697</v>
      </c>
      <c r="F943" t="s">
        <v>698</v>
      </c>
      <c r="G943">
        <v>5</v>
      </c>
      <c r="H943" s="9">
        <v>0</v>
      </c>
      <c r="I943" t="s">
        <v>699</v>
      </c>
      <c r="J943">
        <v>5</v>
      </c>
      <c r="K943">
        <v>5</v>
      </c>
      <c r="L943" t="str">
        <f>VLOOKUP(D943,Products!A:E,2,FALSE)</f>
        <v>Standing Desk</v>
      </c>
      <c r="M943" t="str">
        <f>VLOOKUP(D943,Products!A:E,3,FALSE)</f>
        <v>Furniture</v>
      </c>
      <c r="N943">
        <f>VLOOKUP(D943,Products!A:E,4,FALSE)</f>
        <v>540</v>
      </c>
      <c r="O943" s="13">
        <f>VLOOKUP(D943,Products!A:E,5,FALSE)</f>
        <v>320</v>
      </c>
      <c r="P943" s="13" t="str">
        <f>VLOOKUP(C943,Customers!A:C,3,FALSE)</f>
        <v>Consumer</v>
      </c>
      <c r="Q943" s="13">
        <f t="shared" si="56"/>
        <v>2700</v>
      </c>
      <c r="R943" s="13">
        <f t="shared" si="57"/>
        <v>1600</v>
      </c>
      <c r="S943" s="13">
        <f t="shared" si="58"/>
        <v>1100</v>
      </c>
      <c r="T943" s="14">
        <f t="shared" si="59"/>
        <v>0.40740740740740738</v>
      </c>
    </row>
    <row r="944" spans="1:20">
      <c r="A944" t="s">
        <v>1648</v>
      </c>
      <c r="B944" s="8">
        <v>45768</v>
      </c>
      <c r="C944" t="s">
        <v>479</v>
      </c>
      <c r="D944" t="s">
        <v>74</v>
      </c>
      <c r="E944" t="s">
        <v>705</v>
      </c>
      <c r="F944" t="s">
        <v>702</v>
      </c>
      <c r="G944">
        <v>6</v>
      </c>
      <c r="H944" s="9">
        <v>0.1</v>
      </c>
      <c r="I944" t="s">
        <v>699</v>
      </c>
      <c r="J944">
        <v>5</v>
      </c>
      <c r="K944">
        <v>5</v>
      </c>
      <c r="L944" t="str">
        <f>VLOOKUP(D944,Products!A:E,2,FALSE)</f>
        <v>Printer Paper</v>
      </c>
      <c r="M944" t="str">
        <f>VLOOKUP(D944,Products!A:E,3,FALSE)</f>
        <v>Office Supplies</v>
      </c>
      <c r="N944">
        <f>VLOOKUP(D944,Products!A:E,4,FALSE)</f>
        <v>17</v>
      </c>
      <c r="O944" s="13">
        <f>VLOOKUP(D944,Products!A:E,5,FALSE)</f>
        <v>8</v>
      </c>
      <c r="P944" s="13" t="str">
        <f>VLOOKUP(C944,Customers!A:C,3,FALSE)</f>
        <v>Corporate</v>
      </c>
      <c r="Q944" s="13">
        <f t="shared" si="56"/>
        <v>91.8</v>
      </c>
      <c r="R944" s="13">
        <f t="shared" si="57"/>
        <v>48</v>
      </c>
      <c r="S944" s="13">
        <f t="shared" si="58"/>
        <v>43.8</v>
      </c>
      <c r="T944" s="14">
        <f t="shared" si="59"/>
        <v>0.47712418300653592</v>
      </c>
    </row>
    <row r="945" spans="1:20">
      <c r="A945" t="s">
        <v>1649</v>
      </c>
      <c r="B945" s="8">
        <v>45917</v>
      </c>
      <c r="C945" t="s">
        <v>505</v>
      </c>
      <c r="D945" t="s">
        <v>65</v>
      </c>
      <c r="E945" t="s">
        <v>701</v>
      </c>
      <c r="F945" t="s">
        <v>706</v>
      </c>
      <c r="G945">
        <v>7</v>
      </c>
      <c r="H945" s="9">
        <v>0.05</v>
      </c>
      <c r="I945" t="s">
        <v>699</v>
      </c>
      <c r="J945">
        <v>3</v>
      </c>
      <c r="K945">
        <v>3</v>
      </c>
      <c r="L945" t="str">
        <f>VLOOKUP(D945,Products!A:E,2,FALSE)</f>
        <v>Laptop Stand</v>
      </c>
      <c r="M945" t="str">
        <f>VLOOKUP(D945,Products!A:E,3,FALSE)</f>
        <v>Accessories</v>
      </c>
      <c r="N945">
        <f>VLOOKUP(D945,Products!A:E,4,FALSE)</f>
        <v>48</v>
      </c>
      <c r="O945" s="13">
        <f>VLOOKUP(D945,Products!A:E,5,FALSE)</f>
        <v>22</v>
      </c>
      <c r="P945" s="13" t="str">
        <f>VLOOKUP(C945,Customers!A:C,3,FALSE)</f>
        <v>Small Business</v>
      </c>
      <c r="Q945" s="13">
        <f t="shared" si="56"/>
        <v>319.2</v>
      </c>
      <c r="R945" s="13">
        <f t="shared" si="57"/>
        <v>154</v>
      </c>
      <c r="S945" s="13">
        <f t="shared" si="58"/>
        <v>165.2</v>
      </c>
      <c r="T945" s="14">
        <f t="shared" si="59"/>
        <v>0.51754385964912275</v>
      </c>
    </row>
    <row r="946" spans="1:20">
      <c r="A946" t="s">
        <v>1650</v>
      </c>
      <c r="B946" s="8">
        <v>46097</v>
      </c>
      <c r="C946" t="s">
        <v>277</v>
      </c>
      <c r="D946" t="s">
        <v>70</v>
      </c>
      <c r="E946" t="s">
        <v>708</v>
      </c>
      <c r="F946" t="s">
        <v>702</v>
      </c>
      <c r="G946">
        <v>2</v>
      </c>
      <c r="H946" s="9">
        <v>0</v>
      </c>
      <c r="I946" t="s">
        <v>699</v>
      </c>
      <c r="J946">
        <v>1</v>
      </c>
      <c r="K946">
        <v>4</v>
      </c>
      <c r="L946" t="str">
        <f>VLOOKUP(D946,Products!A:E,2,FALSE)</f>
        <v>USB-C Hub</v>
      </c>
      <c r="M946" t="str">
        <f>VLOOKUP(D946,Products!A:E,3,FALSE)</f>
        <v>Accessories</v>
      </c>
      <c r="N946">
        <f>VLOOKUP(D946,Products!A:E,4,FALSE)</f>
        <v>68</v>
      </c>
      <c r="O946" s="13">
        <f>VLOOKUP(D946,Products!A:E,5,FALSE)</f>
        <v>31</v>
      </c>
      <c r="P946" s="13" t="str">
        <f>VLOOKUP(C946,Customers!A:C,3,FALSE)</f>
        <v>Consumer</v>
      </c>
      <c r="Q946" s="13">
        <f t="shared" si="56"/>
        <v>136</v>
      </c>
      <c r="R946" s="13">
        <f t="shared" si="57"/>
        <v>62</v>
      </c>
      <c r="S946" s="13">
        <f t="shared" si="58"/>
        <v>74</v>
      </c>
      <c r="T946" s="14">
        <f t="shared" si="59"/>
        <v>0.54411764705882348</v>
      </c>
    </row>
    <row r="947" spans="1:20">
      <c r="A947" t="s">
        <v>1651</v>
      </c>
      <c r="B947" s="8">
        <v>45876</v>
      </c>
      <c r="C947" t="s">
        <v>563</v>
      </c>
      <c r="D947" t="s">
        <v>68</v>
      </c>
      <c r="E947" t="s">
        <v>697</v>
      </c>
      <c r="F947" t="s">
        <v>698</v>
      </c>
      <c r="G947">
        <v>2</v>
      </c>
      <c r="H947" s="9">
        <v>0.05</v>
      </c>
      <c r="I947" t="s">
        <v>699</v>
      </c>
      <c r="J947">
        <v>2</v>
      </c>
      <c r="K947">
        <v>4</v>
      </c>
      <c r="L947" t="str">
        <f>VLOOKUP(D947,Products!A:E,2,FALSE)</f>
        <v>Backpack</v>
      </c>
      <c r="M947" t="str">
        <f>VLOOKUP(D947,Products!A:E,3,FALSE)</f>
        <v>Accessories</v>
      </c>
      <c r="N947">
        <f>VLOOKUP(D947,Products!A:E,4,FALSE)</f>
        <v>85</v>
      </c>
      <c r="O947" s="13">
        <f>VLOOKUP(D947,Products!A:E,5,FALSE)</f>
        <v>39</v>
      </c>
      <c r="P947" s="13" t="str">
        <f>VLOOKUP(C947,Customers!A:C,3,FALSE)</f>
        <v>Corporate</v>
      </c>
      <c r="Q947" s="13">
        <f t="shared" si="56"/>
        <v>161.5</v>
      </c>
      <c r="R947" s="13">
        <f t="shared" si="57"/>
        <v>78</v>
      </c>
      <c r="S947" s="13">
        <f t="shared" si="58"/>
        <v>83.5</v>
      </c>
      <c r="T947" s="14">
        <f t="shared" si="59"/>
        <v>0.51702786377708976</v>
      </c>
    </row>
    <row r="948" spans="1:20">
      <c r="A948" t="s">
        <v>1652</v>
      </c>
      <c r="B948" s="8">
        <v>46245</v>
      </c>
      <c r="C948" t="s">
        <v>517</v>
      </c>
      <c r="D948" t="s">
        <v>74</v>
      </c>
      <c r="E948" t="s">
        <v>708</v>
      </c>
      <c r="F948" t="s">
        <v>702</v>
      </c>
      <c r="G948">
        <v>1</v>
      </c>
      <c r="H948" s="9">
        <v>0.1</v>
      </c>
      <c r="I948" t="s">
        <v>699</v>
      </c>
      <c r="J948">
        <v>5</v>
      </c>
      <c r="K948">
        <v>4</v>
      </c>
      <c r="L948" t="str">
        <f>VLOOKUP(D948,Products!A:E,2,FALSE)</f>
        <v>Printer Paper</v>
      </c>
      <c r="M948" t="str">
        <f>VLOOKUP(D948,Products!A:E,3,FALSE)</f>
        <v>Office Supplies</v>
      </c>
      <c r="N948">
        <f>VLOOKUP(D948,Products!A:E,4,FALSE)</f>
        <v>17</v>
      </c>
      <c r="O948" s="13">
        <f>VLOOKUP(D948,Products!A:E,5,FALSE)</f>
        <v>8</v>
      </c>
      <c r="P948" s="13" t="str">
        <f>VLOOKUP(C948,Customers!A:C,3,FALSE)</f>
        <v>Small Business</v>
      </c>
      <c r="Q948" s="13">
        <f t="shared" si="56"/>
        <v>15.3</v>
      </c>
      <c r="R948" s="13">
        <f t="shared" si="57"/>
        <v>8</v>
      </c>
      <c r="S948" s="13">
        <f t="shared" si="58"/>
        <v>7.3000000000000007</v>
      </c>
      <c r="T948" s="14">
        <f t="shared" si="59"/>
        <v>0.47712418300653597</v>
      </c>
    </row>
    <row r="949" spans="1:20">
      <c r="A949" t="s">
        <v>1653</v>
      </c>
      <c r="B949" s="8">
        <v>45780</v>
      </c>
      <c r="C949" t="s">
        <v>213</v>
      </c>
      <c r="D949" t="s">
        <v>77</v>
      </c>
      <c r="E949" t="s">
        <v>705</v>
      </c>
      <c r="F949" t="s">
        <v>702</v>
      </c>
      <c r="G949">
        <v>2</v>
      </c>
      <c r="H949" s="9">
        <v>0.05</v>
      </c>
      <c r="I949" t="s">
        <v>699</v>
      </c>
      <c r="J949">
        <v>5</v>
      </c>
      <c r="K949">
        <v>5</v>
      </c>
      <c r="L949" t="str">
        <f>VLOOKUP(D949,Products!A:E,2,FALSE)</f>
        <v>File Folder Pack</v>
      </c>
      <c r="M949" t="str">
        <f>VLOOKUP(D949,Products!A:E,3,FALSE)</f>
        <v>Office Supplies</v>
      </c>
      <c r="N949">
        <f>VLOOKUP(D949,Products!A:E,4,FALSE)</f>
        <v>23</v>
      </c>
      <c r="O949" s="13">
        <f>VLOOKUP(D949,Products!A:E,5,FALSE)</f>
        <v>10</v>
      </c>
      <c r="P949" s="13" t="str">
        <f>VLOOKUP(C949,Customers!A:C,3,FALSE)</f>
        <v>Corporate</v>
      </c>
      <c r="Q949" s="13">
        <f t="shared" si="56"/>
        <v>43.699999999999996</v>
      </c>
      <c r="R949" s="13">
        <f t="shared" si="57"/>
        <v>20</v>
      </c>
      <c r="S949" s="13">
        <f t="shared" si="58"/>
        <v>23.699999999999996</v>
      </c>
      <c r="T949" s="14">
        <f t="shared" si="59"/>
        <v>0.54233409610983974</v>
      </c>
    </row>
    <row r="950" spans="1:20">
      <c r="A950" t="s">
        <v>1654</v>
      </c>
      <c r="B950" s="8">
        <v>45662</v>
      </c>
      <c r="C950" t="s">
        <v>559</v>
      </c>
      <c r="D950" t="s">
        <v>65</v>
      </c>
      <c r="E950" t="s">
        <v>705</v>
      </c>
      <c r="F950" t="s">
        <v>706</v>
      </c>
      <c r="G950">
        <v>1</v>
      </c>
      <c r="H950" s="9">
        <v>0.05</v>
      </c>
      <c r="I950" t="s">
        <v>699</v>
      </c>
      <c r="J950">
        <v>4</v>
      </c>
      <c r="K950">
        <v>1</v>
      </c>
      <c r="L950" t="str">
        <f>VLOOKUP(D950,Products!A:E,2,FALSE)</f>
        <v>Laptop Stand</v>
      </c>
      <c r="M950" t="str">
        <f>VLOOKUP(D950,Products!A:E,3,FALSE)</f>
        <v>Accessories</v>
      </c>
      <c r="N950">
        <f>VLOOKUP(D950,Products!A:E,4,FALSE)</f>
        <v>48</v>
      </c>
      <c r="O950" s="13">
        <f>VLOOKUP(D950,Products!A:E,5,FALSE)</f>
        <v>22</v>
      </c>
      <c r="P950" s="13" t="str">
        <f>VLOOKUP(C950,Customers!A:C,3,FALSE)</f>
        <v>Small Business</v>
      </c>
      <c r="Q950" s="13">
        <f t="shared" si="56"/>
        <v>45.599999999999994</v>
      </c>
      <c r="R950" s="13">
        <f t="shared" si="57"/>
        <v>22</v>
      </c>
      <c r="S950" s="13">
        <f t="shared" si="58"/>
        <v>23.599999999999994</v>
      </c>
      <c r="T950" s="14">
        <f t="shared" si="59"/>
        <v>0.51754385964912275</v>
      </c>
    </row>
    <row r="951" spans="1:20">
      <c r="A951" t="s">
        <v>1655</v>
      </c>
      <c r="B951" s="8">
        <v>45729</v>
      </c>
      <c r="C951" t="s">
        <v>567</v>
      </c>
      <c r="D951" t="s">
        <v>52</v>
      </c>
      <c r="E951" t="s">
        <v>697</v>
      </c>
      <c r="F951" t="s">
        <v>702</v>
      </c>
      <c r="G951">
        <v>1</v>
      </c>
      <c r="H951" s="9">
        <v>0</v>
      </c>
      <c r="I951" t="s">
        <v>699</v>
      </c>
      <c r="J951">
        <v>2</v>
      </c>
      <c r="K951">
        <v>7</v>
      </c>
      <c r="L951" t="str">
        <f>VLOOKUP(D951,Products!A:E,2,FALSE)</f>
        <v>Mouse</v>
      </c>
      <c r="M951" t="str">
        <f>VLOOKUP(D951,Products!A:E,3,FALSE)</f>
        <v>Technology</v>
      </c>
      <c r="N951">
        <f>VLOOKUP(D951,Products!A:E,4,FALSE)</f>
        <v>42</v>
      </c>
      <c r="O951" s="13">
        <f>VLOOKUP(D951,Products!A:E,5,FALSE)</f>
        <v>19</v>
      </c>
      <c r="P951" s="13" t="str">
        <f>VLOOKUP(C951,Customers!A:C,3,FALSE)</f>
        <v>Consumer</v>
      </c>
      <c r="Q951" s="13">
        <f t="shared" si="56"/>
        <v>42</v>
      </c>
      <c r="R951" s="13">
        <f t="shared" si="57"/>
        <v>19</v>
      </c>
      <c r="S951" s="13">
        <f t="shared" si="58"/>
        <v>23</v>
      </c>
      <c r="T951" s="14">
        <f t="shared" si="59"/>
        <v>0.54761904761904767</v>
      </c>
    </row>
    <row r="952" spans="1:20">
      <c r="A952" t="s">
        <v>1656</v>
      </c>
      <c r="B952" s="8">
        <v>45706</v>
      </c>
      <c r="C952" t="s">
        <v>489</v>
      </c>
      <c r="D952" t="s">
        <v>65</v>
      </c>
      <c r="E952" t="s">
        <v>701</v>
      </c>
      <c r="F952" t="s">
        <v>702</v>
      </c>
      <c r="G952">
        <v>5</v>
      </c>
      <c r="H952" s="9">
        <v>0.2</v>
      </c>
      <c r="I952" t="s">
        <v>699</v>
      </c>
      <c r="J952">
        <v>4</v>
      </c>
      <c r="K952">
        <v>5</v>
      </c>
      <c r="L952" t="str">
        <f>VLOOKUP(D952,Products!A:E,2,FALSE)</f>
        <v>Laptop Stand</v>
      </c>
      <c r="M952" t="str">
        <f>VLOOKUP(D952,Products!A:E,3,FALSE)</f>
        <v>Accessories</v>
      </c>
      <c r="N952">
        <f>VLOOKUP(D952,Products!A:E,4,FALSE)</f>
        <v>48</v>
      </c>
      <c r="O952" s="13">
        <f>VLOOKUP(D952,Products!A:E,5,FALSE)</f>
        <v>22</v>
      </c>
      <c r="P952" s="13" t="str">
        <f>VLOOKUP(C952,Customers!A:C,3,FALSE)</f>
        <v>Small Business</v>
      </c>
      <c r="Q952" s="13">
        <f t="shared" si="56"/>
        <v>192</v>
      </c>
      <c r="R952" s="13">
        <f t="shared" si="57"/>
        <v>110</v>
      </c>
      <c r="S952" s="13">
        <f t="shared" si="58"/>
        <v>82</v>
      </c>
      <c r="T952" s="14">
        <f t="shared" si="59"/>
        <v>0.42708333333333331</v>
      </c>
    </row>
    <row r="953" spans="1:20">
      <c r="A953" t="s">
        <v>1657</v>
      </c>
      <c r="B953" s="8">
        <v>45763</v>
      </c>
      <c r="C953" t="s">
        <v>115</v>
      </c>
      <c r="D953" t="s">
        <v>61</v>
      </c>
      <c r="E953" t="s">
        <v>705</v>
      </c>
      <c r="F953" t="s">
        <v>702</v>
      </c>
      <c r="G953">
        <v>1</v>
      </c>
      <c r="H953" s="9">
        <v>0</v>
      </c>
      <c r="I953" t="s">
        <v>699</v>
      </c>
      <c r="J953">
        <v>4</v>
      </c>
      <c r="K953">
        <v>2</v>
      </c>
      <c r="L953" t="str">
        <f>VLOOKUP(D953,Products!A:E,2,FALSE)</f>
        <v>Office Chair</v>
      </c>
      <c r="M953" t="str">
        <f>VLOOKUP(D953,Products!A:E,3,FALSE)</f>
        <v>Furniture</v>
      </c>
      <c r="N953">
        <f>VLOOKUP(D953,Products!A:E,4,FALSE)</f>
        <v>255</v>
      </c>
      <c r="O953" s="13">
        <f>VLOOKUP(D953,Products!A:E,5,FALSE)</f>
        <v>145</v>
      </c>
      <c r="P953" s="13" t="str">
        <f>VLOOKUP(C953,Customers!A:C,3,FALSE)</f>
        <v>Corporate</v>
      </c>
      <c r="Q953" s="13">
        <f t="shared" si="56"/>
        <v>255</v>
      </c>
      <c r="R953" s="13">
        <f t="shared" si="57"/>
        <v>145</v>
      </c>
      <c r="S953" s="13">
        <f t="shared" si="58"/>
        <v>110</v>
      </c>
      <c r="T953" s="14">
        <f t="shared" si="59"/>
        <v>0.43137254901960786</v>
      </c>
    </row>
    <row r="954" spans="1:20">
      <c r="A954" t="s">
        <v>1658</v>
      </c>
      <c r="B954" s="8">
        <v>45748</v>
      </c>
      <c r="C954" t="s">
        <v>281</v>
      </c>
      <c r="D954" t="s">
        <v>70</v>
      </c>
      <c r="E954" t="s">
        <v>697</v>
      </c>
      <c r="F954" t="s">
        <v>698</v>
      </c>
      <c r="G954">
        <v>1</v>
      </c>
      <c r="H954" s="9">
        <v>0.1</v>
      </c>
      <c r="I954" t="s">
        <v>699</v>
      </c>
      <c r="J954">
        <v>5</v>
      </c>
      <c r="K954">
        <v>1</v>
      </c>
      <c r="L954" t="str">
        <f>VLOOKUP(D954,Products!A:E,2,FALSE)</f>
        <v>USB-C Hub</v>
      </c>
      <c r="M954" t="str">
        <f>VLOOKUP(D954,Products!A:E,3,FALSE)</f>
        <v>Accessories</v>
      </c>
      <c r="N954">
        <f>VLOOKUP(D954,Products!A:E,4,FALSE)</f>
        <v>68</v>
      </c>
      <c r="O954" s="13">
        <f>VLOOKUP(D954,Products!A:E,5,FALSE)</f>
        <v>31</v>
      </c>
      <c r="P954" s="13" t="str">
        <f>VLOOKUP(C954,Customers!A:C,3,FALSE)</f>
        <v>Corporate</v>
      </c>
      <c r="Q954" s="13">
        <f t="shared" si="56"/>
        <v>61.2</v>
      </c>
      <c r="R954" s="13">
        <f t="shared" si="57"/>
        <v>31</v>
      </c>
      <c r="S954" s="13">
        <f t="shared" si="58"/>
        <v>30.200000000000003</v>
      </c>
      <c r="T954" s="14">
        <f t="shared" si="59"/>
        <v>0.49346405228758172</v>
      </c>
    </row>
    <row r="955" spans="1:20">
      <c r="A955" t="s">
        <v>1659</v>
      </c>
      <c r="B955" s="8">
        <v>45771</v>
      </c>
      <c r="C955" t="s">
        <v>135</v>
      </c>
      <c r="D955" t="s">
        <v>65</v>
      </c>
      <c r="E955" t="s">
        <v>705</v>
      </c>
      <c r="F955" t="s">
        <v>702</v>
      </c>
      <c r="G955">
        <v>3</v>
      </c>
      <c r="H955" s="9">
        <v>0.1</v>
      </c>
      <c r="I955" t="s">
        <v>699</v>
      </c>
      <c r="J955">
        <v>3</v>
      </c>
      <c r="K955">
        <v>2</v>
      </c>
      <c r="L955" t="str">
        <f>VLOOKUP(D955,Products!A:E,2,FALSE)</f>
        <v>Laptop Stand</v>
      </c>
      <c r="M955" t="str">
        <f>VLOOKUP(D955,Products!A:E,3,FALSE)</f>
        <v>Accessories</v>
      </c>
      <c r="N955">
        <f>VLOOKUP(D955,Products!A:E,4,FALSE)</f>
        <v>48</v>
      </c>
      <c r="O955" s="13">
        <f>VLOOKUP(D955,Products!A:E,5,FALSE)</f>
        <v>22</v>
      </c>
      <c r="P955" s="13" t="str">
        <f>VLOOKUP(C955,Customers!A:C,3,FALSE)</f>
        <v>Small Business</v>
      </c>
      <c r="Q955" s="13">
        <f t="shared" si="56"/>
        <v>129.6</v>
      </c>
      <c r="R955" s="13">
        <f t="shared" si="57"/>
        <v>66</v>
      </c>
      <c r="S955" s="13">
        <f t="shared" si="58"/>
        <v>63.599999999999994</v>
      </c>
      <c r="T955" s="14">
        <f t="shared" si="59"/>
        <v>0.4907407407407407</v>
      </c>
    </row>
    <row r="956" spans="1:20">
      <c r="A956" t="s">
        <v>1660</v>
      </c>
      <c r="B956" s="8">
        <v>46255</v>
      </c>
      <c r="C956" t="s">
        <v>557</v>
      </c>
      <c r="D956" t="s">
        <v>52</v>
      </c>
      <c r="E956" t="s">
        <v>705</v>
      </c>
      <c r="F956" t="s">
        <v>706</v>
      </c>
      <c r="G956">
        <v>4</v>
      </c>
      <c r="H956" s="9">
        <v>0.15</v>
      </c>
      <c r="I956" t="s">
        <v>703</v>
      </c>
      <c r="J956">
        <v>4</v>
      </c>
      <c r="K956">
        <v>5</v>
      </c>
      <c r="L956" t="str">
        <f>VLOOKUP(D956,Products!A:E,2,FALSE)</f>
        <v>Mouse</v>
      </c>
      <c r="M956" t="str">
        <f>VLOOKUP(D956,Products!A:E,3,FALSE)</f>
        <v>Technology</v>
      </c>
      <c r="N956">
        <f>VLOOKUP(D956,Products!A:E,4,FALSE)</f>
        <v>42</v>
      </c>
      <c r="O956" s="13">
        <f>VLOOKUP(D956,Products!A:E,5,FALSE)</f>
        <v>19</v>
      </c>
      <c r="P956" s="13" t="str">
        <f>VLOOKUP(C956,Customers!A:C,3,FALSE)</f>
        <v>Consumer</v>
      </c>
      <c r="Q956" s="13">
        <f t="shared" si="56"/>
        <v>142.79999999999998</v>
      </c>
      <c r="R956" s="13">
        <f t="shared" si="57"/>
        <v>76</v>
      </c>
      <c r="S956" s="13">
        <f t="shared" si="58"/>
        <v>66.799999999999983</v>
      </c>
      <c r="T956" s="14">
        <f t="shared" si="59"/>
        <v>0.46778711484593832</v>
      </c>
    </row>
    <row r="957" spans="1:20">
      <c r="A957" t="s">
        <v>1661</v>
      </c>
      <c r="B957" s="8">
        <v>46192</v>
      </c>
      <c r="C957" t="s">
        <v>627</v>
      </c>
      <c r="D957" t="s">
        <v>61</v>
      </c>
      <c r="E957" t="s">
        <v>715</v>
      </c>
      <c r="F957" t="s">
        <v>698</v>
      </c>
      <c r="G957">
        <v>8</v>
      </c>
      <c r="H957" s="9">
        <v>0</v>
      </c>
      <c r="I957" t="s">
        <v>699</v>
      </c>
      <c r="J957">
        <v>3</v>
      </c>
      <c r="K957">
        <v>3</v>
      </c>
      <c r="L957" t="str">
        <f>VLOOKUP(D957,Products!A:E,2,FALSE)</f>
        <v>Office Chair</v>
      </c>
      <c r="M957" t="str">
        <f>VLOOKUP(D957,Products!A:E,3,FALSE)</f>
        <v>Furniture</v>
      </c>
      <c r="N957">
        <f>VLOOKUP(D957,Products!A:E,4,FALSE)</f>
        <v>255</v>
      </c>
      <c r="O957" s="13">
        <f>VLOOKUP(D957,Products!A:E,5,FALSE)</f>
        <v>145</v>
      </c>
      <c r="P957" s="13" t="str">
        <f>VLOOKUP(C957,Customers!A:C,3,FALSE)</f>
        <v>Small Business</v>
      </c>
      <c r="Q957" s="13">
        <f t="shared" si="56"/>
        <v>2040</v>
      </c>
      <c r="R957" s="13">
        <f t="shared" si="57"/>
        <v>1160</v>
      </c>
      <c r="S957" s="13">
        <f t="shared" si="58"/>
        <v>880</v>
      </c>
      <c r="T957" s="14">
        <f t="shared" si="59"/>
        <v>0.43137254901960786</v>
      </c>
    </row>
    <row r="958" spans="1:20">
      <c r="A958" t="s">
        <v>1662</v>
      </c>
      <c r="B958" s="8">
        <v>45961</v>
      </c>
      <c r="C958" t="s">
        <v>171</v>
      </c>
      <c r="D958" t="s">
        <v>70</v>
      </c>
      <c r="E958" t="s">
        <v>715</v>
      </c>
      <c r="F958" t="s">
        <v>706</v>
      </c>
      <c r="G958">
        <v>3</v>
      </c>
      <c r="H958" s="9">
        <v>0.1</v>
      </c>
      <c r="I958" t="s">
        <v>699</v>
      </c>
      <c r="J958">
        <v>2</v>
      </c>
      <c r="K958">
        <v>5</v>
      </c>
      <c r="L958" t="str">
        <f>VLOOKUP(D958,Products!A:E,2,FALSE)</f>
        <v>USB-C Hub</v>
      </c>
      <c r="M958" t="str">
        <f>VLOOKUP(D958,Products!A:E,3,FALSE)</f>
        <v>Accessories</v>
      </c>
      <c r="N958">
        <f>VLOOKUP(D958,Products!A:E,4,FALSE)</f>
        <v>68</v>
      </c>
      <c r="O958" s="13">
        <f>VLOOKUP(D958,Products!A:E,5,FALSE)</f>
        <v>31</v>
      </c>
      <c r="P958" s="13" t="str">
        <f>VLOOKUP(C958,Customers!A:C,3,FALSE)</f>
        <v>Consumer</v>
      </c>
      <c r="Q958" s="13">
        <f t="shared" si="56"/>
        <v>183.6</v>
      </c>
      <c r="R958" s="13">
        <f t="shared" si="57"/>
        <v>93</v>
      </c>
      <c r="S958" s="13">
        <f t="shared" si="58"/>
        <v>90.6</v>
      </c>
      <c r="T958" s="14">
        <f t="shared" si="59"/>
        <v>0.49346405228758167</v>
      </c>
    </row>
    <row r="959" spans="1:20">
      <c r="A959" t="s">
        <v>1663</v>
      </c>
      <c r="B959" s="8">
        <v>45875</v>
      </c>
      <c r="C959" t="s">
        <v>98</v>
      </c>
      <c r="D959" t="s">
        <v>58</v>
      </c>
      <c r="E959" t="s">
        <v>715</v>
      </c>
      <c r="F959" t="s">
        <v>702</v>
      </c>
      <c r="G959">
        <v>2</v>
      </c>
      <c r="H959" s="9">
        <v>0</v>
      </c>
      <c r="I959" t="s">
        <v>699</v>
      </c>
      <c r="J959">
        <v>5</v>
      </c>
      <c r="K959">
        <v>5</v>
      </c>
      <c r="L959" t="str">
        <f>VLOOKUP(D959,Products!A:E,2,FALSE)</f>
        <v>Standing Desk</v>
      </c>
      <c r="M959" t="str">
        <f>VLOOKUP(D959,Products!A:E,3,FALSE)</f>
        <v>Furniture</v>
      </c>
      <c r="N959">
        <f>VLOOKUP(D959,Products!A:E,4,FALSE)</f>
        <v>540</v>
      </c>
      <c r="O959" s="13">
        <f>VLOOKUP(D959,Products!A:E,5,FALSE)</f>
        <v>320</v>
      </c>
      <c r="P959" s="13" t="str">
        <f>VLOOKUP(C959,Customers!A:C,3,FALSE)</f>
        <v>Small Business</v>
      </c>
      <c r="Q959" s="13">
        <f t="shared" si="56"/>
        <v>1080</v>
      </c>
      <c r="R959" s="13">
        <f t="shared" si="57"/>
        <v>640</v>
      </c>
      <c r="S959" s="13">
        <f t="shared" si="58"/>
        <v>440</v>
      </c>
      <c r="T959" s="14">
        <f t="shared" si="59"/>
        <v>0.40740740740740738</v>
      </c>
    </row>
    <row r="960" spans="1:20">
      <c r="A960" t="s">
        <v>1664</v>
      </c>
      <c r="B960" s="8">
        <v>45978</v>
      </c>
      <c r="C960" t="s">
        <v>405</v>
      </c>
      <c r="D960" t="s">
        <v>77</v>
      </c>
      <c r="E960" t="s">
        <v>701</v>
      </c>
      <c r="F960" t="s">
        <v>706</v>
      </c>
      <c r="G960">
        <v>1</v>
      </c>
      <c r="H960" s="9">
        <v>0</v>
      </c>
      <c r="I960" t="s">
        <v>703</v>
      </c>
      <c r="J960">
        <v>4</v>
      </c>
      <c r="K960">
        <v>6</v>
      </c>
      <c r="L960" t="str">
        <f>VLOOKUP(D960,Products!A:E,2,FALSE)</f>
        <v>File Folder Pack</v>
      </c>
      <c r="M960" t="str">
        <f>VLOOKUP(D960,Products!A:E,3,FALSE)</f>
        <v>Office Supplies</v>
      </c>
      <c r="N960">
        <f>VLOOKUP(D960,Products!A:E,4,FALSE)</f>
        <v>23</v>
      </c>
      <c r="O960" s="13">
        <f>VLOOKUP(D960,Products!A:E,5,FALSE)</f>
        <v>10</v>
      </c>
      <c r="P960" s="13" t="str">
        <f>VLOOKUP(C960,Customers!A:C,3,FALSE)</f>
        <v>Consumer</v>
      </c>
      <c r="Q960" s="13">
        <f t="shared" si="56"/>
        <v>23</v>
      </c>
      <c r="R960" s="13">
        <f t="shared" si="57"/>
        <v>10</v>
      </c>
      <c r="S960" s="13">
        <f t="shared" si="58"/>
        <v>13</v>
      </c>
      <c r="T960" s="14">
        <f t="shared" si="59"/>
        <v>0.56521739130434778</v>
      </c>
    </row>
    <row r="961" spans="1:20">
      <c r="A961" t="s">
        <v>1665</v>
      </c>
      <c r="B961" s="8">
        <v>46067</v>
      </c>
      <c r="C961" t="s">
        <v>279</v>
      </c>
      <c r="D961" t="s">
        <v>50</v>
      </c>
      <c r="E961" t="s">
        <v>708</v>
      </c>
      <c r="F961" t="s">
        <v>702</v>
      </c>
      <c r="G961">
        <v>1</v>
      </c>
      <c r="H961" s="9">
        <v>0.15</v>
      </c>
      <c r="I961" t="s">
        <v>699</v>
      </c>
      <c r="J961">
        <v>3</v>
      </c>
      <c r="K961">
        <v>1</v>
      </c>
      <c r="L961" t="str">
        <f>VLOOKUP(D961,Products!A:E,2,FALSE)</f>
        <v>Keyboard</v>
      </c>
      <c r="M961" t="str">
        <f>VLOOKUP(D961,Products!A:E,3,FALSE)</f>
        <v>Technology</v>
      </c>
      <c r="N961">
        <f>VLOOKUP(D961,Products!A:E,4,FALSE)</f>
        <v>75</v>
      </c>
      <c r="O961" s="13">
        <f>VLOOKUP(D961,Products!A:E,5,FALSE)</f>
        <v>38</v>
      </c>
      <c r="P961" s="13" t="str">
        <f>VLOOKUP(C961,Customers!A:C,3,FALSE)</f>
        <v>Small Business</v>
      </c>
      <c r="Q961" s="13">
        <f t="shared" si="56"/>
        <v>63.75</v>
      </c>
      <c r="R961" s="13">
        <f t="shared" si="57"/>
        <v>38</v>
      </c>
      <c r="S961" s="13">
        <f t="shared" si="58"/>
        <v>25.75</v>
      </c>
      <c r="T961" s="14">
        <f t="shared" si="59"/>
        <v>0.40392156862745099</v>
      </c>
    </row>
    <row r="962" spans="1:20">
      <c r="A962" t="s">
        <v>1666</v>
      </c>
      <c r="B962" s="8">
        <v>45770</v>
      </c>
      <c r="C962" t="s">
        <v>333</v>
      </c>
      <c r="D962" t="s">
        <v>45</v>
      </c>
      <c r="E962" t="s">
        <v>697</v>
      </c>
      <c r="F962" t="s">
        <v>702</v>
      </c>
      <c r="G962">
        <v>1</v>
      </c>
      <c r="H962" s="9">
        <v>0.1</v>
      </c>
      <c r="I962" t="s">
        <v>699</v>
      </c>
      <c r="J962">
        <v>4</v>
      </c>
      <c r="K962">
        <v>5</v>
      </c>
      <c r="L962" t="str">
        <f>VLOOKUP(D962,Products!A:E,2,FALSE)</f>
        <v>Laptop</v>
      </c>
      <c r="M962" t="str">
        <f>VLOOKUP(D962,Products!A:E,3,FALSE)</f>
        <v>Technology</v>
      </c>
      <c r="N962">
        <f>VLOOKUP(D962,Products!A:E,4,FALSE)</f>
        <v>1100</v>
      </c>
      <c r="O962" s="13">
        <f>VLOOKUP(D962,Products!A:E,5,FALSE)</f>
        <v>720</v>
      </c>
      <c r="P962" s="13" t="str">
        <f>VLOOKUP(C962,Customers!A:C,3,FALSE)</f>
        <v>Corporate</v>
      </c>
      <c r="Q962" s="13">
        <f t="shared" ref="Q962:Q1025" si="60">G962*N962*(1-H962)</f>
        <v>990</v>
      </c>
      <c r="R962" s="13">
        <f t="shared" ref="R962:R1025" si="61">G962*O962</f>
        <v>720</v>
      </c>
      <c r="S962" s="13">
        <f t="shared" ref="S962:S1025" si="62">Q962-R962</f>
        <v>270</v>
      </c>
      <c r="T962" s="14">
        <f t="shared" ref="T962:T1025" si="63">IFERROR(S962/Q962,0)</f>
        <v>0.27272727272727271</v>
      </c>
    </row>
    <row r="963" spans="1:20">
      <c r="A963" t="s">
        <v>1667</v>
      </c>
      <c r="B963" s="8">
        <v>45744</v>
      </c>
      <c r="C963" t="s">
        <v>449</v>
      </c>
      <c r="D963" t="s">
        <v>74</v>
      </c>
      <c r="E963" t="s">
        <v>705</v>
      </c>
      <c r="F963" t="s">
        <v>702</v>
      </c>
      <c r="G963">
        <v>2</v>
      </c>
      <c r="H963" s="9">
        <v>0</v>
      </c>
      <c r="I963" t="s">
        <v>699</v>
      </c>
      <c r="J963">
        <v>4</v>
      </c>
      <c r="K963">
        <v>1</v>
      </c>
      <c r="L963" t="str">
        <f>VLOOKUP(D963,Products!A:E,2,FALSE)</f>
        <v>Printer Paper</v>
      </c>
      <c r="M963" t="str">
        <f>VLOOKUP(D963,Products!A:E,3,FALSE)</f>
        <v>Office Supplies</v>
      </c>
      <c r="N963">
        <f>VLOOKUP(D963,Products!A:E,4,FALSE)</f>
        <v>17</v>
      </c>
      <c r="O963" s="13">
        <f>VLOOKUP(D963,Products!A:E,5,FALSE)</f>
        <v>8</v>
      </c>
      <c r="P963" s="13" t="str">
        <f>VLOOKUP(C963,Customers!A:C,3,FALSE)</f>
        <v>Corporate</v>
      </c>
      <c r="Q963" s="13">
        <f t="shared" si="60"/>
        <v>34</v>
      </c>
      <c r="R963" s="13">
        <f t="shared" si="61"/>
        <v>16</v>
      </c>
      <c r="S963" s="13">
        <f t="shared" si="62"/>
        <v>18</v>
      </c>
      <c r="T963" s="14">
        <f t="shared" si="63"/>
        <v>0.52941176470588236</v>
      </c>
    </row>
    <row r="964" spans="1:20">
      <c r="A964" t="s">
        <v>1668</v>
      </c>
      <c r="B964" s="8">
        <v>46049</v>
      </c>
      <c r="C964" t="s">
        <v>519</v>
      </c>
      <c r="D964" t="s">
        <v>58</v>
      </c>
      <c r="E964" t="s">
        <v>708</v>
      </c>
      <c r="F964" t="s">
        <v>702</v>
      </c>
      <c r="G964">
        <v>3</v>
      </c>
      <c r="H964" s="9">
        <v>0.05</v>
      </c>
      <c r="I964" t="s">
        <v>699</v>
      </c>
      <c r="J964">
        <v>4</v>
      </c>
      <c r="K964">
        <v>1</v>
      </c>
      <c r="L964" t="str">
        <f>VLOOKUP(D964,Products!A:E,2,FALSE)</f>
        <v>Standing Desk</v>
      </c>
      <c r="M964" t="str">
        <f>VLOOKUP(D964,Products!A:E,3,FALSE)</f>
        <v>Furniture</v>
      </c>
      <c r="N964">
        <f>VLOOKUP(D964,Products!A:E,4,FALSE)</f>
        <v>540</v>
      </c>
      <c r="O964" s="13">
        <f>VLOOKUP(D964,Products!A:E,5,FALSE)</f>
        <v>320</v>
      </c>
      <c r="P964" s="13" t="str">
        <f>VLOOKUP(C964,Customers!A:C,3,FALSE)</f>
        <v>Corporate</v>
      </c>
      <c r="Q964" s="13">
        <f t="shared" si="60"/>
        <v>1539</v>
      </c>
      <c r="R964" s="13">
        <f t="shared" si="61"/>
        <v>960</v>
      </c>
      <c r="S964" s="13">
        <f t="shared" si="62"/>
        <v>579</v>
      </c>
      <c r="T964" s="14">
        <f t="shared" si="63"/>
        <v>0.37621832358674462</v>
      </c>
    </row>
    <row r="965" spans="1:20">
      <c r="A965" t="s">
        <v>1669</v>
      </c>
      <c r="B965" s="8">
        <v>45912</v>
      </c>
      <c r="C965" t="s">
        <v>199</v>
      </c>
      <c r="D965" t="s">
        <v>61</v>
      </c>
      <c r="E965" t="s">
        <v>705</v>
      </c>
      <c r="F965" t="s">
        <v>706</v>
      </c>
      <c r="G965">
        <v>3</v>
      </c>
      <c r="H965" s="9">
        <v>0</v>
      </c>
      <c r="I965" t="s">
        <v>699</v>
      </c>
      <c r="J965">
        <v>4</v>
      </c>
      <c r="K965">
        <v>5</v>
      </c>
      <c r="L965" t="str">
        <f>VLOOKUP(D965,Products!A:E,2,FALSE)</f>
        <v>Office Chair</v>
      </c>
      <c r="M965" t="str">
        <f>VLOOKUP(D965,Products!A:E,3,FALSE)</f>
        <v>Furniture</v>
      </c>
      <c r="N965">
        <f>VLOOKUP(D965,Products!A:E,4,FALSE)</f>
        <v>255</v>
      </c>
      <c r="O965" s="13">
        <f>VLOOKUP(D965,Products!A:E,5,FALSE)</f>
        <v>145</v>
      </c>
      <c r="P965" s="13" t="str">
        <f>VLOOKUP(C965,Customers!A:C,3,FALSE)</f>
        <v>Consumer</v>
      </c>
      <c r="Q965" s="13">
        <f t="shared" si="60"/>
        <v>765</v>
      </c>
      <c r="R965" s="13">
        <f t="shared" si="61"/>
        <v>435</v>
      </c>
      <c r="S965" s="13">
        <f t="shared" si="62"/>
        <v>330</v>
      </c>
      <c r="T965" s="14">
        <f t="shared" si="63"/>
        <v>0.43137254901960786</v>
      </c>
    </row>
    <row r="966" spans="1:20">
      <c r="A966" t="s">
        <v>1670</v>
      </c>
      <c r="B966" s="8">
        <v>46072</v>
      </c>
      <c r="C966" t="s">
        <v>487</v>
      </c>
      <c r="D966" t="s">
        <v>72</v>
      </c>
      <c r="E966" t="s">
        <v>705</v>
      </c>
      <c r="F966" t="s">
        <v>698</v>
      </c>
      <c r="G966">
        <v>5</v>
      </c>
      <c r="H966" s="9">
        <v>0</v>
      </c>
      <c r="I966" t="s">
        <v>699</v>
      </c>
      <c r="J966">
        <v>5</v>
      </c>
      <c r="K966">
        <v>3</v>
      </c>
      <c r="L966" t="str">
        <f>VLOOKUP(D966,Products!A:E,2,FALSE)</f>
        <v>Phone Charger</v>
      </c>
      <c r="M966" t="str">
        <f>VLOOKUP(D966,Products!A:E,3,FALSE)</f>
        <v>Accessories</v>
      </c>
      <c r="N966">
        <f>VLOOKUP(D966,Products!A:E,4,FALSE)</f>
        <v>32</v>
      </c>
      <c r="O966" s="13">
        <f>VLOOKUP(D966,Products!A:E,5,FALSE)</f>
        <v>13</v>
      </c>
      <c r="P966" s="13" t="str">
        <f>VLOOKUP(C966,Customers!A:C,3,FALSE)</f>
        <v>Small Business</v>
      </c>
      <c r="Q966" s="13">
        <f t="shared" si="60"/>
        <v>160</v>
      </c>
      <c r="R966" s="13">
        <f t="shared" si="61"/>
        <v>65</v>
      </c>
      <c r="S966" s="13">
        <f t="shared" si="62"/>
        <v>95</v>
      </c>
      <c r="T966" s="14">
        <f t="shared" si="63"/>
        <v>0.59375</v>
      </c>
    </row>
    <row r="967" spans="1:20">
      <c r="A967" t="s">
        <v>1671</v>
      </c>
      <c r="B967" s="8">
        <v>45952</v>
      </c>
      <c r="C967" t="s">
        <v>381</v>
      </c>
      <c r="D967" t="s">
        <v>45</v>
      </c>
      <c r="E967" t="s">
        <v>705</v>
      </c>
      <c r="F967" t="s">
        <v>698</v>
      </c>
      <c r="G967">
        <v>3</v>
      </c>
      <c r="H967" s="9">
        <v>0.05</v>
      </c>
      <c r="I967" t="s">
        <v>699</v>
      </c>
      <c r="J967">
        <v>5</v>
      </c>
      <c r="K967">
        <v>2</v>
      </c>
      <c r="L967" t="str">
        <f>VLOOKUP(D967,Products!A:E,2,FALSE)</f>
        <v>Laptop</v>
      </c>
      <c r="M967" t="str">
        <f>VLOOKUP(D967,Products!A:E,3,FALSE)</f>
        <v>Technology</v>
      </c>
      <c r="N967">
        <f>VLOOKUP(D967,Products!A:E,4,FALSE)</f>
        <v>1100</v>
      </c>
      <c r="O967" s="13">
        <f>VLOOKUP(D967,Products!A:E,5,FALSE)</f>
        <v>720</v>
      </c>
      <c r="P967" s="13" t="str">
        <f>VLOOKUP(C967,Customers!A:C,3,FALSE)</f>
        <v>Corporate</v>
      </c>
      <c r="Q967" s="13">
        <f t="shared" si="60"/>
        <v>3135</v>
      </c>
      <c r="R967" s="13">
        <f t="shared" si="61"/>
        <v>2160</v>
      </c>
      <c r="S967" s="13">
        <f t="shared" si="62"/>
        <v>975</v>
      </c>
      <c r="T967" s="14">
        <f t="shared" si="63"/>
        <v>0.31100478468899523</v>
      </c>
    </row>
    <row r="968" spans="1:20">
      <c r="A968" t="s">
        <v>1672</v>
      </c>
      <c r="B968" s="8">
        <v>45832</v>
      </c>
      <c r="C968" t="s">
        <v>409</v>
      </c>
      <c r="D968" t="s">
        <v>50</v>
      </c>
      <c r="E968" t="s">
        <v>705</v>
      </c>
      <c r="F968" t="s">
        <v>702</v>
      </c>
      <c r="G968">
        <v>2</v>
      </c>
      <c r="H968" s="9">
        <v>0.2</v>
      </c>
      <c r="I968" t="s">
        <v>699</v>
      </c>
      <c r="J968">
        <v>4</v>
      </c>
      <c r="K968">
        <v>1</v>
      </c>
      <c r="L968" t="str">
        <f>VLOOKUP(D968,Products!A:E,2,FALSE)</f>
        <v>Keyboard</v>
      </c>
      <c r="M968" t="str">
        <f>VLOOKUP(D968,Products!A:E,3,FALSE)</f>
        <v>Technology</v>
      </c>
      <c r="N968">
        <f>VLOOKUP(D968,Products!A:E,4,FALSE)</f>
        <v>75</v>
      </c>
      <c r="O968" s="13">
        <f>VLOOKUP(D968,Products!A:E,5,FALSE)</f>
        <v>38</v>
      </c>
      <c r="P968" s="13" t="str">
        <f>VLOOKUP(C968,Customers!A:C,3,FALSE)</f>
        <v>Corporate</v>
      </c>
      <c r="Q968" s="13">
        <f t="shared" si="60"/>
        <v>120</v>
      </c>
      <c r="R968" s="13">
        <f t="shared" si="61"/>
        <v>76</v>
      </c>
      <c r="S968" s="13">
        <f t="shared" si="62"/>
        <v>44</v>
      </c>
      <c r="T968" s="14">
        <f t="shared" si="63"/>
        <v>0.36666666666666664</v>
      </c>
    </row>
    <row r="969" spans="1:20">
      <c r="A969" t="s">
        <v>1673</v>
      </c>
      <c r="B969" s="8">
        <v>45839</v>
      </c>
      <c r="C969" t="s">
        <v>357</v>
      </c>
      <c r="D969" t="s">
        <v>50</v>
      </c>
      <c r="E969" t="s">
        <v>705</v>
      </c>
      <c r="F969" t="s">
        <v>698</v>
      </c>
      <c r="G969">
        <v>1</v>
      </c>
      <c r="H969" s="9">
        <v>0</v>
      </c>
      <c r="I969" t="s">
        <v>699</v>
      </c>
      <c r="J969">
        <v>1</v>
      </c>
      <c r="K969">
        <v>6</v>
      </c>
      <c r="L969" t="str">
        <f>VLOOKUP(D969,Products!A:E,2,FALSE)</f>
        <v>Keyboard</v>
      </c>
      <c r="M969" t="str">
        <f>VLOOKUP(D969,Products!A:E,3,FALSE)</f>
        <v>Technology</v>
      </c>
      <c r="N969">
        <f>VLOOKUP(D969,Products!A:E,4,FALSE)</f>
        <v>75</v>
      </c>
      <c r="O969" s="13">
        <f>VLOOKUP(D969,Products!A:E,5,FALSE)</f>
        <v>38</v>
      </c>
      <c r="P969" s="13" t="str">
        <f>VLOOKUP(C969,Customers!A:C,3,FALSE)</f>
        <v>Consumer</v>
      </c>
      <c r="Q969" s="13">
        <f t="shared" si="60"/>
        <v>75</v>
      </c>
      <c r="R969" s="13">
        <f t="shared" si="61"/>
        <v>38</v>
      </c>
      <c r="S969" s="13">
        <f t="shared" si="62"/>
        <v>37</v>
      </c>
      <c r="T969" s="14">
        <f t="shared" si="63"/>
        <v>0.49333333333333335</v>
      </c>
    </row>
    <row r="970" spans="1:20">
      <c r="A970" t="s">
        <v>1674</v>
      </c>
      <c r="B970" s="8">
        <v>45770</v>
      </c>
      <c r="C970" t="s">
        <v>133</v>
      </c>
      <c r="D970" t="s">
        <v>45</v>
      </c>
      <c r="E970" t="s">
        <v>715</v>
      </c>
      <c r="F970" t="s">
        <v>706</v>
      </c>
      <c r="G970">
        <v>5</v>
      </c>
      <c r="H970" s="9">
        <v>0.05</v>
      </c>
      <c r="I970" t="s">
        <v>699</v>
      </c>
      <c r="J970">
        <v>3</v>
      </c>
      <c r="K970">
        <v>1</v>
      </c>
      <c r="L970" t="str">
        <f>VLOOKUP(D970,Products!A:E,2,FALSE)</f>
        <v>Laptop</v>
      </c>
      <c r="M970" t="str">
        <f>VLOOKUP(D970,Products!A:E,3,FALSE)</f>
        <v>Technology</v>
      </c>
      <c r="N970">
        <f>VLOOKUP(D970,Products!A:E,4,FALSE)</f>
        <v>1100</v>
      </c>
      <c r="O970" s="13">
        <f>VLOOKUP(D970,Products!A:E,5,FALSE)</f>
        <v>720</v>
      </c>
      <c r="P970" s="13" t="str">
        <f>VLOOKUP(C970,Customers!A:C,3,FALSE)</f>
        <v>Consumer</v>
      </c>
      <c r="Q970" s="13">
        <f t="shared" si="60"/>
        <v>5225</v>
      </c>
      <c r="R970" s="13">
        <f t="shared" si="61"/>
        <v>3600</v>
      </c>
      <c r="S970" s="13">
        <f t="shared" si="62"/>
        <v>1625</v>
      </c>
      <c r="T970" s="14">
        <f t="shared" si="63"/>
        <v>0.31100478468899523</v>
      </c>
    </row>
    <row r="971" spans="1:20">
      <c r="A971" t="s">
        <v>1675</v>
      </c>
      <c r="B971" s="8">
        <v>45760</v>
      </c>
      <c r="C971" t="s">
        <v>397</v>
      </c>
      <c r="D971" t="s">
        <v>68</v>
      </c>
      <c r="E971" t="s">
        <v>715</v>
      </c>
      <c r="F971" t="s">
        <v>698</v>
      </c>
      <c r="G971">
        <v>8</v>
      </c>
      <c r="H971" s="9">
        <v>0</v>
      </c>
      <c r="I971" t="s">
        <v>699</v>
      </c>
      <c r="J971">
        <v>4</v>
      </c>
      <c r="K971">
        <v>1</v>
      </c>
      <c r="L971" t="str">
        <f>VLOOKUP(D971,Products!A:E,2,FALSE)</f>
        <v>Backpack</v>
      </c>
      <c r="M971" t="str">
        <f>VLOOKUP(D971,Products!A:E,3,FALSE)</f>
        <v>Accessories</v>
      </c>
      <c r="N971">
        <f>VLOOKUP(D971,Products!A:E,4,FALSE)</f>
        <v>85</v>
      </c>
      <c r="O971" s="13">
        <f>VLOOKUP(D971,Products!A:E,5,FALSE)</f>
        <v>39</v>
      </c>
      <c r="P971" s="13" t="str">
        <f>VLOOKUP(C971,Customers!A:C,3,FALSE)</f>
        <v>Consumer</v>
      </c>
      <c r="Q971" s="13">
        <f t="shared" si="60"/>
        <v>680</v>
      </c>
      <c r="R971" s="13">
        <f t="shared" si="61"/>
        <v>312</v>
      </c>
      <c r="S971" s="13">
        <f t="shared" si="62"/>
        <v>368</v>
      </c>
      <c r="T971" s="14">
        <f t="shared" si="63"/>
        <v>0.54117647058823526</v>
      </c>
    </row>
    <row r="972" spans="1:20">
      <c r="A972" t="s">
        <v>1676</v>
      </c>
      <c r="B972" s="8">
        <v>46019</v>
      </c>
      <c r="C972" t="s">
        <v>395</v>
      </c>
      <c r="D972" t="s">
        <v>68</v>
      </c>
      <c r="E972" t="s">
        <v>697</v>
      </c>
      <c r="F972" t="s">
        <v>698</v>
      </c>
      <c r="G972">
        <v>5</v>
      </c>
      <c r="H972" s="9">
        <v>0.15</v>
      </c>
      <c r="I972" t="s">
        <v>699</v>
      </c>
      <c r="J972">
        <v>3</v>
      </c>
      <c r="K972">
        <v>5</v>
      </c>
      <c r="L972" t="str">
        <f>VLOOKUP(D972,Products!A:E,2,FALSE)</f>
        <v>Backpack</v>
      </c>
      <c r="M972" t="str">
        <f>VLOOKUP(D972,Products!A:E,3,FALSE)</f>
        <v>Accessories</v>
      </c>
      <c r="N972">
        <f>VLOOKUP(D972,Products!A:E,4,FALSE)</f>
        <v>85</v>
      </c>
      <c r="O972" s="13">
        <f>VLOOKUP(D972,Products!A:E,5,FALSE)</f>
        <v>39</v>
      </c>
      <c r="P972" s="13" t="str">
        <f>VLOOKUP(C972,Customers!A:C,3,FALSE)</f>
        <v>Consumer</v>
      </c>
      <c r="Q972" s="13">
        <f t="shared" si="60"/>
        <v>361.25</v>
      </c>
      <c r="R972" s="13">
        <f t="shared" si="61"/>
        <v>195</v>
      </c>
      <c r="S972" s="13">
        <f t="shared" si="62"/>
        <v>166.25</v>
      </c>
      <c r="T972" s="14">
        <f t="shared" si="63"/>
        <v>0.46020761245674741</v>
      </c>
    </row>
    <row r="973" spans="1:20">
      <c r="A973" t="s">
        <v>1677</v>
      </c>
      <c r="B973" s="8">
        <v>45679</v>
      </c>
      <c r="C973" t="s">
        <v>237</v>
      </c>
      <c r="D973" t="s">
        <v>74</v>
      </c>
      <c r="E973" t="s">
        <v>697</v>
      </c>
      <c r="F973" t="s">
        <v>698</v>
      </c>
      <c r="G973">
        <v>1</v>
      </c>
      <c r="H973" s="9">
        <v>0.05</v>
      </c>
      <c r="I973" t="s">
        <v>699</v>
      </c>
      <c r="J973">
        <v>5</v>
      </c>
      <c r="K973">
        <v>4</v>
      </c>
      <c r="L973" t="str">
        <f>VLOOKUP(D973,Products!A:E,2,FALSE)</f>
        <v>Printer Paper</v>
      </c>
      <c r="M973" t="str">
        <f>VLOOKUP(D973,Products!A:E,3,FALSE)</f>
        <v>Office Supplies</v>
      </c>
      <c r="N973">
        <f>VLOOKUP(D973,Products!A:E,4,FALSE)</f>
        <v>17</v>
      </c>
      <c r="O973" s="13">
        <f>VLOOKUP(D973,Products!A:E,5,FALSE)</f>
        <v>8</v>
      </c>
      <c r="P973" s="13" t="str">
        <f>VLOOKUP(C973,Customers!A:C,3,FALSE)</f>
        <v>Consumer</v>
      </c>
      <c r="Q973" s="13">
        <f t="shared" si="60"/>
        <v>16.149999999999999</v>
      </c>
      <c r="R973" s="13">
        <f t="shared" si="61"/>
        <v>8</v>
      </c>
      <c r="S973" s="13">
        <f t="shared" si="62"/>
        <v>8.1499999999999986</v>
      </c>
      <c r="T973" s="14">
        <f t="shared" si="63"/>
        <v>0.50464396284829716</v>
      </c>
    </row>
    <row r="974" spans="1:20">
      <c r="A974" t="s">
        <v>1678</v>
      </c>
      <c r="B974" s="8">
        <v>46026</v>
      </c>
      <c r="C974" t="s">
        <v>297</v>
      </c>
      <c r="D974" t="s">
        <v>50</v>
      </c>
      <c r="E974" t="s">
        <v>705</v>
      </c>
      <c r="F974" t="s">
        <v>706</v>
      </c>
      <c r="G974">
        <v>3</v>
      </c>
      <c r="H974" s="9">
        <v>0.2</v>
      </c>
      <c r="I974" t="s">
        <v>699</v>
      </c>
      <c r="J974">
        <v>5</v>
      </c>
      <c r="K974">
        <v>4</v>
      </c>
      <c r="L974" t="str">
        <f>VLOOKUP(D974,Products!A:E,2,FALSE)</f>
        <v>Keyboard</v>
      </c>
      <c r="M974" t="str">
        <f>VLOOKUP(D974,Products!A:E,3,FALSE)</f>
        <v>Technology</v>
      </c>
      <c r="N974">
        <f>VLOOKUP(D974,Products!A:E,4,FALSE)</f>
        <v>75</v>
      </c>
      <c r="O974" s="13">
        <f>VLOOKUP(D974,Products!A:E,5,FALSE)</f>
        <v>38</v>
      </c>
      <c r="P974" s="13" t="str">
        <f>VLOOKUP(C974,Customers!A:C,3,FALSE)</f>
        <v>Corporate</v>
      </c>
      <c r="Q974" s="13">
        <f t="shared" si="60"/>
        <v>180</v>
      </c>
      <c r="R974" s="13">
        <f t="shared" si="61"/>
        <v>114</v>
      </c>
      <c r="S974" s="13">
        <f t="shared" si="62"/>
        <v>66</v>
      </c>
      <c r="T974" s="14">
        <f t="shared" si="63"/>
        <v>0.36666666666666664</v>
      </c>
    </row>
    <row r="975" spans="1:20">
      <c r="A975" t="s">
        <v>1679</v>
      </c>
      <c r="B975" s="8">
        <v>46197</v>
      </c>
      <c r="C975" t="s">
        <v>265</v>
      </c>
      <c r="D975" t="s">
        <v>63</v>
      </c>
      <c r="E975" t="s">
        <v>697</v>
      </c>
      <c r="F975" t="s">
        <v>702</v>
      </c>
      <c r="G975">
        <v>2</v>
      </c>
      <c r="H975" s="9">
        <v>0.05</v>
      </c>
      <c r="I975" t="s">
        <v>703</v>
      </c>
      <c r="J975">
        <v>4</v>
      </c>
      <c r="K975">
        <v>3</v>
      </c>
      <c r="L975" t="str">
        <f>VLOOKUP(D975,Products!A:E,2,FALSE)</f>
        <v>Bookshelf</v>
      </c>
      <c r="M975" t="str">
        <f>VLOOKUP(D975,Products!A:E,3,FALSE)</f>
        <v>Furniture</v>
      </c>
      <c r="N975">
        <f>VLOOKUP(D975,Products!A:E,4,FALSE)</f>
        <v>185</v>
      </c>
      <c r="O975" s="13">
        <f>VLOOKUP(D975,Products!A:E,5,FALSE)</f>
        <v>105</v>
      </c>
      <c r="P975" s="13" t="str">
        <f>VLOOKUP(C975,Customers!A:C,3,FALSE)</f>
        <v>Consumer</v>
      </c>
      <c r="Q975" s="13">
        <f t="shared" si="60"/>
        <v>351.5</v>
      </c>
      <c r="R975" s="13">
        <f t="shared" si="61"/>
        <v>210</v>
      </c>
      <c r="S975" s="13">
        <f t="shared" si="62"/>
        <v>141.5</v>
      </c>
      <c r="T975" s="14">
        <f t="shared" si="63"/>
        <v>0.40256045519203415</v>
      </c>
    </row>
    <row r="976" spans="1:20">
      <c r="A976" t="s">
        <v>1680</v>
      </c>
      <c r="B976" s="8">
        <v>46251</v>
      </c>
      <c r="C976" t="s">
        <v>619</v>
      </c>
      <c r="D976" t="s">
        <v>68</v>
      </c>
      <c r="E976" t="s">
        <v>697</v>
      </c>
      <c r="F976" t="s">
        <v>702</v>
      </c>
      <c r="G976">
        <v>4</v>
      </c>
      <c r="H976" s="9">
        <v>0.05</v>
      </c>
      <c r="I976" t="s">
        <v>699</v>
      </c>
      <c r="J976">
        <v>4</v>
      </c>
      <c r="K976">
        <v>1</v>
      </c>
      <c r="L976" t="str">
        <f>VLOOKUP(D976,Products!A:E,2,FALSE)</f>
        <v>Backpack</v>
      </c>
      <c r="M976" t="str">
        <f>VLOOKUP(D976,Products!A:E,3,FALSE)</f>
        <v>Accessories</v>
      </c>
      <c r="N976">
        <f>VLOOKUP(D976,Products!A:E,4,FALSE)</f>
        <v>85</v>
      </c>
      <c r="O976" s="13">
        <f>VLOOKUP(D976,Products!A:E,5,FALSE)</f>
        <v>39</v>
      </c>
      <c r="P976" s="13" t="str">
        <f>VLOOKUP(C976,Customers!A:C,3,FALSE)</f>
        <v>Corporate</v>
      </c>
      <c r="Q976" s="13">
        <f t="shared" si="60"/>
        <v>323</v>
      </c>
      <c r="R976" s="13">
        <f t="shared" si="61"/>
        <v>156</v>
      </c>
      <c r="S976" s="13">
        <f t="shared" si="62"/>
        <v>167</v>
      </c>
      <c r="T976" s="14">
        <f t="shared" si="63"/>
        <v>0.51702786377708976</v>
      </c>
    </row>
    <row r="977" spans="1:20">
      <c r="A977" t="s">
        <v>1681</v>
      </c>
      <c r="B977" s="8">
        <v>45666</v>
      </c>
      <c r="C977" t="s">
        <v>597</v>
      </c>
      <c r="D977" t="s">
        <v>54</v>
      </c>
      <c r="E977" t="s">
        <v>715</v>
      </c>
      <c r="F977" t="s">
        <v>702</v>
      </c>
      <c r="G977">
        <v>7</v>
      </c>
      <c r="H977" s="9">
        <v>0.05</v>
      </c>
      <c r="I977" t="s">
        <v>699</v>
      </c>
      <c r="J977">
        <v>4</v>
      </c>
      <c r="K977">
        <v>3</v>
      </c>
      <c r="L977" t="str">
        <f>VLOOKUP(D977,Products!A:E,2,FALSE)</f>
        <v>Webcam</v>
      </c>
      <c r="M977" t="str">
        <f>VLOOKUP(D977,Products!A:E,3,FALSE)</f>
        <v>Technology</v>
      </c>
      <c r="N977">
        <f>VLOOKUP(D977,Products!A:E,4,FALSE)</f>
        <v>115</v>
      </c>
      <c r="O977" s="13">
        <f>VLOOKUP(D977,Products!A:E,5,FALSE)</f>
        <v>58</v>
      </c>
      <c r="P977" s="13" t="str">
        <f>VLOOKUP(C977,Customers!A:C,3,FALSE)</f>
        <v>Small Business</v>
      </c>
      <c r="Q977" s="13">
        <f t="shared" si="60"/>
        <v>764.75</v>
      </c>
      <c r="R977" s="13">
        <f t="shared" si="61"/>
        <v>406</v>
      </c>
      <c r="S977" s="13">
        <f t="shared" si="62"/>
        <v>358.75</v>
      </c>
      <c r="T977" s="14">
        <f t="shared" si="63"/>
        <v>0.46910755148741418</v>
      </c>
    </row>
    <row r="978" spans="1:20">
      <c r="A978" t="s">
        <v>1682</v>
      </c>
      <c r="B978" s="8">
        <v>45724</v>
      </c>
      <c r="C978" t="s">
        <v>387</v>
      </c>
      <c r="D978" t="s">
        <v>45</v>
      </c>
      <c r="E978" t="s">
        <v>715</v>
      </c>
      <c r="F978" t="s">
        <v>702</v>
      </c>
      <c r="G978">
        <v>5</v>
      </c>
      <c r="H978" s="9">
        <v>0</v>
      </c>
      <c r="I978" t="s">
        <v>699</v>
      </c>
      <c r="J978">
        <v>1</v>
      </c>
      <c r="K978">
        <v>4</v>
      </c>
      <c r="L978" t="str">
        <f>VLOOKUP(D978,Products!A:E,2,FALSE)</f>
        <v>Laptop</v>
      </c>
      <c r="M978" t="str">
        <f>VLOOKUP(D978,Products!A:E,3,FALSE)</f>
        <v>Technology</v>
      </c>
      <c r="N978">
        <f>VLOOKUP(D978,Products!A:E,4,FALSE)</f>
        <v>1100</v>
      </c>
      <c r="O978" s="13">
        <f>VLOOKUP(D978,Products!A:E,5,FALSE)</f>
        <v>720</v>
      </c>
      <c r="P978" s="13" t="str">
        <f>VLOOKUP(C978,Customers!A:C,3,FALSE)</f>
        <v>Small Business</v>
      </c>
      <c r="Q978" s="13">
        <f t="shared" si="60"/>
        <v>5500</v>
      </c>
      <c r="R978" s="13">
        <f t="shared" si="61"/>
        <v>3600</v>
      </c>
      <c r="S978" s="13">
        <f t="shared" si="62"/>
        <v>1900</v>
      </c>
      <c r="T978" s="14">
        <f t="shared" si="63"/>
        <v>0.34545454545454546</v>
      </c>
    </row>
    <row r="979" spans="1:20">
      <c r="A979" t="s">
        <v>1683</v>
      </c>
      <c r="B979" s="8">
        <v>45709</v>
      </c>
      <c r="C979" t="s">
        <v>343</v>
      </c>
      <c r="D979" t="s">
        <v>54</v>
      </c>
      <c r="E979" t="s">
        <v>708</v>
      </c>
      <c r="F979" t="s">
        <v>702</v>
      </c>
      <c r="G979">
        <v>5</v>
      </c>
      <c r="H979" s="9">
        <v>0.1</v>
      </c>
      <c r="I979" t="s">
        <v>699</v>
      </c>
      <c r="J979">
        <v>3</v>
      </c>
      <c r="K979">
        <v>1</v>
      </c>
      <c r="L979" t="str">
        <f>VLOOKUP(D979,Products!A:E,2,FALSE)</f>
        <v>Webcam</v>
      </c>
      <c r="M979" t="str">
        <f>VLOOKUP(D979,Products!A:E,3,FALSE)</f>
        <v>Technology</v>
      </c>
      <c r="N979">
        <f>VLOOKUP(D979,Products!A:E,4,FALSE)</f>
        <v>115</v>
      </c>
      <c r="O979" s="13">
        <f>VLOOKUP(D979,Products!A:E,5,FALSE)</f>
        <v>58</v>
      </c>
      <c r="P979" s="13" t="str">
        <f>VLOOKUP(C979,Customers!A:C,3,FALSE)</f>
        <v>Small Business</v>
      </c>
      <c r="Q979" s="13">
        <f t="shared" si="60"/>
        <v>517.5</v>
      </c>
      <c r="R979" s="13">
        <f t="shared" si="61"/>
        <v>290</v>
      </c>
      <c r="S979" s="13">
        <f t="shared" si="62"/>
        <v>227.5</v>
      </c>
      <c r="T979" s="14">
        <f t="shared" si="63"/>
        <v>0.43961352657004832</v>
      </c>
    </row>
    <row r="980" spans="1:20">
      <c r="A980" t="s">
        <v>1684</v>
      </c>
      <c r="B980" s="8">
        <v>45935</v>
      </c>
      <c r="C980" t="s">
        <v>233</v>
      </c>
      <c r="D980" t="s">
        <v>58</v>
      </c>
      <c r="E980" t="s">
        <v>715</v>
      </c>
      <c r="F980" t="s">
        <v>706</v>
      </c>
      <c r="G980">
        <v>1</v>
      </c>
      <c r="H980" s="9">
        <v>0</v>
      </c>
      <c r="I980" t="s">
        <v>703</v>
      </c>
      <c r="J980">
        <v>3</v>
      </c>
      <c r="K980">
        <v>8</v>
      </c>
      <c r="L980" t="str">
        <f>VLOOKUP(D980,Products!A:E,2,FALSE)</f>
        <v>Standing Desk</v>
      </c>
      <c r="M980" t="str">
        <f>VLOOKUP(D980,Products!A:E,3,FALSE)</f>
        <v>Furniture</v>
      </c>
      <c r="N980">
        <f>VLOOKUP(D980,Products!A:E,4,FALSE)</f>
        <v>540</v>
      </c>
      <c r="O980" s="13">
        <f>VLOOKUP(D980,Products!A:E,5,FALSE)</f>
        <v>320</v>
      </c>
      <c r="P980" s="13" t="str">
        <f>VLOOKUP(C980,Customers!A:C,3,FALSE)</f>
        <v>Consumer</v>
      </c>
      <c r="Q980" s="13">
        <f t="shared" si="60"/>
        <v>540</v>
      </c>
      <c r="R980" s="13">
        <f t="shared" si="61"/>
        <v>320</v>
      </c>
      <c r="S980" s="13">
        <f t="shared" si="62"/>
        <v>220</v>
      </c>
      <c r="T980" s="14">
        <f t="shared" si="63"/>
        <v>0.40740740740740738</v>
      </c>
    </row>
    <row r="981" spans="1:20">
      <c r="A981" t="s">
        <v>1685</v>
      </c>
      <c r="B981" s="8">
        <v>46066</v>
      </c>
      <c r="C981" t="s">
        <v>187</v>
      </c>
      <c r="D981" t="s">
        <v>63</v>
      </c>
      <c r="E981" t="s">
        <v>697</v>
      </c>
      <c r="F981" t="s">
        <v>698</v>
      </c>
      <c r="G981">
        <v>1</v>
      </c>
      <c r="H981" s="9">
        <v>0</v>
      </c>
      <c r="I981" t="s">
        <v>699</v>
      </c>
      <c r="J981">
        <v>5</v>
      </c>
      <c r="K981">
        <v>2</v>
      </c>
      <c r="L981" t="str">
        <f>VLOOKUP(D981,Products!A:E,2,FALSE)</f>
        <v>Bookshelf</v>
      </c>
      <c r="M981" t="str">
        <f>VLOOKUP(D981,Products!A:E,3,FALSE)</f>
        <v>Furniture</v>
      </c>
      <c r="N981">
        <f>VLOOKUP(D981,Products!A:E,4,FALSE)</f>
        <v>185</v>
      </c>
      <c r="O981" s="13">
        <f>VLOOKUP(D981,Products!A:E,5,FALSE)</f>
        <v>105</v>
      </c>
      <c r="P981" s="13" t="str">
        <f>VLOOKUP(C981,Customers!A:C,3,FALSE)</f>
        <v>Consumer</v>
      </c>
      <c r="Q981" s="13">
        <f t="shared" si="60"/>
        <v>185</v>
      </c>
      <c r="R981" s="13">
        <f t="shared" si="61"/>
        <v>105</v>
      </c>
      <c r="S981" s="13">
        <f t="shared" si="62"/>
        <v>80</v>
      </c>
      <c r="T981" s="14">
        <f t="shared" si="63"/>
        <v>0.43243243243243246</v>
      </c>
    </row>
    <row r="982" spans="1:20">
      <c r="A982" t="s">
        <v>1686</v>
      </c>
      <c r="B982" s="8">
        <v>45862</v>
      </c>
      <c r="C982" t="s">
        <v>343</v>
      </c>
      <c r="D982" t="s">
        <v>54</v>
      </c>
      <c r="E982" t="s">
        <v>708</v>
      </c>
      <c r="F982" t="s">
        <v>702</v>
      </c>
      <c r="G982">
        <v>1</v>
      </c>
      <c r="H982" s="9">
        <v>0</v>
      </c>
      <c r="I982" t="s">
        <v>703</v>
      </c>
      <c r="J982">
        <v>4</v>
      </c>
      <c r="K982">
        <v>6</v>
      </c>
      <c r="L982" t="str">
        <f>VLOOKUP(D982,Products!A:E,2,FALSE)</f>
        <v>Webcam</v>
      </c>
      <c r="M982" t="str">
        <f>VLOOKUP(D982,Products!A:E,3,FALSE)</f>
        <v>Technology</v>
      </c>
      <c r="N982">
        <f>VLOOKUP(D982,Products!A:E,4,FALSE)</f>
        <v>115</v>
      </c>
      <c r="O982" s="13">
        <f>VLOOKUP(D982,Products!A:E,5,FALSE)</f>
        <v>58</v>
      </c>
      <c r="P982" s="13" t="str">
        <f>VLOOKUP(C982,Customers!A:C,3,FALSE)</f>
        <v>Small Business</v>
      </c>
      <c r="Q982" s="13">
        <f t="shared" si="60"/>
        <v>115</v>
      </c>
      <c r="R982" s="13">
        <f t="shared" si="61"/>
        <v>58</v>
      </c>
      <c r="S982" s="13">
        <f t="shared" si="62"/>
        <v>57</v>
      </c>
      <c r="T982" s="14">
        <f t="shared" si="63"/>
        <v>0.4956521739130435</v>
      </c>
    </row>
    <row r="983" spans="1:20">
      <c r="A983" t="s">
        <v>1687</v>
      </c>
      <c r="B983" s="8">
        <v>46105</v>
      </c>
      <c r="C983" t="s">
        <v>185</v>
      </c>
      <c r="D983" t="s">
        <v>54</v>
      </c>
      <c r="E983" t="s">
        <v>715</v>
      </c>
      <c r="F983" t="s">
        <v>698</v>
      </c>
      <c r="G983">
        <v>2</v>
      </c>
      <c r="H983" s="9">
        <v>0.1</v>
      </c>
      <c r="I983" t="s">
        <v>699</v>
      </c>
      <c r="J983">
        <v>4</v>
      </c>
      <c r="K983">
        <v>4</v>
      </c>
      <c r="L983" t="str">
        <f>VLOOKUP(D983,Products!A:E,2,FALSE)</f>
        <v>Webcam</v>
      </c>
      <c r="M983" t="str">
        <f>VLOOKUP(D983,Products!A:E,3,FALSE)</f>
        <v>Technology</v>
      </c>
      <c r="N983">
        <f>VLOOKUP(D983,Products!A:E,4,FALSE)</f>
        <v>115</v>
      </c>
      <c r="O983" s="13">
        <f>VLOOKUP(D983,Products!A:E,5,FALSE)</f>
        <v>58</v>
      </c>
      <c r="P983" s="13" t="str">
        <f>VLOOKUP(C983,Customers!A:C,3,FALSE)</f>
        <v>Consumer</v>
      </c>
      <c r="Q983" s="13">
        <f t="shared" si="60"/>
        <v>207</v>
      </c>
      <c r="R983" s="13">
        <f t="shared" si="61"/>
        <v>116</v>
      </c>
      <c r="S983" s="13">
        <f t="shared" si="62"/>
        <v>91</v>
      </c>
      <c r="T983" s="14">
        <f t="shared" si="63"/>
        <v>0.43961352657004832</v>
      </c>
    </row>
    <row r="984" spans="1:20">
      <c r="A984" t="s">
        <v>1688</v>
      </c>
      <c r="B984" s="8">
        <v>46088</v>
      </c>
      <c r="C984" t="s">
        <v>507</v>
      </c>
      <c r="D984" t="s">
        <v>77</v>
      </c>
      <c r="E984" t="s">
        <v>705</v>
      </c>
      <c r="F984" t="s">
        <v>698</v>
      </c>
      <c r="G984">
        <v>7</v>
      </c>
      <c r="H984" s="9">
        <v>0</v>
      </c>
      <c r="I984" t="s">
        <v>699</v>
      </c>
      <c r="J984">
        <v>5</v>
      </c>
      <c r="K984">
        <v>3</v>
      </c>
      <c r="L984" t="str">
        <f>VLOOKUP(D984,Products!A:E,2,FALSE)</f>
        <v>File Folder Pack</v>
      </c>
      <c r="M984" t="str">
        <f>VLOOKUP(D984,Products!A:E,3,FALSE)</f>
        <v>Office Supplies</v>
      </c>
      <c r="N984">
        <f>VLOOKUP(D984,Products!A:E,4,FALSE)</f>
        <v>23</v>
      </c>
      <c r="O984" s="13">
        <f>VLOOKUP(D984,Products!A:E,5,FALSE)</f>
        <v>10</v>
      </c>
      <c r="P984" s="13" t="str">
        <f>VLOOKUP(C984,Customers!A:C,3,FALSE)</f>
        <v>Consumer</v>
      </c>
      <c r="Q984" s="13">
        <f t="shared" si="60"/>
        <v>161</v>
      </c>
      <c r="R984" s="13">
        <f t="shared" si="61"/>
        <v>70</v>
      </c>
      <c r="S984" s="13">
        <f t="shared" si="62"/>
        <v>91</v>
      </c>
      <c r="T984" s="14">
        <f t="shared" si="63"/>
        <v>0.56521739130434778</v>
      </c>
    </row>
    <row r="985" spans="1:20">
      <c r="A985" t="s">
        <v>1689</v>
      </c>
      <c r="B985" s="8">
        <v>45906</v>
      </c>
      <c r="C985" t="s">
        <v>681</v>
      </c>
      <c r="D985" t="s">
        <v>70</v>
      </c>
      <c r="E985" t="s">
        <v>705</v>
      </c>
      <c r="F985" t="s">
        <v>698</v>
      </c>
      <c r="G985">
        <v>3</v>
      </c>
      <c r="H985" s="9">
        <v>0</v>
      </c>
      <c r="I985" t="s">
        <v>699</v>
      </c>
      <c r="J985">
        <v>4</v>
      </c>
      <c r="K985">
        <v>4</v>
      </c>
      <c r="L985" t="str">
        <f>VLOOKUP(D985,Products!A:E,2,FALSE)</f>
        <v>USB-C Hub</v>
      </c>
      <c r="M985" t="str">
        <f>VLOOKUP(D985,Products!A:E,3,FALSE)</f>
        <v>Accessories</v>
      </c>
      <c r="N985">
        <f>VLOOKUP(D985,Products!A:E,4,FALSE)</f>
        <v>68</v>
      </c>
      <c r="O985" s="13">
        <f>VLOOKUP(D985,Products!A:E,5,FALSE)</f>
        <v>31</v>
      </c>
      <c r="P985" s="13" t="str">
        <f>VLOOKUP(C985,Customers!A:C,3,FALSE)</f>
        <v>Consumer</v>
      </c>
      <c r="Q985" s="13">
        <f t="shared" si="60"/>
        <v>204</v>
      </c>
      <c r="R985" s="13">
        <f t="shared" si="61"/>
        <v>93</v>
      </c>
      <c r="S985" s="13">
        <f t="shared" si="62"/>
        <v>111</v>
      </c>
      <c r="T985" s="14">
        <f t="shared" si="63"/>
        <v>0.54411764705882348</v>
      </c>
    </row>
    <row r="986" spans="1:20">
      <c r="A986" t="s">
        <v>1690</v>
      </c>
      <c r="B986" s="8">
        <v>45664</v>
      </c>
      <c r="C986" t="s">
        <v>559</v>
      </c>
      <c r="D986" t="s">
        <v>77</v>
      </c>
      <c r="E986" t="s">
        <v>697</v>
      </c>
      <c r="F986" t="s">
        <v>702</v>
      </c>
      <c r="G986">
        <v>1</v>
      </c>
      <c r="H986" s="9">
        <v>0.2</v>
      </c>
      <c r="I986" t="s">
        <v>699</v>
      </c>
      <c r="J986">
        <v>4</v>
      </c>
      <c r="K986">
        <v>3</v>
      </c>
      <c r="L986" t="str">
        <f>VLOOKUP(D986,Products!A:E,2,FALSE)</f>
        <v>File Folder Pack</v>
      </c>
      <c r="M986" t="str">
        <f>VLOOKUP(D986,Products!A:E,3,FALSE)</f>
        <v>Office Supplies</v>
      </c>
      <c r="N986">
        <f>VLOOKUP(D986,Products!A:E,4,FALSE)</f>
        <v>23</v>
      </c>
      <c r="O986" s="13">
        <f>VLOOKUP(D986,Products!A:E,5,FALSE)</f>
        <v>10</v>
      </c>
      <c r="P986" s="13" t="str">
        <f>VLOOKUP(C986,Customers!A:C,3,FALSE)</f>
        <v>Small Business</v>
      </c>
      <c r="Q986" s="13">
        <f t="shared" si="60"/>
        <v>18.400000000000002</v>
      </c>
      <c r="R986" s="13">
        <f t="shared" si="61"/>
        <v>10</v>
      </c>
      <c r="S986" s="13">
        <f t="shared" si="62"/>
        <v>8.4000000000000021</v>
      </c>
      <c r="T986" s="14">
        <f t="shared" si="63"/>
        <v>0.45652173913043487</v>
      </c>
    </row>
    <row r="987" spans="1:20">
      <c r="A987" t="s">
        <v>1691</v>
      </c>
      <c r="B987" s="8">
        <v>46237</v>
      </c>
      <c r="C987" t="s">
        <v>579</v>
      </c>
      <c r="D987" t="s">
        <v>68</v>
      </c>
      <c r="E987" t="s">
        <v>697</v>
      </c>
      <c r="F987" t="s">
        <v>702</v>
      </c>
      <c r="G987">
        <v>3</v>
      </c>
      <c r="H987" s="9">
        <v>0.05</v>
      </c>
      <c r="I987" t="s">
        <v>699</v>
      </c>
      <c r="J987">
        <v>5</v>
      </c>
      <c r="K987">
        <v>5</v>
      </c>
      <c r="L987" t="str">
        <f>VLOOKUP(D987,Products!A:E,2,FALSE)</f>
        <v>Backpack</v>
      </c>
      <c r="M987" t="str">
        <f>VLOOKUP(D987,Products!A:E,3,FALSE)</f>
        <v>Accessories</v>
      </c>
      <c r="N987">
        <f>VLOOKUP(D987,Products!A:E,4,FALSE)</f>
        <v>85</v>
      </c>
      <c r="O987" s="13">
        <f>VLOOKUP(D987,Products!A:E,5,FALSE)</f>
        <v>39</v>
      </c>
      <c r="P987" s="13" t="str">
        <f>VLOOKUP(C987,Customers!A:C,3,FALSE)</f>
        <v>Consumer</v>
      </c>
      <c r="Q987" s="13">
        <f t="shared" si="60"/>
        <v>242.25</v>
      </c>
      <c r="R987" s="13">
        <f t="shared" si="61"/>
        <v>117</v>
      </c>
      <c r="S987" s="13">
        <f t="shared" si="62"/>
        <v>125.25</v>
      </c>
      <c r="T987" s="14">
        <f t="shared" si="63"/>
        <v>0.51702786377708976</v>
      </c>
    </row>
    <row r="988" spans="1:20">
      <c r="A988" t="s">
        <v>1692</v>
      </c>
      <c r="B988" s="8">
        <v>45805</v>
      </c>
      <c r="C988" t="s">
        <v>661</v>
      </c>
      <c r="D988" t="s">
        <v>79</v>
      </c>
      <c r="E988" t="s">
        <v>705</v>
      </c>
      <c r="F988" t="s">
        <v>706</v>
      </c>
      <c r="G988">
        <v>3</v>
      </c>
      <c r="H988" s="9">
        <v>0</v>
      </c>
      <c r="I988" t="s">
        <v>699</v>
      </c>
      <c r="J988">
        <v>5</v>
      </c>
      <c r="K988">
        <v>1</v>
      </c>
      <c r="L988" t="str">
        <f>VLOOKUP(D988,Products!A:E,2,FALSE)</f>
        <v>Desk Organiser</v>
      </c>
      <c r="M988" t="str">
        <f>VLOOKUP(D988,Products!A:E,3,FALSE)</f>
        <v>Office Supplies</v>
      </c>
      <c r="N988">
        <f>VLOOKUP(D988,Products!A:E,4,FALSE)</f>
        <v>28</v>
      </c>
      <c r="O988" s="13">
        <f>VLOOKUP(D988,Products!A:E,5,FALSE)</f>
        <v>12</v>
      </c>
      <c r="P988" s="13" t="str">
        <f>VLOOKUP(C988,Customers!A:C,3,FALSE)</f>
        <v>Consumer</v>
      </c>
      <c r="Q988" s="13">
        <f t="shared" si="60"/>
        <v>84</v>
      </c>
      <c r="R988" s="13">
        <f t="shared" si="61"/>
        <v>36</v>
      </c>
      <c r="S988" s="13">
        <f t="shared" si="62"/>
        <v>48</v>
      </c>
      <c r="T988" s="14">
        <f t="shared" si="63"/>
        <v>0.5714285714285714</v>
      </c>
    </row>
    <row r="989" spans="1:20">
      <c r="A989" t="s">
        <v>1693</v>
      </c>
      <c r="B989" s="8">
        <v>46154</v>
      </c>
      <c r="C989" t="s">
        <v>291</v>
      </c>
      <c r="D989" t="s">
        <v>52</v>
      </c>
      <c r="E989" t="s">
        <v>705</v>
      </c>
      <c r="F989" t="s">
        <v>702</v>
      </c>
      <c r="G989">
        <v>5</v>
      </c>
      <c r="H989" s="9">
        <v>0.05</v>
      </c>
      <c r="I989" t="s">
        <v>699</v>
      </c>
      <c r="J989">
        <v>2</v>
      </c>
      <c r="K989">
        <v>5</v>
      </c>
      <c r="L989" t="str">
        <f>VLOOKUP(D989,Products!A:E,2,FALSE)</f>
        <v>Mouse</v>
      </c>
      <c r="M989" t="str">
        <f>VLOOKUP(D989,Products!A:E,3,FALSE)</f>
        <v>Technology</v>
      </c>
      <c r="N989">
        <f>VLOOKUP(D989,Products!A:E,4,FALSE)</f>
        <v>42</v>
      </c>
      <c r="O989" s="13">
        <f>VLOOKUP(D989,Products!A:E,5,FALSE)</f>
        <v>19</v>
      </c>
      <c r="P989" s="13" t="str">
        <f>VLOOKUP(C989,Customers!A:C,3,FALSE)</f>
        <v>Corporate</v>
      </c>
      <c r="Q989" s="13">
        <f t="shared" si="60"/>
        <v>199.5</v>
      </c>
      <c r="R989" s="13">
        <f t="shared" si="61"/>
        <v>95</v>
      </c>
      <c r="S989" s="13">
        <f t="shared" si="62"/>
        <v>104.5</v>
      </c>
      <c r="T989" s="14">
        <f t="shared" si="63"/>
        <v>0.52380952380952384</v>
      </c>
    </row>
    <row r="990" spans="1:20">
      <c r="A990" t="s">
        <v>1694</v>
      </c>
      <c r="B990" s="8">
        <v>46058</v>
      </c>
      <c r="C990" t="s">
        <v>143</v>
      </c>
      <c r="D990" t="s">
        <v>52</v>
      </c>
      <c r="E990" t="s">
        <v>708</v>
      </c>
      <c r="F990" t="s">
        <v>698</v>
      </c>
      <c r="G990">
        <v>1</v>
      </c>
      <c r="H990" s="9">
        <v>0</v>
      </c>
      <c r="I990" t="s">
        <v>699</v>
      </c>
      <c r="J990">
        <v>4</v>
      </c>
      <c r="K990">
        <v>5</v>
      </c>
      <c r="L990" t="str">
        <f>VLOOKUP(D990,Products!A:E,2,FALSE)</f>
        <v>Mouse</v>
      </c>
      <c r="M990" t="str">
        <f>VLOOKUP(D990,Products!A:E,3,FALSE)</f>
        <v>Technology</v>
      </c>
      <c r="N990">
        <f>VLOOKUP(D990,Products!A:E,4,FALSE)</f>
        <v>42</v>
      </c>
      <c r="O990" s="13">
        <f>VLOOKUP(D990,Products!A:E,5,FALSE)</f>
        <v>19</v>
      </c>
      <c r="P990" s="13" t="str">
        <f>VLOOKUP(C990,Customers!A:C,3,FALSE)</f>
        <v>Small Business</v>
      </c>
      <c r="Q990" s="13">
        <f t="shared" si="60"/>
        <v>42</v>
      </c>
      <c r="R990" s="13">
        <f t="shared" si="61"/>
        <v>19</v>
      </c>
      <c r="S990" s="13">
        <f t="shared" si="62"/>
        <v>23</v>
      </c>
      <c r="T990" s="14">
        <f t="shared" si="63"/>
        <v>0.54761904761904767</v>
      </c>
    </row>
    <row r="991" spans="1:20">
      <c r="A991" t="s">
        <v>1695</v>
      </c>
      <c r="B991" s="8">
        <v>46107</v>
      </c>
      <c r="C991" t="s">
        <v>213</v>
      </c>
      <c r="D991" t="s">
        <v>74</v>
      </c>
      <c r="E991" t="s">
        <v>705</v>
      </c>
      <c r="F991" t="s">
        <v>702</v>
      </c>
      <c r="G991">
        <v>1</v>
      </c>
      <c r="H991" s="9">
        <v>0.1</v>
      </c>
      <c r="I991" t="s">
        <v>699</v>
      </c>
      <c r="J991">
        <v>4</v>
      </c>
      <c r="K991">
        <v>5</v>
      </c>
      <c r="L991" t="str">
        <f>VLOOKUP(D991,Products!A:E,2,FALSE)</f>
        <v>Printer Paper</v>
      </c>
      <c r="M991" t="str">
        <f>VLOOKUP(D991,Products!A:E,3,FALSE)</f>
        <v>Office Supplies</v>
      </c>
      <c r="N991">
        <f>VLOOKUP(D991,Products!A:E,4,FALSE)</f>
        <v>17</v>
      </c>
      <c r="O991" s="13">
        <f>VLOOKUP(D991,Products!A:E,5,FALSE)</f>
        <v>8</v>
      </c>
      <c r="P991" s="13" t="str">
        <f>VLOOKUP(C991,Customers!A:C,3,FALSE)</f>
        <v>Corporate</v>
      </c>
      <c r="Q991" s="13">
        <f t="shared" si="60"/>
        <v>15.3</v>
      </c>
      <c r="R991" s="13">
        <f t="shared" si="61"/>
        <v>8</v>
      </c>
      <c r="S991" s="13">
        <f t="shared" si="62"/>
        <v>7.3000000000000007</v>
      </c>
      <c r="T991" s="14">
        <f t="shared" si="63"/>
        <v>0.47712418300653597</v>
      </c>
    </row>
    <row r="992" spans="1:20">
      <c r="A992" t="s">
        <v>1696</v>
      </c>
      <c r="B992" s="8">
        <v>45863</v>
      </c>
      <c r="C992" t="s">
        <v>573</v>
      </c>
      <c r="D992" t="s">
        <v>79</v>
      </c>
      <c r="E992" t="s">
        <v>708</v>
      </c>
      <c r="F992" t="s">
        <v>698</v>
      </c>
      <c r="G992">
        <v>7</v>
      </c>
      <c r="H992" s="9">
        <v>0.05</v>
      </c>
      <c r="I992" t="s">
        <v>699</v>
      </c>
      <c r="J992">
        <v>4</v>
      </c>
      <c r="K992">
        <v>1</v>
      </c>
      <c r="L992" t="str">
        <f>VLOOKUP(D992,Products!A:E,2,FALSE)</f>
        <v>Desk Organiser</v>
      </c>
      <c r="M992" t="str">
        <f>VLOOKUP(D992,Products!A:E,3,FALSE)</f>
        <v>Office Supplies</v>
      </c>
      <c r="N992">
        <f>VLOOKUP(D992,Products!A:E,4,FALSE)</f>
        <v>28</v>
      </c>
      <c r="O992" s="13">
        <f>VLOOKUP(D992,Products!A:E,5,FALSE)</f>
        <v>12</v>
      </c>
      <c r="P992" s="13" t="str">
        <f>VLOOKUP(C992,Customers!A:C,3,FALSE)</f>
        <v>Small Business</v>
      </c>
      <c r="Q992" s="13">
        <f t="shared" si="60"/>
        <v>186.2</v>
      </c>
      <c r="R992" s="13">
        <f t="shared" si="61"/>
        <v>84</v>
      </c>
      <c r="S992" s="13">
        <f t="shared" si="62"/>
        <v>102.19999999999999</v>
      </c>
      <c r="T992" s="14">
        <f t="shared" si="63"/>
        <v>0.54887218045112784</v>
      </c>
    </row>
    <row r="993" spans="1:20">
      <c r="A993" t="s">
        <v>1697</v>
      </c>
      <c r="B993" s="8">
        <v>46133</v>
      </c>
      <c r="C993" t="s">
        <v>513</v>
      </c>
      <c r="D993" t="s">
        <v>74</v>
      </c>
      <c r="E993" t="s">
        <v>705</v>
      </c>
      <c r="F993" t="s">
        <v>702</v>
      </c>
      <c r="G993">
        <v>1</v>
      </c>
      <c r="H993" s="9">
        <v>0</v>
      </c>
      <c r="I993" t="s">
        <v>699</v>
      </c>
      <c r="J993">
        <v>1</v>
      </c>
      <c r="K993">
        <v>9</v>
      </c>
      <c r="L993" t="str">
        <f>VLOOKUP(D993,Products!A:E,2,FALSE)</f>
        <v>Printer Paper</v>
      </c>
      <c r="M993" t="str">
        <f>VLOOKUP(D993,Products!A:E,3,FALSE)</f>
        <v>Office Supplies</v>
      </c>
      <c r="N993">
        <f>VLOOKUP(D993,Products!A:E,4,FALSE)</f>
        <v>17</v>
      </c>
      <c r="O993" s="13">
        <f>VLOOKUP(D993,Products!A:E,5,FALSE)</f>
        <v>8</v>
      </c>
      <c r="P993" s="13" t="str">
        <f>VLOOKUP(C993,Customers!A:C,3,FALSE)</f>
        <v>Consumer</v>
      </c>
      <c r="Q993" s="13">
        <f t="shared" si="60"/>
        <v>17</v>
      </c>
      <c r="R993" s="13">
        <f t="shared" si="61"/>
        <v>8</v>
      </c>
      <c r="S993" s="13">
        <f t="shared" si="62"/>
        <v>9</v>
      </c>
      <c r="T993" s="14">
        <f t="shared" si="63"/>
        <v>0.52941176470588236</v>
      </c>
    </row>
    <row r="994" spans="1:20">
      <c r="A994" t="s">
        <v>1698</v>
      </c>
      <c r="B994" s="8">
        <v>45701</v>
      </c>
      <c r="C994" t="s">
        <v>449</v>
      </c>
      <c r="D994" t="s">
        <v>54</v>
      </c>
      <c r="E994" t="s">
        <v>715</v>
      </c>
      <c r="F994" t="s">
        <v>698</v>
      </c>
      <c r="G994">
        <v>1</v>
      </c>
      <c r="H994" s="9">
        <v>0.2</v>
      </c>
      <c r="I994" t="s">
        <v>699</v>
      </c>
      <c r="J994">
        <v>5</v>
      </c>
      <c r="K994">
        <v>5</v>
      </c>
      <c r="L994" t="str">
        <f>VLOOKUP(D994,Products!A:E,2,FALSE)</f>
        <v>Webcam</v>
      </c>
      <c r="M994" t="str">
        <f>VLOOKUP(D994,Products!A:E,3,FALSE)</f>
        <v>Technology</v>
      </c>
      <c r="N994">
        <f>VLOOKUP(D994,Products!A:E,4,FALSE)</f>
        <v>115</v>
      </c>
      <c r="O994" s="13">
        <f>VLOOKUP(D994,Products!A:E,5,FALSE)</f>
        <v>58</v>
      </c>
      <c r="P994" s="13" t="str">
        <f>VLOOKUP(C994,Customers!A:C,3,FALSE)</f>
        <v>Corporate</v>
      </c>
      <c r="Q994" s="13">
        <f t="shared" si="60"/>
        <v>92</v>
      </c>
      <c r="R994" s="13">
        <f t="shared" si="61"/>
        <v>58</v>
      </c>
      <c r="S994" s="13">
        <f t="shared" si="62"/>
        <v>34</v>
      </c>
      <c r="T994" s="14">
        <f t="shared" si="63"/>
        <v>0.36956521739130432</v>
      </c>
    </row>
    <row r="995" spans="1:20">
      <c r="A995" t="s">
        <v>1699</v>
      </c>
      <c r="B995" s="8">
        <v>45873</v>
      </c>
      <c r="C995" t="s">
        <v>443</v>
      </c>
      <c r="D995" t="s">
        <v>72</v>
      </c>
      <c r="E995" t="s">
        <v>715</v>
      </c>
      <c r="F995" t="s">
        <v>702</v>
      </c>
      <c r="G995">
        <v>1</v>
      </c>
      <c r="H995" s="9">
        <v>0.05</v>
      </c>
      <c r="I995" t="s">
        <v>699</v>
      </c>
      <c r="J995">
        <v>4</v>
      </c>
      <c r="K995">
        <v>2</v>
      </c>
      <c r="L995" t="str">
        <f>VLOOKUP(D995,Products!A:E,2,FALSE)</f>
        <v>Phone Charger</v>
      </c>
      <c r="M995" t="str">
        <f>VLOOKUP(D995,Products!A:E,3,FALSE)</f>
        <v>Accessories</v>
      </c>
      <c r="N995">
        <f>VLOOKUP(D995,Products!A:E,4,FALSE)</f>
        <v>32</v>
      </c>
      <c r="O995" s="13">
        <f>VLOOKUP(D995,Products!A:E,5,FALSE)</f>
        <v>13</v>
      </c>
      <c r="P995" s="13" t="str">
        <f>VLOOKUP(C995,Customers!A:C,3,FALSE)</f>
        <v>Consumer</v>
      </c>
      <c r="Q995" s="13">
        <f t="shared" si="60"/>
        <v>30.4</v>
      </c>
      <c r="R995" s="13">
        <f t="shared" si="61"/>
        <v>13</v>
      </c>
      <c r="S995" s="13">
        <f t="shared" si="62"/>
        <v>17.399999999999999</v>
      </c>
      <c r="T995" s="14">
        <f t="shared" si="63"/>
        <v>0.57236842105263153</v>
      </c>
    </row>
    <row r="996" spans="1:20">
      <c r="A996" t="s">
        <v>1700</v>
      </c>
      <c r="B996" s="8">
        <v>45943</v>
      </c>
      <c r="C996" t="s">
        <v>397</v>
      </c>
      <c r="D996" t="s">
        <v>72</v>
      </c>
      <c r="E996" t="s">
        <v>705</v>
      </c>
      <c r="F996" t="s">
        <v>706</v>
      </c>
      <c r="G996">
        <v>2</v>
      </c>
      <c r="H996" s="9">
        <v>0.2</v>
      </c>
      <c r="I996" t="s">
        <v>699</v>
      </c>
      <c r="J996">
        <v>3</v>
      </c>
      <c r="K996">
        <v>5</v>
      </c>
      <c r="L996" t="str">
        <f>VLOOKUP(D996,Products!A:E,2,FALSE)</f>
        <v>Phone Charger</v>
      </c>
      <c r="M996" t="str">
        <f>VLOOKUP(D996,Products!A:E,3,FALSE)</f>
        <v>Accessories</v>
      </c>
      <c r="N996">
        <f>VLOOKUP(D996,Products!A:E,4,FALSE)</f>
        <v>32</v>
      </c>
      <c r="O996" s="13">
        <f>VLOOKUP(D996,Products!A:E,5,FALSE)</f>
        <v>13</v>
      </c>
      <c r="P996" s="13" t="str">
        <f>VLOOKUP(C996,Customers!A:C,3,FALSE)</f>
        <v>Consumer</v>
      </c>
      <c r="Q996" s="13">
        <f t="shared" si="60"/>
        <v>51.2</v>
      </c>
      <c r="R996" s="13">
        <f t="shared" si="61"/>
        <v>26</v>
      </c>
      <c r="S996" s="13">
        <f t="shared" si="62"/>
        <v>25.200000000000003</v>
      </c>
      <c r="T996" s="14">
        <f t="shared" si="63"/>
        <v>0.49218750000000006</v>
      </c>
    </row>
    <row r="997" spans="1:20">
      <c r="A997" t="s">
        <v>1701</v>
      </c>
      <c r="B997" s="8">
        <v>46196</v>
      </c>
      <c r="C997" t="s">
        <v>351</v>
      </c>
      <c r="D997" t="s">
        <v>54</v>
      </c>
      <c r="E997" t="s">
        <v>701</v>
      </c>
      <c r="F997" t="s">
        <v>698</v>
      </c>
      <c r="G997">
        <v>3</v>
      </c>
      <c r="H997" s="9">
        <v>0.05</v>
      </c>
      <c r="I997" t="s">
        <v>699</v>
      </c>
      <c r="J997">
        <v>2</v>
      </c>
      <c r="K997">
        <v>3</v>
      </c>
      <c r="L997" t="str">
        <f>VLOOKUP(D997,Products!A:E,2,FALSE)</f>
        <v>Webcam</v>
      </c>
      <c r="M997" t="str">
        <f>VLOOKUP(D997,Products!A:E,3,FALSE)</f>
        <v>Technology</v>
      </c>
      <c r="N997">
        <f>VLOOKUP(D997,Products!A:E,4,FALSE)</f>
        <v>115</v>
      </c>
      <c r="O997" s="13">
        <f>VLOOKUP(D997,Products!A:E,5,FALSE)</f>
        <v>58</v>
      </c>
      <c r="P997" s="13" t="str">
        <f>VLOOKUP(C997,Customers!A:C,3,FALSE)</f>
        <v>Small Business</v>
      </c>
      <c r="Q997" s="13">
        <f t="shared" si="60"/>
        <v>327.75</v>
      </c>
      <c r="R997" s="13">
        <f t="shared" si="61"/>
        <v>174</v>
      </c>
      <c r="S997" s="13">
        <f t="shared" si="62"/>
        <v>153.75</v>
      </c>
      <c r="T997" s="14">
        <f t="shared" si="63"/>
        <v>0.46910755148741418</v>
      </c>
    </row>
    <row r="998" spans="1:20">
      <c r="A998" t="s">
        <v>1702</v>
      </c>
      <c r="B998" s="8">
        <v>45895</v>
      </c>
      <c r="C998" t="s">
        <v>185</v>
      </c>
      <c r="D998" t="s">
        <v>52</v>
      </c>
      <c r="E998" t="s">
        <v>715</v>
      </c>
      <c r="F998" t="s">
        <v>698</v>
      </c>
      <c r="G998">
        <v>2</v>
      </c>
      <c r="H998" s="9">
        <v>0</v>
      </c>
      <c r="I998" t="s">
        <v>699</v>
      </c>
      <c r="J998">
        <v>5</v>
      </c>
      <c r="K998">
        <v>2</v>
      </c>
      <c r="L998" t="str">
        <f>VLOOKUP(D998,Products!A:E,2,FALSE)</f>
        <v>Mouse</v>
      </c>
      <c r="M998" t="str">
        <f>VLOOKUP(D998,Products!A:E,3,FALSE)</f>
        <v>Technology</v>
      </c>
      <c r="N998">
        <f>VLOOKUP(D998,Products!A:E,4,FALSE)</f>
        <v>42</v>
      </c>
      <c r="O998" s="13">
        <f>VLOOKUP(D998,Products!A:E,5,FALSE)</f>
        <v>19</v>
      </c>
      <c r="P998" s="13" t="str">
        <f>VLOOKUP(C998,Customers!A:C,3,FALSE)</f>
        <v>Consumer</v>
      </c>
      <c r="Q998" s="13">
        <f t="shared" si="60"/>
        <v>84</v>
      </c>
      <c r="R998" s="13">
        <f t="shared" si="61"/>
        <v>38</v>
      </c>
      <c r="S998" s="13">
        <f t="shared" si="62"/>
        <v>46</v>
      </c>
      <c r="T998" s="14">
        <f t="shared" si="63"/>
        <v>0.54761904761904767</v>
      </c>
    </row>
    <row r="999" spans="1:20">
      <c r="A999" t="s">
        <v>1703</v>
      </c>
      <c r="B999" s="8">
        <v>45765</v>
      </c>
      <c r="C999" t="s">
        <v>265</v>
      </c>
      <c r="D999" t="s">
        <v>72</v>
      </c>
      <c r="E999" t="s">
        <v>701</v>
      </c>
      <c r="F999" t="s">
        <v>702</v>
      </c>
      <c r="G999">
        <v>1</v>
      </c>
      <c r="H999" s="9">
        <v>0.05</v>
      </c>
      <c r="I999" t="s">
        <v>699</v>
      </c>
      <c r="J999">
        <v>5</v>
      </c>
      <c r="K999">
        <v>1</v>
      </c>
      <c r="L999" t="str">
        <f>VLOOKUP(D999,Products!A:E,2,FALSE)</f>
        <v>Phone Charger</v>
      </c>
      <c r="M999" t="str">
        <f>VLOOKUP(D999,Products!A:E,3,FALSE)</f>
        <v>Accessories</v>
      </c>
      <c r="N999">
        <f>VLOOKUP(D999,Products!A:E,4,FALSE)</f>
        <v>32</v>
      </c>
      <c r="O999" s="13">
        <f>VLOOKUP(D999,Products!A:E,5,FALSE)</f>
        <v>13</v>
      </c>
      <c r="P999" s="13" t="str">
        <f>VLOOKUP(C999,Customers!A:C,3,FALSE)</f>
        <v>Consumer</v>
      </c>
      <c r="Q999" s="13">
        <f t="shared" si="60"/>
        <v>30.4</v>
      </c>
      <c r="R999" s="13">
        <f t="shared" si="61"/>
        <v>13</v>
      </c>
      <c r="S999" s="13">
        <f t="shared" si="62"/>
        <v>17.399999999999999</v>
      </c>
      <c r="T999" s="14">
        <f t="shared" si="63"/>
        <v>0.57236842105263153</v>
      </c>
    </row>
    <row r="1000" spans="1:20">
      <c r="A1000" t="s">
        <v>1704</v>
      </c>
      <c r="B1000" s="8">
        <v>46110</v>
      </c>
      <c r="C1000" t="s">
        <v>469</v>
      </c>
      <c r="D1000" t="s">
        <v>45</v>
      </c>
      <c r="E1000" t="s">
        <v>697</v>
      </c>
      <c r="F1000" t="s">
        <v>702</v>
      </c>
      <c r="G1000">
        <v>3</v>
      </c>
      <c r="H1000" s="9">
        <v>0</v>
      </c>
      <c r="I1000" t="s">
        <v>703</v>
      </c>
      <c r="J1000">
        <v>4</v>
      </c>
      <c r="K1000">
        <v>4</v>
      </c>
      <c r="L1000" t="str">
        <f>VLOOKUP(D1000,Products!A:E,2,FALSE)</f>
        <v>Laptop</v>
      </c>
      <c r="M1000" t="str">
        <f>VLOOKUP(D1000,Products!A:E,3,FALSE)</f>
        <v>Technology</v>
      </c>
      <c r="N1000">
        <f>VLOOKUP(D1000,Products!A:E,4,FALSE)</f>
        <v>1100</v>
      </c>
      <c r="O1000" s="13">
        <f>VLOOKUP(D1000,Products!A:E,5,FALSE)</f>
        <v>720</v>
      </c>
      <c r="P1000" s="13" t="str">
        <f>VLOOKUP(C1000,Customers!A:C,3,FALSE)</f>
        <v>Consumer</v>
      </c>
      <c r="Q1000" s="13">
        <f t="shared" si="60"/>
        <v>3300</v>
      </c>
      <c r="R1000" s="13">
        <f t="shared" si="61"/>
        <v>2160</v>
      </c>
      <c r="S1000" s="13">
        <f t="shared" si="62"/>
        <v>1140</v>
      </c>
      <c r="T1000" s="14">
        <f t="shared" si="63"/>
        <v>0.34545454545454546</v>
      </c>
    </row>
    <row r="1001" spans="1:20">
      <c r="A1001" t="s">
        <v>1705</v>
      </c>
      <c r="B1001" s="8">
        <v>45916</v>
      </c>
      <c r="C1001" t="s">
        <v>589</v>
      </c>
      <c r="D1001" t="s">
        <v>77</v>
      </c>
      <c r="E1001" t="s">
        <v>701</v>
      </c>
      <c r="F1001" t="s">
        <v>702</v>
      </c>
      <c r="G1001">
        <v>4</v>
      </c>
      <c r="H1001" s="9">
        <v>0</v>
      </c>
      <c r="I1001" t="s">
        <v>699</v>
      </c>
      <c r="J1001">
        <v>5</v>
      </c>
      <c r="K1001">
        <v>1</v>
      </c>
      <c r="L1001" t="str">
        <f>VLOOKUP(D1001,Products!A:E,2,FALSE)</f>
        <v>File Folder Pack</v>
      </c>
      <c r="M1001" t="str">
        <f>VLOOKUP(D1001,Products!A:E,3,FALSE)</f>
        <v>Office Supplies</v>
      </c>
      <c r="N1001">
        <f>VLOOKUP(D1001,Products!A:E,4,FALSE)</f>
        <v>23</v>
      </c>
      <c r="O1001" s="13">
        <f>VLOOKUP(D1001,Products!A:E,5,FALSE)</f>
        <v>10</v>
      </c>
      <c r="P1001" s="13" t="str">
        <f>VLOOKUP(C1001,Customers!A:C,3,FALSE)</f>
        <v>Corporate</v>
      </c>
      <c r="Q1001" s="13">
        <f t="shared" si="60"/>
        <v>92</v>
      </c>
      <c r="R1001" s="13">
        <f t="shared" si="61"/>
        <v>40</v>
      </c>
      <c r="S1001" s="13">
        <f t="shared" si="62"/>
        <v>52</v>
      </c>
      <c r="T1001" s="14">
        <f t="shared" si="63"/>
        <v>0.56521739130434778</v>
      </c>
    </row>
    <row r="1002" spans="1:20">
      <c r="A1002" t="s">
        <v>1706</v>
      </c>
      <c r="B1002" s="8">
        <v>46254</v>
      </c>
      <c r="C1002" t="s">
        <v>111</v>
      </c>
      <c r="D1002" t="s">
        <v>52</v>
      </c>
      <c r="E1002" t="s">
        <v>705</v>
      </c>
      <c r="F1002" t="s">
        <v>698</v>
      </c>
      <c r="G1002">
        <v>6</v>
      </c>
      <c r="H1002" s="9">
        <v>0</v>
      </c>
      <c r="I1002" t="s">
        <v>699</v>
      </c>
      <c r="J1002">
        <v>4</v>
      </c>
      <c r="K1002">
        <v>1</v>
      </c>
      <c r="L1002" t="str">
        <f>VLOOKUP(D1002,Products!A:E,2,FALSE)</f>
        <v>Mouse</v>
      </c>
      <c r="M1002" t="str">
        <f>VLOOKUP(D1002,Products!A:E,3,FALSE)</f>
        <v>Technology</v>
      </c>
      <c r="N1002">
        <f>VLOOKUP(D1002,Products!A:E,4,FALSE)</f>
        <v>42</v>
      </c>
      <c r="O1002" s="13">
        <f>VLOOKUP(D1002,Products!A:E,5,FALSE)</f>
        <v>19</v>
      </c>
      <c r="P1002" s="13" t="str">
        <f>VLOOKUP(C1002,Customers!A:C,3,FALSE)</f>
        <v>Consumer</v>
      </c>
      <c r="Q1002" s="13">
        <f t="shared" si="60"/>
        <v>252</v>
      </c>
      <c r="R1002" s="13">
        <f t="shared" si="61"/>
        <v>114</v>
      </c>
      <c r="S1002" s="13">
        <f t="shared" si="62"/>
        <v>138</v>
      </c>
      <c r="T1002" s="14">
        <f t="shared" si="63"/>
        <v>0.54761904761904767</v>
      </c>
    </row>
    <row r="1003" spans="1:20">
      <c r="A1003" t="s">
        <v>1707</v>
      </c>
      <c r="B1003" s="8">
        <v>46006</v>
      </c>
      <c r="C1003" t="s">
        <v>275</v>
      </c>
      <c r="D1003" t="s">
        <v>79</v>
      </c>
      <c r="E1003" t="s">
        <v>705</v>
      </c>
      <c r="F1003" t="s">
        <v>702</v>
      </c>
      <c r="G1003">
        <v>5</v>
      </c>
      <c r="H1003" s="9">
        <v>0.05</v>
      </c>
      <c r="I1003" t="s">
        <v>699</v>
      </c>
      <c r="J1003">
        <v>5</v>
      </c>
      <c r="K1003">
        <v>2</v>
      </c>
      <c r="L1003" t="str">
        <f>VLOOKUP(D1003,Products!A:E,2,FALSE)</f>
        <v>Desk Organiser</v>
      </c>
      <c r="M1003" t="str">
        <f>VLOOKUP(D1003,Products!A:E,3,FALSE)</f>
        <v>Office Supplies</v>
      </c>
      <c r="N1003">
        <f>VLOOKUP(D1003,Products!A:E,4,FALSE)</f>
        <v>28</v>
      </c>
      <c r="O1003" s="13">
        <f>VLOOKUP(D1003,Products!A:E,5,FALSE)</f>
        <v>12</v>
      </c>
      <c r="P1003" s="13" t="str">
        <f>VLOOKUP(C1003,Customers!A:C,3,FALSE)</f>
        <v>Consumer</v>
      </c>
      <c r="Q1003" s="13">
        <f t="shared" si="60"/>
        <v>133</v>
      </c>
      <c r="R1003" s="13">
        <f t="shared" si="61"/>
        <v>60</v>
      </c>
      <c r="S1003" s="13">
        <f t="shared" si="62"/>
        <v>73</v>
      </c>
      <c r="T1003" s="14">
        <f t="shared" si="63"/>
        <v>0.54887218045112784</v>
      </c>
    </row>
    <row r="1004" spans="1:20">
      <c r="A1004" t="s">
        <v>1708</v>
      </c>
      <c r="B1004" s="8">
        <v>45726</v>
      </c>
      <c r="C1004" t="s">
        <v>535</v>
      </c>
      <c r="D1004" t="s">
        <v>74</v>
      </c>
      <c r="E1004" t="s">
        <v>701</v>
      </c>
      <c r="F1004" t="s">
        <v>706</v>
      </c>
      <c r="G1004">
        <v>3</v>
      </c>
      <c r="H1004" s="9">
        <v>0</v>
      </c>
      <c r="I1004" t="s">
        <v>699</v>
      </c>
      <c r="J1004">
        <v>2</v>
      </c>
      <c r="K1004">
        <v>6</v>
      </c>
      <c r="L1004" t="str">
        <f>VLOOKUP(D1004,Products!A:E,2,FALSE)</f>
        <v>Printer Paper</v>
      </c>
      <c r="M1004" t="str">
        <f>VLOOKUP(D1004,Products!A:E,3,FALSE)</f>
        <v>Office Supplies</v>
      </c>
      <c r="N1004">
        <f>VLOOKUP(D1004,Products!A:E,4,FALSE)</f>
        <v>17</v>
      </c>
      <c r="O1004" s="13">
        <f>VLOOKUP(D1004,Products!A:E,5,FALSE)</f>
        <v>8</v>
      </c>
      <c r="P1004" s="13" t="str">
        <f>VLOOKUP(C1004,Customers!A:C,3,FALSE)</f>
        <v>Consumer</v>
      </c>
      <c r="Q1004" s="13">
        <f t="shared" si="60"/>
        <v>51</v>
      </c>
      <c r="R1004" s="13">
        <f t="shared" si="61"/>
        <v>24</v>
      </c>
      <c r="S1004" s="13">
        <f t="shared" si="62"/>
        <v>27</v>
      </c>
      <c r="T1004" s="14">
        <f t="shared" si="63"/>
        <v>0.52941176470588236</v>
      </c>
    </row>
    <row r="1005" spans="1:20">
      <c r="A1005" t="s">
        <v>1709</v>
      </c>
      <c r="B1005" s="8">
        <v>45710</v>
      </c>
      <c r="C1005" t="s">
        <v>639</v>
      </c>
      <c r="D1005" t="s">
        <v>68</v>
      </c>
      <c r="E1005" t="s">
        <v>705</v>
      </c>
      <c r="F1005" t="s">
        <v>698</v>
      </c>
      <c r="G1005">
        <v>1</v>
      </c>
      <c r="H1005" s="9">
        <v>0.1</v>
      </c>
      <c r="I1005" t="s">
        <v>699</v>
      </c>
      <c r="J1005">
        <v>4</v>
      </c>
      <c r="K1005">
        <v>2</v>
      </c>
      <c r="L1005" t="str">
        <f>VLOOKUP(D1005,Products!A:E,2,FALSE)</f>
        <v>Backpack</v>
      </c>
      <c r="M1005" t="str">
        <f>VLOOKUP(D1005,Products!A:E,3,FALSE)</f>
        <v>Accessories</v>
      </c>
      <c r="N1005">
        <f>VLOOKUP(D1005,Products!A:E,4,FALSE)</f>
        <v>85</v>
      </c>
      <c r="O1005" s="13">
        <f>VLOOKUP(D1005,Products!A:E,5,FALSE)</f>
        <v>39</v>
      </c>
      <c r="P1005" s="13" t="str">
        <f>VLOOKUP(C1005,Customers!A:C,3,FALSE)</f>
        <v>Consumer</v>
      </c>
      <c r="Q1005" s="13">
        <f t="shared" si="60"/>
        <v>76.5</v>
      </c>
      <c r="R1005" s="13">
        <f t="shared" si="61"/>
        <v>39</v>
      </c>
      <c r="S1005" s="13">
        <f t="shared" si="62"/>
        <v>37.5</v>
      </c>
      <c r="T1005" s="14">
        <f t="shared" si="63"/>
        <v>0.49019607843137253</v>
      </c>
    </row>
    <row r="1006" spans="1:20">
      <c r="A1006" t="s">
        <v>1710</v>
      </c>
      <c r="B1006" s="8">
        <v>45952</v>
      </c>
      <c r="C1006" t="s">
        <v>163</v>
      </c>
      <c r="D1006" t="s">
        <v>61</v>
      </c>
      <c r="E1006" t="s">
        <v>697</v>
      </c>
      <c r="F1006" t="s">
        <v>706</v>
      </c>
      <c r="G1006">
        <v>2</v>
      </c>
      <c r="H1006" s="9">
        <v>0</v>
      </c>
      <c r="I1006" t="s">
        <v>699</v>
      </c>
      <c r="J1006">
        <v>5</v>
      </c>
      <c r="K1006">
        <v>1</v>
      </c>
      <c r="L1006" t="str">
        <f>VLOOKUP(D1006,Products!A:E,2,FALSE)</f>
        <v>Office Chair</v>
      </c>
      <c r="M1006" t="str">
        <f>VLOOKUP(D1006,Products!A:E,3,FALSE)</f>
        <v>Furniture</v>
      </c>
      <c r="N1006">
        <f>VLOOKUP(D1006,Products!A:E,4,FALSE)</f>
        <v>255</v>
      </c>
      <c r="O1006" s="13">
        <f>VLOOKUP(D1006,Products!A:E,5,FALSE)</f>
        <v>145</v>
      </c>
      <c r="P1006" s="13" t="str">
        <f>VLOOKUP(C1006,Customers!A:C,3,FALSE)</f>
        <v>Small Business</v>
      </c>
      <c r="Q1006" s="13">
        <f t="shared" si="60"/>
        <v>510</v>
      </c>
      <c r="R1006" s="13">
        <f t="shared" si="61"/>
        <v>290</v>
      </c>
      <c r="S1006" s="13">
        <f t="shared" si="62"/>
        <v>220</v>
      </c>
      <c r="T1006" s="14">
        <f t="shared" si="63"/>
        <v>0.43137254901960786</v>
      </c>
    </row>
    <row r="1007" spans="1:20">
      <c r="A1007" t="s">
        <v>1711</v>
      </c>
      <c r="B1007" s="8">
        <v>46254</v>
      </c>
      <c r="C1007" t="s">
        <v>569</v>
      </c>
      <c r="D1007" t="s">
        <v>63</v>
      </c>
      <c r="E1007" t="s">
        <v>701</v>
      </c>
      <c r="F1007" t="s">
        <v>702</v>
      </c>
      <c r="G1007">
        <v>2</v>
      </c>
      <c r="H1007" s="9">
        <v>0</v>
      </c>
      <c r="I1007" t="s">
        <v>699</v>
      </c>
      <c r="J1007">
        <v>2</v>
      </c>
      <c r="K1007">
        <v>5</v>
      </c>
      <c r="L1007" t="str">
        <f>VLOOKUP(D1007,Products!A:E,2,FALSE)</f>
        <v>Bookshelf</v>
      </c>
      <c r="M1007" t="str">
        <f>VLOOKUP(D1007,Products!A:E,3,FALSE)</f>
        <v>Furniture</v>
      </c>
      <c r="N1007">
        <f>VLOOKUP(D1007,Products!A:E,4,FALSE)</f>
        <v>185</v>
      </c>
      <c r="O1007" s="13">
        <f>VLOOKUP(D1007,Products!A:E,5,FALSE)</f>
        <v>105</v>
      </c>
      <c r="P1007" s="13" t="str">
        <f>VLOOKUP(C1007,Customers!A:C,3,FALSE)</f>
        <v>Corporate</v>
      </c>
      <c r="Q1007" s="13">
        <f t="shared" si="60"/>
        <v>370</v>
      </c>
      <c r="R1007" s="13">
        <f t="shared" si="61"/>
        <v>210</v>
      </c>
      <c r="S1007" s="13">
        <f t="shared" si="62"/>
        <v>160</v>
      </c>
      <c r="T1007" s="14">
        <f t="shared" si="63"/>
        <v>0.43243243243243246</v>
      </c>
    </row>
    <row r="1008" spans="1:20">
      <c r="A1008" t="s">
        <v>1712</v>
      </c>
      <c r="B1008" s="8">
        <v>45721</v>
      </c>
      <c r="C1008" t="s">
        <v>327</v>
      </c>
      <c r="D1008" t="s">
        <v>79</v>
      </c>
      <c r="E1008" t="s">
        <v>705</v>
      </c>
      <c r="F1008" t="s">
        <v>706</v>
      </c>
      <c r="G1008">
        <v>6</v>
      </c>
      <c r="H1008" s="9">
        <v>0.1</v>
      </c>
      <c r="I1008" t="s">
        <v>699</v>
      </c>
      <c r="J1008">
        <v>1</v>
      </c>
      <c r="K1008">
        <v>5</v>
      </c>
      <c r="L1008" t="str">
        <f>VLOOKUP(D1008,Products!A:E,2,FALSE)</f>
        <v>Desk Organiser</v>
      </c>
      <c r="M1008" t="str">
        <f>VLOOKUP(D1008,Products!A:E,3,FALSE)</f>
        <v>Office Supplies</v>
      </c>
      <c r="N1008">
        <f>VLOOKUP(D1008,Products!A:E,4,FALSE)</f>
        <v>28</v>
      </c>
      <c r="O1008" s="13">
        <f>VLOOKUP(D1008,Products!A:E,5,FALSE)</f>
        <v>12</v>
      </c>
      <c r="P1008" s="13" t="str">
        <f>VLOOKUP(C1008,Customers!A:C,3,FALSE)</f>
        <v>Corporate</v>
      </c>
      <c r="Q1008" s="13">
        <f t="shared" si="60"/>
        <v>151.20000000000002</v>
      </c>
      <c r="R1008" s="13">
        <f t="shared" si="61"/>
        <v>72</v>
      </c>
      <c r="S1008" s="13">
        <f t="shared" si="62"/>
        <v>79.200000000000017</v>
      </c>
      <c r="T1008" s="14">
        <f t="shared" si="63"/>
        <v>0.52380952380952384</v>
      </c>
    </row>
    <row r="1009" spans="1:20">
      <c r="A1009" t="s">
        <v>1713</v>
      </c>
      <c r="B1009" s="8">
        <v>45740</v>
      </c>
      <c r="C1009" t="s">
        <v>651</v>
      </c>
      <c r="D1009" t="s">
        <v>79</v>
      </c>
      <c r="E1009" t="s">
        <v>697</v>
      </c>
      <c r="F1009" t="s">
        <v>702</v>
      </c>
      <c r="G1009">
        <v>1</v>
      </c>
      <c r="H1009" s="9">
        <v>0</v>
      </c>
      <c r="I1009" t="s">
        <v>699</v>
      </c>
      <c r="J1009">
        <v>5</v>
      </c>
      <c r="K1009">
        <v>4</v>
      </c>
      <c r="L1009" t="str">
        <f>VLOOKUP(D1009,Products!A:E,2,FALSE)</f>
        <v>Desk Organiser</v>
      </c>
      <c r="M1009" t="str">
        <f>VLOOKUP(D1009,Products!A:E,3,FALSE)</f>
        <v>Office Supplies</v>
      </c>
      <c r="N1009">
        <f>VLOOKUP(D1009,Products!A:E,4,FALSE)</f>
        <v>28</v>
      </c>
      <c r="O1009" s="13">
        <f>VLOOKUP(D1009,Products!A:E,5,FALSE)</f>
        <v>12</v>
      </c>
      <c r="P1009" s="13" t="str">
        <f>VLOOKUP(C1009,Customers!A:C,3,FALSE)</f>
        <v>Corporate</v>
      </c>
      <c r="Q1009" s="13">
        <f t="shared" si="60"/>
        <v>28</v>
      </c>
      <c r="R1009" s="13">
        <f t="shared" si="61"/>
        <v>12</v>
      </c>
      <c r="S1009" s="13">
        <f t="shared" si="62"/>
        <v>16</v>
      </c>
      <c r="T1009" s="14">
        <f t="shared" si="63"/>
        <v>0.5714285714285714</v>
      </c>
    </row>
    <row r="1010" spans="1:20">
      <c r="A1010" t="s">
        <v>1714</v>
      </c>
      <c r="B1010" s="8">
        <v>46147</v>
      </c>
      <c r="C1010" t="s">
        <v>397</v>
      </c>
      <c r="D1010" t="s">
        <v>61</v>
      </c>
      <c r="E1010" t="s">
        <v>705</v>
      </c>
      <c r="F1010" t="s">
        <v>702</v>
      </c>
      <c r="G1010">
        <v>4</v>
      </c>
      <c r="H1010" s="9">
        <v>0.1</v>
      </c>
      <c r="I1010" t="s">
        <v>699</v>
      </c>
      <c r="J1010">
        <v>5</v>
      </c>
      <c r="K1010">
        <v>1</v>
      </c>
      <c r="L1010" t="str">
        <f>VLOOKUP(D1010,Products!A:E,2,FALSE)</f>
        <v>Office Chair</v>
      </c>
      <c r="M1010" t="str">
        <f>VLOOKUP(D1010,Products!A:E,3,FALSE)</f>
        <v>Furniture</v>
      </c>
      <c r="N1010">
        <f>VLOOKUP(D1010,Products!A:E,4,FALSE)</f>
        <v>255</v>
      </c>
      <c r="O1010" s="13">
        <f>VLOOKUP(D1010,Products!A:E,5,FALSE)</f>
        <v>145</v>
      </c>
      <c r="P1010" s="13" t="str">
        <f>VLOOKUP(C1010,Customers!A:C,3,FALSE)</f>
        <v>Consumer</v>
      </c>
      <c r="Q1010" s="13">
        <f t="shared" si="60"/>
        <v>918</v>
      </c>
      <c r="R1010" s="13">
        <f t="shared" si="61"/>
        <v>580</v>
      </c>
      <c r="S1010" s="13">
        <f t="shared" si="62"/>
        <v>338</v>
      </c>
      <c r="T1010" s="14">
        <f t="shared" si="63"/>
        <v>0.36819172113289761</v>
      </c>
    </row>
    <row r="1011" spans="1:20">
      <c r="A1011" t="s">
        <v>1715</v>
      </c>
      <c r="B1011" s="8">
        <v>46223</v>
      </c>
      <c r="C1011" t="s">
        <v>579</v>
      </c>
      <c r="D1011" t="s">
        <v>48</v>
      </c>
      <c r="E1011" t="s">
        <v>708</v>
      </c>
      <c r="F1011" t="s">
        <v>702</v>
      </c>
      <c r="G1011">
        <v>1</v>
      </c>
      <c r="H1011" s="9">
        <v>0.1</v>
      </c>
      <c r="I1011" t="s">
        <v>699</v>
      </c>
      <c r="J1011">
        <v>3</v>
      </c>
      <c r="K1011">
        <v>1</v>
      </c>
      <c r="L1011" t="str">
        <f>VLOOKUP(D1011,Products!A:E,2,FALSE)</f>
        <v>Monitor</v>
      </c>
      <c r="M1011" t="str">
        <f>VLOOKUP(D1011,Products!A:E,3,FALSE)</f>
        <v>Technology</v>
      </c>
      <c r="N1011">
        <f>VLOOKUP(D1011,Products!A:E,4,FALSE)</f>
        <v>310</v>
      </c>
      <c r="O1011" s="13">
        <f>VLOOKUP(D1011,Products!A:E,5,FALSE)</f>
        <v>190</v>
      </c>
      <c r="P1011" s="13" t="str">
        <f>VLOOKUP(C1011,Customers!A:C,3,FALSE)</f>
        <v>Consumer</v>
      </c>
      <c r="Q1011" s="13">
        <f t="shared" si="60"/>
        <v>279</v>
      </c>
      <c r="R1011" s="13">
        <f t="shared" si="61"/>
        <v>190</v>
      </c>
      <c r="S1011" s="13">
        <f t="shared" si="62"/>
        <v>89</v>
      </c>
      <c r="T1011" s="14">
        <f t="shared" si="63"/>
        <v>0.31899641577060933</v>
      </c>
    </row>
    <row r="1012" spans="1:20">
      <c r="A1012" t="s">
        <v>1716</v>
      </c>
      <c r="B1012" s="8">
        <v>46034</v>
      </c>
      <c r="C1012" t="s">
        <v>447</v>
      </c>
      <c r="D1012" t="s">
        <v>58</v>
      </c>
      <c r="E1012" t="s">
        <v>708</v>
      </c>
      <c r="F1012" t="s">
        <v>706</v>
      </c>
      <c r="G1012">
        <v>1</v>
      </c>
      <c r="H1012" s="9">
        <v>0</v>
      </c>
      <c r="I1012" t="s">
        <v>699</v>
      </c>
      <c r="J1012">
        <v>4</v>
      </c>
      <c r="K1012">
        <v>5</v>
      </c>
      <c r="L1012" t="str">
        <f>VLOOKUP(D1012,Products!A:E,2,FALSE)</f>
        <v>Standing Desk</v>
      </c>
      <c r="M1012" t="str">
        <f>VLOOKUP(D1012,Products!A:E,3,FALSE)</f>
        <v>Furniture</v>
      </c>
      <c r="N1012">
        <f>VLOOKUP(D1012,Products!A:E,4,FALSE)</f>
        <v>540</v>
      </c>
      <c r="O1012" s="13">
        <f>VLOOKUP(D1012,Products!A:E,5,FALSE)</f>
        <v>320</v>
      </c>
      <c r="P1012" s="13" t="str">
        <f>VLOOKUP(C1012,Customers!A:C,3,FALSE)</f>
        <v>Corporate</v>
      </c>
      <c r="Q1012" s="13">
        <f t="shared" si="60"/>
        <v>540</v>
      </c>
      <c r="R1012" s="13">
        <f t="shared" si="61"/>
        <v>320</v>
      </c>
      <c r="S1012" s="13">
        <f t="shared" si="62"/>
        <v>220</v>
      </c>
      <c r="T1012" s="14">
        <f t="shared" si="63"/>
        <v>0.40740740740740738</v>
      </c>
    </row>
    <row r="1013" spans="1:20">
      <c r="A1013" t="s">
        <v>1717</v>
      </c>
      <c r="B1013" s="8">
        <v>46239</v>
      </c>
      <c r="C1013" t="s">
        <v>133</v>
      </c>
      <c r="D1013" t="s">
        <v>45</v>
      </c>
      <c r="E1013" t="s">
        <v>697</v>
      </c>
      <c r="F1013" t="s">
        <v>702</v>
      </c>
      <c r="G1013">
        <v>1</v>
      </c>
      <c r="H1013" s="9">
        <v>0</v>
      </c>
      <c r="I1013" t="s">
        <v>699</v>
      </c>
      <c r="J1013">
        <v>4</v>
      </c>
      <c r="K1013">
        <v>3</v>
      </c>
      <c r="L1013" t="str">
        <f>VLOOKUP(D1013,Products!A:E,2,FALSE)</f>
        <v>Laptop</v>
      </c>
      <c r="M1013" t="str">
        <f>VLOOKUP(D1013,Products!A:E,3,FALSE)</f>
        <v>Technology</v>
      </c>
      <c r="N1013">
        <f>VLOOKUP(D1013,Products!A:E,4,FALSE)</f>
        <v>1100</v>
      </c>
      <c r="O1013" s="13">
        <f>VLOOKUP(D1013,Products!A:E,5,FALSE)</f>
        <v>720</v>
      </c>
      <c r="P1013" s="13" t="str">
        <f>VLOOKUP(C1013,Customers!A:C,3,FALSE)</f>
        <v>Consumer</v>
      </c>
      <c r="Q1013" s="13">
        <f t="shared" si="60"/>
        <v>1100</v>
      </c>
      <c r="R1013" s="13">
        <f t="shared" si="61"/>
        <v>720</v>
      </c>
      <c r="S1013" s="13">
        <f t="shared" si="62"/>
        <v>380</v>
      </c>
      <c r="T1013" s="14">
        <f t="shared" si="63"/>
        <v>0.34545454545454546</v>
      </c>
    </row>
    <row r="1014" spans="1:20">
      <c r="A1014" t="s">
        <v>1718</v>
      </c>
      <c r="B1014" s="8">
        <v>46016</v>
      </c>
      <c r="C1014" t="s">
        <v>337</v>
      </c>
      <c r="D1014" t="s">
        <v>65</v>
      </c>
      <c r="E1014" t="s">
        <v>705</v>
      </c>
      <c r="F1014" t="s">
        <v>702</v>
      </c>
      <c r="G1014">
        <v>3</v>
      </c>
      <c r="H1014" s="9">
        <v>0.05</v>
      </c>
      <c r="I1014" t="s">
        <v>699</v>
      </c>
      <c r="J1014">
        <v>5</v>
      </c>
      <c r="K1014">
        <v>2</v>
      </c>
      <c r="L1014" t="str">
        <f>VLOOKUP(D1014,Products!A:E,2,FALSE)</f>
        <v>Laptop Stand</v>
      </c>
      <c r="M1014" t="str">
        <f>VLOOKUP(D1014,Products!A:E,3,FALSE)</f>
        <v>Accessories</v>
      </c>
      <c r="N1014">
        <f>VLOOKUP(D1014,Products!A:E,4,FALSE)</f>
        <v>48</v>
      </c>
      <c r="O1014" s="13">
        <f>VLOOKUP(D1014,Products!A:E,5,FALSE)</f>
        <v>22</v>
      </c>
      <c r="P1014" s="13" t="str">
        <f>VLOOKUP(C1014,Customers!A:C,3,FALSE)</f>
        <v>Consumer</v>
      </c>
      <c r="Q1014" s="13">
        <f t="shared" si="60"/>
        <v>136.79999999999998</v>
      </c>
      <c r="R1014" s="13">
        <f t="shared" si="61"/>
        <v>66</v>
      </c>
      <c r="S1014" s="13">
        <f t="shared" si="62"/>
        <v>70.799999999999983</v>
      </c>
      <c r="T1014" s="14">
        <f t="shared" si="63"/>
        <v>0.51754385964912275</v>
      </c>
    </row>
    <row r="1015" spans="1:20">
      <c r="A1015" t="s">
        <v>1719</v>
      </c>
      <c r="B1015" s="8">
        <v>46164</v>
      </c>
      <c r="C1015" t="s">
        <v>451</v>
      </c>
      <c r="D1015" t="s">
        <v>61</v>
      </c>
      <c r="E1015" t="s">
        <v>715</v>
      </c>
      <c r="F1015" t="s">
        <v>702</v>
      </c>
      <c r="G1015">
        <v>2</v>
      </c>
      <c r="H1015" s="9">
        <v>0.05</v>
      </c>
      <c r="I1015" t="s">
        <v>699</v>
      </c>
      <c r="J1015">
        <v>3</v>
      </c>
      <c r="K1015">
        <v>3</v>
      </c>
      <c r="L1015" t="str">
        <f>VLOOKUP(D1015,Products!A:E,2,FALSE)</f>
        <v>Office Chair</v>
      </c>
      <c r="M1015" t="str">
        <f>VLOOKUP(D1015,Products!A:E,3,FALSE)</f>
        <v>Furniture</v>
      </c>
      <c r="N1015">
        <f>VLOOKUP(D1015,Products!A:E,4,FALSE)</f>
        <v>255</v>
      </c>
      <c r="O1015" s="13">
        <f>VLOOKUP(D1015,Products!A:E,5,FALSE)</f>
        <v>145</v>
      </c>
      <c r="P1015" s="13" t="str">
        <f>VLOOKUP(C1015,Customers!A:C,3,FALSE)</f>
        <v>Small Business</v>
      </c>
      <c r="Q1015" s="13">
        <f t="shared" si="60"/>
        <v>484.5</v>
      </c>
      <c r="R1015" s="13">
        <f t="shared" si="61"/>
        <v>290</v>
      </c>
      <c r="S1015" s="13">
        <f t="shared" si="62"/>
        <v>194.5</v>
      </c>
      <c r="T1015" s="14">
        <f t="shared" si="63"/>
        <v>0.40144478844169246</v>
      </c>
    </row>
    <row r="1016" spans="1:20">
      <c r="A1016" t="s">
        <v>1720</v>
      </c>
      <c r="B1016" s="8">
        <v>45984</v>
      </c>
      <c r="C1016" t="s">
        <v>641</v>
      </c>
      <c r="D1016" t="s">
        <v>52</v>
      </c>
      <c r="E1016" t="s">
        <v>705</v>
      </c>
      <c r="F1016" t="s">
        <v>706</v>
      </c>
      <c r="G1016">
        <v>3</v>
      </c>
      <c r="H1016" s="9">
        <v>0.05</v>
      </c>
      <c r="I1016" t="s">
        <v>699</v>
      </c>
      <c r="J1016">
        <v>3</v>
      </c>
      <c r="K1016">
        <v>2</v>
      </c>
      <c r="L1016" t="str">
        <f>VLOOKUP(D1016,Products!A:E,2,FALSE)</f>
        <v>Mouse</v>
      </c>
      <c r="M1016" t="str">
        <f>VLOOKUP(D1016,Products!A:E,3,FALSE)</f>
        <v>Technology</v>
      </c>
      <c r="N1016">
        <f>VLOOKUP(D1016,Products!A:E,4,FALSE)</f>
        <v>42</v>
      </c>
      <c r="O1016" s="13">
        <f>VLOOKUP(D1016,Products!A:E,5,FALSE)</f>
        <v>19</v>
      </c>
      <c r="P1016" s="13" t="str">
        <f>VLOOKUP(C1016,Customers!A:C,3,FALSE)</f>
        <v>Corporate</v>
      </c>
      <c r="Q1016" s="13">
        <f t="shared" si="60"/>
        <v>119.69999999999999</v>
      </c>
      <c r="R1016" s="13">
        <f t="shared" si="61"/>
        <v>57</v>
      </c>
      <c r="S1016" s="13">
        <f t="shared" si="62"/>
        <v>62.699999999999989</v>
      </c>
      <c r="T1016" s="14">
        <f t="shared" si="63"/>
        <v>0.52380952380952372</v>
      </c>
    </row>
    <row r="1017" spans="1:20">
      <c r="A1017" t="s">
        <v>1721</v>
      </c>
      <c r="B1017" s="8">
        <v>46191</v>
      </c>
      <c r="C1017" t="s">
        <v>323</v>
      </c>
      <c r="D1017" t="s">
        <v>65</v>
      </c>
      <c r="E1017" t="s">
        <v>701</v>
      </c>
      <c r="F1017" t="s">
        <v>702</v>
      </c>
      <c r="G1017">
        <v>2</v>
      </c>
      <c r="H1017" s="9">
        <v>0.1</v>
      </c>
      <c r="I1017" t="s">
        <v>699</v>
      </c>
      <c r="J1017">
        <v>5</v>
      </c>
      <c r="K1017">
        <v>4</v>
      </c>
      <c r="L1017" t="str">
        <f>VLOOKUP(D1017,Products!A:E,2,FALSE)</f>
        <v>Laptop Stand</v>
      </c>
      <c r="M1017" t="str">
        <f>VLOOKUP(D1017,Products!A:E,3,FALSE)</f>
        <v>Accessories</v>
      </c>
      <c r="N1017">
        <f>VLOOKUP(D1017,Products!A:E,4,FALSE)</f>
        <v>48</v>
      </c>
      <c r="O1017" s="13">
        <f>VLOOKUP(D1017,Products!A:E,5,FALSE)</f>
        <v>22</v>
      </c>
      <c r="P1017" s="13" t="str">
        <f>VLOOKUP(C1017,Customers!A:C,3,FALSE)</f>
        <v>Corporate</v>
      </c>
      <c r="Q1017" s="13">
        <f t="shared" si="60"/>
        <v>86.4</v>
      </c>
      <c r="R1017" s="13">
        <f t="shared" si="61"/>
        <v>44</v>
      </c>
      <c r="S1017" s="13">
        <f t="shared" si="62"/>
        <v>42.400000000000006</v>
      </c>
      <c r="T1017" s="14">
        <f t="shared" si="63"/>
        <v>0.49074074074074076</v>
      </c>
    </row>
    <row r="1018" spans="1:20">
      <c r="A1018" t="s">
        <v>1722</v>
      </c>
      <c r="B1018" s="8">
        <v>46122</v>
      </c>
      <c r="C1018" t="s">
        <v>203</v>
      </c>
      <c r="D1018" t="s">
        <v>45</v>
      </c>
      <c r="E1018" t="s">
        <v>715</v>
      </c>
      <c r="F1018" t="s">
        <v>702</v>
      </c>
      <c r="G1018">
        <v>1</v>
      </c>
      <c r="H1018" s="9">
        <v>0</v>
      </c>
      <c r="I1018" t="s">
        <v>699</v>
      </c>
      <c r="J1018">
        <v>2</v>
      </c>
      <c r="K1018">
        <v>7</v>
      </c>
      <c r="L1018" t="str">
        <f>VLOOKUP(D1018,Products!A:E,2,FALSE)</f>
        <v>Laptop</v>
      </c>
      <c r="M1018" t="str">
        <f>VLOOKUP(D1018,Products!A:E,3,FALSE)</f>
        <v>Technology</v>
      </c>
      <c r="N1018">
        <f>VLOOKUP(D1018,Products!A:E,4,FALSE)</f>
        <v>1100</v>
      </c>
      <c r="O1018" s="13">
        <f>VLOOKUP(D1018,Products!A:E,5,FALSE)</f>
        <v>720</v>
      </c>
      <c r="P1018" s="13" t="str">
        <f>VLOOKUP(C1018,Customers!A:C,3,FALSE)</f>
        <v>Consumer</v>
      </c>
      <c r="Q1018" s="13">
        <f t="shared" si="60"/>
        <v>1100</v>
      </c>
      <c r="R1018" s="13">
        <f t="shared" si="61"/>
        <v>720</v>
      </c>
      <c r="S1018" s="13">
        <f t="shared" si="62"/>
        <v>380</v>
      </c>
      <c r="T1018" s="14">
        <f t="shared" si="63"/>
        <v>0.34545454545454546</v>
      </c>
    </row>
    <row r="1019" spans="1:20">
      <c r="A1019" t="s">
        <v>1723</v>
      </c>
      <c r="B1019" s="8">
        <v>46165</v>
      </c>
      <c r="C1019" t="s">
        <v>105</v>
      </c>
      <c r="D1019" t="s">
        <v>72</v>
      </c>
      <c r="E1019" t="s">
        <v>708</v>
      </c>
      <c r="F1019" t="s">
        <v>702</v>
      </c>
      <c r="G1019">
        <v>1</v>
      </c>
      <c r="H1019" s="9">
        <v>0</v>
      </c>
      <c r="I1019" t="s">
        <v>699</v>
      </c>
      <c r="J1019">
        <v>2</v>
      </c>
      <c r="K1019">
        <v>4</v>
      </c>
      <c r="L1019" t="str">
        <f>VLOOKUP(D1019,Products!A:E,2,FALSE)</f>
        <v>Phone Charger</v>
      </c>
      <c r="M1019" t="str">
        <f>VLOOKUP(D1019,Products!A:E,3,FALSE)</f>
        <v>Accessories</v>
      </c>
      <c r="N1019">
        <f>VLOOKUP(D1019,Products!A:E,4,FALSE)</f>
        <v>32</v>
      </c>
      <c r="O1019" s="13">
        <f>VLOOKUP(D1019,Products!A:E,5,FALSE)</f>
        <v>13</v>
      </c>
      <c r="P1019" s="13" t="str">
        <f>VLOOKUP(C1019,Customers!A:C,3,FALSE)</f>
        <v>Consumer</v>
      </c>
      <c r="Q1019" s="13">
        <f t="shared" si="60"/>
        <v>32</v>
      </c>
      <c r="R1019" s="13">
        <f t="shared" si="61"/>
        <v>13</v>
      </c>
      <c r="S1019" s="13">
        <f t="shared" si="62"/>
        <v>19</v>
      </c>
      <c r="T1019" s="14">
        <f t="shared" si="63"/>
        <v>0.59375</v>
      </c>
    </row>
    <row r="1020" spans="1:20">
      <c r="A1020" t="s">
        <v>1724</v>
      </c>
      <c r="B1020" s="8">
        <v>46212</v>
      </c>
      <c r="C1020" t="s">
        <v>443</v>
      </c>
      <c r="D1020" t="s">
        <v>45</v>
      </c>
      <c r="E1020" t="s">
        <v>697</v>
      </c>
      <c r="F1020" t="s">
        <v>698</v>
      </c>
      <c r="G1020">
        <v>2</v>
      </c>
      <c r="H1020" s="9">
        <v>0.1</v>
      </c>
      <c r="I1020" t="s">
        <v>699</v>
      </c>
      <c r="J1020">
        <v>5</v>
      </c>
      <c r="K1020">
        <v>2</v>
      </c>
      <c r="L1020" t="str">
        <f>VLOOKUP(D1020,Products!A:E,2,FALSE)</f>
        <v>Laptop</v>
      </c>
      <c r="M1020" t="str">
        <f>VLOOKUP(D1020,Products!A:E,3,FALSE)</f>
        <v>Technology</v>
      </c>
      <c r="N1020">
        <f>VLOOKUP(D1020,Products!A:E,4,FALSE)</f>
        <v>1100</v>
      </c>
      <c r="O1020" s="13">
        <f>VLOOKUP(D1020,Products!A:E,5,FALSE)</f>
        <v>720</v>
      </c>
      <c r="P1020" s="13" t="str">
        <f>VLOOKUP(C1020,Customers!A:C,3,FALSE)</f>
        <v>Consumer</v>
      </c>
      <c r="Q1020" s="13">
        <f t="shared" si="60"/>
        <v>1980</v>
      </c>
      <c r="R1020" s="13">
        <f t="shared" si="61"/>
        <v>1440</v>
      </c>
      <c r="S1020" s="13">
        <f t="shared" si="62"/>
        <v>540</v>
      </c>
      <c r="T1020" s="14">
        <f t="shared" si="63"/>
        <v>0.27272727272727271</v>
      </c>
    </row>
    <row r="1021" spans="1:20">
      <c r="A1021" t="s">
        <v>1725</v>
      </c>
      <c r="B1021" s="8">
        <v>45686</v>
      </c>
      <c r="C1021" t="s">
        <v>435</v>
      </c>
      <c r="D1021" t="s">
        <v>74</v>
      </c>
      <c r="E1021" t="s">
        <v>697</v>
      </c>
      <c r="F1021" t="s">
        <v>698</v>
      </c>
      <c r="G1021">
        <v>6</v>
      </c>
      <c r="H1021" s="9">
        <v>0.1</v>
      </c>
      <c r="I1021" t="s">
        <v>699</v>
      </c>
      <c r="J1021">
        <v>4</v>
      </c>
      <c r="K1021">
        <v>3</v>
      </c>
      <c r="L1021" t="str">
        <f>VLOOKUP(D1021,Products!A:E,2,FALSE)</f>
        <v>Printer Paper</v>
      </c>
      <c r="M1021" t="str">
        <f>VLOOKUP(D1021,Products!A:E,3,FALSE)</f>
        <v>Office Supplies</v>
      </c>
      <c r="N1021">
        <f>VLOOKUP(D1021,Products!A:E,4,FALSE)</f>
        <v>17</v>
      </c>
      <c r="O1021" s="13">
        <f>VLOOKUP(D1021,Products!A:E,5,FALSE)</f>
        <v>8</v>
      </c>
      <c r="P1021" s="13" t="str">
        <f>VLOOKUP(C1021,Customers!A:C,3,FALSE)</f>
        <v>Small Business</v>
      </c>
      <c r="Q1021" s="13">
        <f t="shared" si="60"/>
        <v>91.8</v>
      </c>
      <c r="R1021" s="13">
        <f t="shared" si="61"/>
        <v>48</v>
      </c>
      <c r="S1021" s="13">
        <f t="shared" si="62"/>
        <v>43.8</v>
      </c>
      <c r="T1021" s="14">
        <f t="shared" si="63"/>
        <v>0.47712418300653592</v>
      </c>
    </row>
    <row r="1022" spans="1:20">
      <c r="A1022" t="s">
        <v>1726</v>
      </c>
      <c r="B1022" s="8">
        <v>46205</v>
      </c>
      <c r="C1022" t="s">
        <v>561</v>
      </c>
      <c r="D1022" t="s">
        <v>74</v>
      </c>
      <c r="E1022" t="s">
        <v>715</v>
      </c>
      <c r="F1022" t="s">
        <v>698</v>
      </c>
      <c r="G1022">
        <v>2</v>
      </c>
      <c r="H1022" s="9">
        <v>0</v>
      </c>
      <c r="I1022" t="s">
        <v>699</v>
      </c>
      <c r="J1022">
        <v>5</v>
      </c>
      <c r="K1022">
        <v>2</v>
      </c>
      <c r="L1022" t="str">
        <f>VLOOKUP(D1022,Products!A:E,2,FALSE)</f>
        <v>Printer Paper</v>
      </c>
      <c r="M1022" t="str">
        <f>VLOOKUP(D1022,Products!A:E,3,FALSE)</f>
        <v>Office Supplies</v>
      </c>
      <c r="N1022">
        <f>VLOOKUP(D1022,Products!A:E,4,FALSE)</f>
        <v>17</v>
      </c>
      <c r="O1022" s="13">
        <f>VLOOKUP(D1022,Products!A:E,5,FALSE)</f>
        <v>8</v>
      </c>
      <c r="P1022" s="13" t="str">
        <f>VLOOKUP(C1022,Customers!A:C,3,FALSE)</f>
        <v>Consumer</v>
      </c>
      <c r="Q1022" s="13">
        <f t="shared" si="60"/>
        <v>34</v>
      </c>
      <c r="R1022" s="13">
        <f t="shared" si="61"/>
        <v>16</v>
      </c>
      <c r="S1022" s="13">
        <f t="shared" si="62"/>
        <v>18</v>
      </c>
      <c r="T1022" s="14">
        <f t="shared" si="63"/>
        <v>0.52941176470588236</v>
      </c>
    </row>
    <row r="1023" spans="1:20">
      <c r="A1023" t="s">
        <v>1727</v>
      </c>
      <c r="B1023" s="8">
        <v>45793</v>
      </c>
      <c r="C1023" t="s">
        <v>101</v>
      </c>
      <c r="D1023" t="s">
        <v>63</v>
      </c>
      <c r="E1023" t="s">
        <v>697</v>
      </c>
      <c r="F1023" t="s">
        <v>706</v>
      </c>
      <c r="G1023">
        <v>1</v>
      </c>
      <c r="H1023" s="9">
        <v>0</v>
      </c>
      <c r="I1023" t="s">
        <v>699</v>
      </c>
      <c r="J1023">
        <v>4</v>
      </c>
      <c r="K1023">
        <v>4</v>
      </c>
      <c r="L1023" t="str">
        <f>VLOOKUP(D1023,Products!A:E,2,FALSE)</f>
        <v>Bookshelf</v>
      </c>
      <c r="M1023" t="str">
        <f>VLOOKUP(D1023,Products!A:E,3,FALSE)</f>
        <v>Furniture</v>
      </c>
      <c r="N1023">
        <f>VLOOKUP(D1023,Products!A:E,4,FALSE)</f>
        <v>185</v>
      </c>
      <c r="O1023" s="13">
        <f>VLOOKUP(D1023,Products!A:E,5,FALSE)</f>
        <v>105</v>
      </c>
      <c r="P1023" s="13" t="str">
        <f>VLOOKUP(C1023,Customers!A:C,3,FALSE)</f>
        <v>Consumer</v>
      </c>
      <c r="Q1023" s="13">
        <f t="shared" si="60"/>
        <v>185</v>
      </c>
      <c r="R1023" s="13">
        <f t="shared" si="61"/>
        <v>105</v>
      </c>
      <c r="S1023" s="13">
        <f t="shared" si="62"/>
        <v>80</v>
      </c>
      <c r="T1023" s="14">
        <f t="shared" si="63"/>
        <v>0.43243243243243246</v>
      </c>
    </row>
    <row r="1024" spans="1:20">
      <c r="A1024" t="s">
        <v>1728</v>
      </c>
      <c r="B1024" s="8">
        <v>45697</v>
      </c>
      <c r="C1024" t="s">
        <v>367</v>
      </c>
      <c r="D1024" t="s">
        <v>70</v>
      </c>
      <c r="E1024" t="s">
        <v>708</v>
      </c>
      <c r="F1024" t="s">
        <v>702</v>
      </c>
      <c r="G1024">
        <v>3</v>
      </c>
      <c r="H1024" s="9">
        <v>0.1</v>
      </c>
      <c r="I1024" t="s">
        <v>699</v>
      </c>
      <c r="J1024">
        <v>4</v>
      </c>
      <c r="K1024">
        <v>3</v>
      </c>
      <c r="L1024" t="str">
        <f>VLOOKUP(D1024,Products!A:E,2,FALSE)</f>
        <v>USB-C Hub</v>
      </c>
      <c r="M1024" t="str">
        <f>VLOOKUP(D1024,Products!A:E,3,FALSE)</f>
        <v>Accessories</v>
      </c>
      <c r="N1024">
        <f>VLOOKUP(D1024,Products!A:E,4,FALSE)</f>
        <v>68</v>
      </c>
      <c r="O1024" s="13">
        <f>VLOOKUP(D1024,Products!A:E,5,FALSE)</f>
        <v>31</v>
      </c>
      <c r="P1024" s="13" t="str">
        <f>VLOOKUP(C1024,Customers!A:C,3,FALSE)</f>
        <v>Consumer</v>
      </c>
      <c r="Q1024" s="13">
        <f t="shared" si="60"/>
        <v>183.6</v>
      </c>
      <c r="R1024" s="13">
        <f t="shared" si="61"/>
        <v>93</v>
      </c>
      <c r="S1024" s="13">
        <f t="shared" si="62"/>
        <v>90.6</v>
      </c>
      <c r="T1024" s="14">
        <f t="shared" si="63"/>
        <v>0.49346405228758167</v>
      </c>
    </row>
    <row r="1025" spans="1:20">
      <c r="A1025" t="s">
        <v>1729</v>
      </c>
      <c r="B1025" s="8">
        <v>45928</v>
      </c>
      <c r="C1025" t="s">
        <v>269</v>
      </c>
      <c r="D1025" t="s">
        <v>77</v>
      </c>
      <c r="E1025" t="s">
        <v>715</v>
      </c>
      <c r="F1025" t="s">
        <v>702</v>
      </c>
      <c r="G1025">
        <v>2</v>
      </c>
      <c r="H1025" s="9">
        <v>0.2</v>
      </c>
      <c r="I1025" t="s">
        <v>699</v>
      </c>
      <c r="J1025">
        <v>5</v>
      </c>
      <c r="K1025">
        <v>2</v>
      </c>
      <c r="L1025" t="str">
        <f>VLOOKUP(D1025,Products!A:E,2,FALSE)</f>
        <v>File Folder Pack</v>
      </c>
      <c r="M1025" t="str">
        <f>VLOOKUP(D1025,Products!A:E,3,FALSE)</f>
        <v>Office Supplies</v>
      </c>
      <c r="N1025">
        <f>VLOOKUP(D1025,Products!A:E,4,FALSE)</f>
        <v>23</v>
      </c>
      <c r="O1025" s="13">
        <f>VLOOKUP(D1025,Products!A:E,5,FALSE)</f>
        <v>10</v>
      </c>
      <c r="P1025" s="13" t="str">
        <f>VLOOKUP(C1025,Customers!A:C,3,FALSE)</f>
        <v>Corporate</v>
      </c>
      <c r="Q1025" s="13">
        <f t="shared" si="60"/>
        <v>36.800000000000004</v>
      </c>
      <c r="R1025" s="13">
        <f t="shared" si="61"/>
        <v>20</v>
      </c>
      <c r="S1025" s="13">
        <f t="shared" si="62"/>
        <v>16.800000000000004</v>
      </c>
      <c r="T1025" s="14">
        <f t="shared" si="63"/>
        <v>0.45652173913043487</v>
      </c>
    </row>
    <row r="1026" spans="1:20">
      <c r="A1026" t="s">
        <v>1730</v>
      </c>
      <c r="B1026" s="8">
        <v>46076</v>
      </c>
      <c r="C1026" t="s">
        <v>145</v>
      </c>
      <c r="D1026" t="s">
        <v>50</v>
      </c>
      <c r="E1026" t="s">
        <v>708</v>
      </c>
      <c r="F1026" t="s">
        <v>698</v>
      </c>
      <c r="G1026">
        <v>1</v>
      </c>
      <c r="H1026" s="9">
        <v>0</v>
      </c>
      <c r="I1026" t="s">
        <v>699</v>
      </c>
      <c r="J1026">
        <v>5</v>
      </c>
      <c r="K1026">
        <v>3</v>
      </c>
      <c r="L1026" t="str">
        <f>VLOOKUP(D1026,Products!A:E,2,FALSE)</f>
        <v>Keyboard</v>
      </c>
      <c r="M1026" t="str">
        <f>VLOOKUP(D1026,Products!A:E,3,FALSE)</f>
        <v>Technology</v>
      </c>
      <c r="N1026">
        <f>VLOOKUP(D1026,Products!A:E,4,FALSE)</f>
        <v>75</v>
      </c>
      <c r="O1026" s="13">
        <f>VLOOKUP(D1026,Products!A:E,5,FALSE)</f>
        <v>38</v>
      </c>
      <c r="P1026" s="13" t="str">
        <f>VLOOKUP(C1026,Customers!A:C,3,FALSE)</f>
        <v>Corporate</v>
      </c>
      <c r="Q1026" s="13">
        <f t="shared" ref="Q1026:Q1089" si="64">G1026*N1026*(1-H1026)</f>
        <v>75</v>
      </c>
      <c r="R1026" s="13">
        <f t="shared" ref="R1026:R1089" si="65">G1026*O1026</f>
        <v>38</v>
      </c>
      <c r="S1026" s="13">
        <f t="shared" ref="S1026:S1089" si="66">Q1026-R1026</f>
        <v>37</v>
      </c>
      <c r="T1026" s="14">
        <f t="shared" ref="T1026:T1089" si="67">IFERROR(S1026/Q1026,0)</f>
        <v>0.49333333333333335</v>
      </c>
    </row>
    <row r="1027" spans="1:20">
      <c r="A1027" t="s">
        <v>1731</v>
      </c>
      <c r="B1027" s="8">
        <v>45923</v>
      </c>
      <c r="C1027" t="s">
        <v>593</v>
      </c>
      <c r="D1027" t="s">
        <v>54</v>
      </c>
      <c r="E1027" t="s">
        <v>708</v>
      </c>
      <c r="F1027" t="s">
        <v>702</v>
      </c>
      <c r="G1027">
        <v>5</v>
      </c>
      <c r="H1027" s="9">
        <v>0.05</v>
      </c>
      <c r="I1027" t="s">
        <v>699</v>
      </c>
      <c r="J1027">
        <v>5</v>
      </c>
      <c r="K1027">
        <v>2</v>
      </c>
      <c r="L1027" t="str">
        <f>VLOOKUP(D1027,Products!A:E,2,FALSE)</f>
        <v>Webcam</v>
      </c>
      <c r="M1027" t="str">
        <f>VLOOKUP(D1027,Products!A:E,3,FALSE)</f>
        <v>Technology</v>
      </c>
      <c r="N1027">
        <f>VLOOKUP(D1027,Products!A:E,4,FALSE)</f>
        <v>115</v>
      </c>
      <c r="O1027" s="13">
        <f>VLOOKUP(D1027,Products!A:E,5,FALSE)</f>
        <v>58</v>
      </c>
      <c r="P1027" s="13" t="str">
        <f>VLOOKUP(C1027,Customers!A:C,3,FALSE)</f>
        <v>Consumer</v>
      </c>
      <c r="Q1027" s="13">
        <f t="shared" si="64"/>
        <v>546.25</v>
      </c>
      <c r="R1027" s="13">
        <f t="shared" si="65"/>
        <v>290</v>
      </c>
      <c r="S1027" s="13">
        <f t="shared" si="66"/>
        <v>256.25</v>
      </c>
      <c r="T1027" s="14">
        <f t="shared" si="67"/>
        <v>0.46910755148741418</v>
      </c>
    </row>
    <row r="1028" spans="1:20">
      <c r="A1028" t="s">
        <v>1732</v>
      </c>
      <c r="B1028" s="8">
        <v>46176</v>
      </c>
      <c r="C1028" t="s">
        <v>537</v>
      </c>
      <c r="D1028" t="s">
        <v>68</v>
      </c>
      <c r="E1028" t="s">
        <v>705</v>
      </c>
      <c r="F1028" t="s">
        <v>698</v>
      </c>
      <c r="G1028">
        <v>1</v>
      </c>
      <c r="H1028" s="9">
        <v>0.1</v>
      </c>
      <c r="I1028" t="s">
        <v>699</v>
      </c>
      <c r="J1028">
        <v>4</v>
      </c>
      <c r="K1028">
        <v>3</v>
      </c>
      <c r="L1028" t="str">
        <f>VLOOKUP(D1028,Products!A:E,2,FALSE)</f>
        <v>Backpack</v>
      </c>
      <c r="M1028" t="str">
        <f>VLOOKUP(D1028,Products!A:E,3,FALSE)</f>
        <v>Accessories</v>
      </c>
      <c r="N1028">
        <f>VLOOKUP(D1028,Products!A:E,4,FALSE)</f>
        <v>85</v>
      </c>
      <c r="O1028" s="13">
        <f>VLOOKUP(D1028,Products!A:E,5,FALSE)</f>
        <v>39</v>
      </c>
      <c r="P1028" s="13" t="str">
        <f>VLOOKUP(C1028,Customers!A:C,3,FALSE)</f>
        <v>Corporate</v>
      </c>
      <c r="Q1028" s="13">
        <f t="shared" si="64"/>
        <v>76.5</v>
      </c>
      <c r="R1028" s="13">
        <f t="shared" si="65"/>
        <v>39</v>
      </c>
      <c r="S1028" s="13">
        <f t="shared" si="66"/>
        <v>37.5</v>
      </c>
      <c r="T1028" s="14">
        <f t="shared" si="67"/>
        <v>0.49019607843137253</v>
      </c>
    </row>
    <row r="1029" spans="1:20">
      <c r="A1029" t="s">
        <v>1733</v>
      </c>
      <c r="B1029" s="8">
        <v>46211</v>
      </c>
      <c r="C1029" t="s">
        <v>131</v>
      </c>
      <c r="D1029" t="s">
        <v>61</v>
      </c>
      <c r="E1029" t="s">
        <v>708</v>
      </c>
      <c r="F1029" t="s">
        <v>702</v>
      </c>
      <c r="G1029">
        <v>2</v>
      </c>
      <c r="H1029" s="9">
        <v>0.05</v>
      </c>
      <c r="I1029" t="s">
        <v>699</v>
      </c>
      <c r="J1029">
        <v>4</v>
      </c>
      <c r="K1029">
        <v>3</v>
      </c>
      <c r="L1029" t="str">
        <f>VLOOKUP(D1029,Products!A:E,2,FALSE)</f>
        <v>Office Chair</v>
      </c>
      <c r="M1029" t="str">
        <f>VLOOKUP(D1029,Products!A:E,3,FALSE)</f>
        <v>Furniture</v>
      </c>
      <c r="N1029">
        <f>VLOOKUP(D1029,Products!A:E,4,FALSE)</f>
        <v>255</v>
      </c>
      <c r="O1029" s="13">
        <f>VLOOKUP(D1029,Products!A:E,5,FALSE)</f>
        <v>145</v>
      </c>
      <c r="P1029" s="13" t="str">
        <f>VLOOKUP(C1029,Customers!A:C,3,FALSE)</f>
        <v>Consumer</v>
      </c>
      <c r="Q1029" s="13">
        <f t="shared" si="64"/>
        <v>484.5</v>
      </c>
      <c r="R1029" s="13">
        <f t="shared" si="65"/>
        <v>290</v>
      </c>
      <c r="S1029" s="13">
        <f t="shared" si="66"/>
        <v>194.5</v>
      </c>
      <c r="T1029" s="14">
        <f t="shared" si="67"/>
        <v>0.40144478844169246</v>
      </c>
    </row>
    <row r="1030" spans="1:20">
      <c r="A1030" t="s">
        <v>1734</v>
      </c>
      <c r="B1030" s="8">
        <v>46083</v>
      </c>
      <c r="C1030" t="s">
        <v>159</v>
      </c>
      <c r="D1030" t="s">
        <v>74</v>
      </c>
      <c r="E1030" t="s">
        <v>697</v>
      </c>
      <c r="F1030" t="s">
        <v>702</v>
      </c>
      <c r="G1030">
        <v>2</v>
      </c>
      <c r="H1030" s="9">
        <v>0.1</v>
      </c>
      <c r="I1030" t="s">
        <v>699</v>
      </c>
      <c r="J1030">
        <v>4</v>
      </c>
      <c r="K1030">
        <v>3</v>
      </c>
      <c r="L1030" t="str">
        <f>VLOOKUP(D1030,Products!A:E,2,FALSE)</f>
        <v>Printer Paper</v>
      </c>
      <c r="M1030" t="str">
        <f>VLOOKUP(D1030,Products!A:E,3,FALSE)</f>
        <v>Office Supplies</v>
      </c>
      <c r="N1030">
        <f>VLOOKUP(D1030,Products!A:E,4,FALSE)</f>
        <v>17</v>
      </c>
      <c r="O1030" s="13">
        <f>VLOOKUP(D1030,Products!A:E,5,FALSE)</f>
        <v>8</v>
      </c>
      <c r="P1030" s="13" t="str">
        <f>VLOOKUP(C1030,Customers!A:C,3,FALSE)</f>
        <v>Small Business</v>
      </c>
      <c r="Q1030" s="13">
        <f t="shared" si="64"/>
        <v>30.6</v>
      </c>
      <c r="R1030" s="13">
        <f t="shared" si="65"/>
        <v>16</v>
      </c>
      <c r="S1030" s="13">
        <f t="shared" si="66"/>
        <v>14.600000000000001</v>
      </c>
      <c r="T1030" s="14">
        <f t="shared" si="67"/>
        <v>0.47712418300653597</v>
      </c>
    </row>
    <row r="1031" spans="1:20">
      <c r="A1031" t="s">
        <v>1735</v>
      </c>
      <c r="B1031" s="8">
        <v>46139</v>
      </c>
      <c r="C1031" t="s">
        <v>387</v>
      </c>
      <c r="D1031" t="s">
        <v>45</v>
      </c>
      <c r="E1031" t="s">
        <v>705</v>
      </c>
      <c r="F1031" t="s">
        <v>702</v>
      </c>
      <c r="G1031">
        <v>6</v>
      </c>
      <c r="H1031" s="9">
        <v>0.15</v>
      </c>
      <c r="I1031" t="s">
        <v>699</v>
      </c>
      <c r="J1031">
        <v>4</v>
      </c>
      <c r="K1031">
        <v>3</v>
      </c>
      <c r="L1031" t="str">
        <f>VLOOKUP(D1031,Products!A:E,2,FALSE)</f>
        <v>Laptop</v>
      </c>
      <c r="M1031" t="str">
        <f>VLOOKUP(D1031,Products!A:E,3,FALSE)</f>
        <v>Technology</v>
      </c>
      <c r="N1031">
        <f>VLOOKUP(D1031,Products!A:E,4,FALSE)</f>
        <v>1100</v>
      </c>
      <c r="O1031" s="13">
        <f>VLOOKUP(D1031,Products!A:E,5,FALSE)</f>
        <v>720</v>
      </c>
      <c r="P1031" s="13" t="str">
        <f>VLOOKUP(C1031,Customers!A:C,3,FALSE)</f>
        <v>Small Business</v>
      </c>
      <c r="Q1031" s="13">
        <f t="shared" si="64"/>
        <v>5610</v>
      </c>
      <c r="R1031" s="13">
        <f t="shared" si="65"/>
        <v>4320</v>
      </c>
      <c r="S1031" s="13">
        <f t="shared" si="66"/>
        <v>1290</v>
      </c>
      <c r="T1031" s="14">
        <f t="shared" si="67"/>
        <v>0.22994652406417113</v>
      </c>
    </row>
    <row r="1032" spans="1:20">
      <c r="A1032" t="s">
        <v>1736</v>
      </c>
      <c r="B1032" s="8">
        <v>46181</v>
      </c>
      <c r="C1032" t="s">
        <v>607</v>
      </c>
      <c r="D1032" t="s">
        <v>70</v>
      </c>
      <c r="E1032" t="s">
        <v>697</v>
      </c>
      <c r="F1032" t="s">
        <v>702</v>
      </c>
      <c r="G1032">
        <v>3</v>
      </c>
      <c r="H1032" s="9">
        <v>0.05</v>
      </c>
      <c r="I1032" t="s">
        <v>699</v>
      </c>
      <c r="J1032">
        <v>5</v>
      </c>
      <c r="K1032">
        <v>1</v>
      </c>
      <c r="L1032" t="str">
        <f>VLOOKUP(D1032,Products!A:E,2,FALSE)</f>
        <v>USB-C Hub</v>
      </c>
      <c r="M1032" t="str">
        <f>VLOOKUP(D1032,Products!A:E,3,FALSE)</f>
        <v>Accessories</v>
      </c>
      <c r="N1032">
        <f>VLOOKUP(D1032,Products!A:E,4,FALSE)</f>
        <v>68</v>
      </c>
      <c r="O1032" s="13">
        <f>VLOOKUP(D1032,Products!A:E,5,FALSE)</f>
        <v>31</v>
      </c>
      <c r="P1032" s="13" t="str">
        <f>VLOOKUP(C1032,Customers!A:C,3,FALSE)</f>
        <v>Small Business</v>
      </c>
      <c r="Q1032" s="13">
        <f t="shared" si="64"/>
        <v>193.79999999999998</v>
      </c>
      <c r="R1032" s="13">
        <f t="shared" si="65"/>
        <v>93</v>
      </c>
      <c r="S1032" s="13">
        <f t="shared" si="66"/>
        <v>100.79999999999998</v>
      </c>
      <c r="T1032" s="14">
        <f t="shared" si="67"/>
        <v>0.52012383900928794</v>
      </c>
    </row>
    <row r="1033" spans="1:20">
      <c r="A1033" t="s">
        <v>1737</v>
      </c>
      <c r="B1033" s="8">
        <v>45737</v>
      </c>
      <c r="C1033" t="s">
        <v>315</v>
      </c>
      <c r="D1033" t="s">
        <v>74</v>
      </c>
      <c r="E1033" t="s">
        <v>715</v>
      </c>
      <c r="F1033" t="s">
        <v>702</v>
      </c>
      <c r="G1033">
        <v>5</v>
      </c>
      <c r="H1033" s="9">
        <v>0.1</v>
      </c>
      <c r="I1033" t="s">
        <v>699</v>
      </c>
      <c r="J1033">
        <v>5</v>
      </c>
      <c r="K1033">
        <v>5</v>
      </c>
      <c r="L1033" t="str">
        <f>VLOOKUP(D1033,Products!A:E,2,FALSE)</f>
        <v>Printer Paper</v>
      </c>
      <c r="M1033" t="str">
        <f>VLOOKUP(D1033,Products!A:E,3,FALSE)</f>
        <v>Office Supplies</v>
      </c>
      <c r="N1033">
        <f>VLOOKUP(D1033,Products!A:E,4,FALSE)</f>
        <v>17</v>
      </c>
      <c r="O1033" s="13">
        <f>VLOOKUP(D1033,Products!A:E,5,FALSE)</f>
        <v>8</v>
      </c>
      <c r="P1033" s="13" t="str">
        <f>VLOOKUP(C1033,Customers!A:C,3,FALSE)</f>
        <v>Small Business</v>
      </c>
      <c r="Q1033" s="13">
        <f t="shared" si="64"/>
        <v>76.5</v>
      </c>
      <c r="R1033" s="13">
        <f t="shared" si="65"/>
        <v>40</v>
      </c>
      <c r="S1033" s="13">
        <f t="shared" si="66"/>
        <v>36.5</v>
      </c>
      <c r="T1033" s="14">
        <f t="shared" si="67"/>
        <v>0.47712418300653597</v>
      </c>
    </row>
    <row r="1034" spans="1:20">
      <c r="A1034" t="s">
        <v>1738</v>
      </c>
      <c r="B1034" s="8">
        <v>46109</v>
      </c>
      <c r="C1034" t="s">
        <v>411</v>
      </c>
      <c r="D1034" t="s">
        <v>63</v>
      </c>
      <c r="E1034" t="s">
        <v>705</v>
      </c>
      <c r="F1034" t="s">
        <v>698</v>
      </c>
      <c r="G1034">
        <v>6</v>
      </c>
      <c r="H1034" s="9">
        <v>0</v>
      </c>
      <c r="I1034" t="s">
        <v>699</v>
      </c>
      <c r="J1034">
        <v>5</v>
      </c>
      <c r="K1034">
        <v>2</v>
      </c>
      <c r="L1034" t="str">
        <f>VLOOKUP(D1034,Products!A:E,2,FALSE)</f>
        <v>Bookshelf</v>
      </c>
      <c r="M1034" t="str">
        <f>VLOOKUP(D1034,Products!A:E,3,FALSE)</f>
        <v>Furniture</v>
      </c>
      <c r="N1034">
        <f>VLOOKUP(D1034,Products!A:E,4,FALSE)</f>
        <v>185</v>
      </c>
      <c r="O1034" s="13">
        <f>VLOOKUP(D1034,Products!A:E,5,FALSE)</f>
        <v>105</v>
      </c>
      <c r="P1034" s="13" t="str">
        <f>VLOOKUP(C1034,Customers!A:C,3,FALSE)</f>
        <v>Consumer</v>
      </c>
      <c r="Q1034" s="13">
        <f t="shared" si="64"/>
        <v>1110</v>
      </c>
      <c r="R1034" s="13">
        <f t="shared" si="65"/>
        <v>630</v>
      </c>
      <c r="S1034" s="13">
        <f t="shared" si="66"/>
        <v>480</v>
      </c>
      <c r="T1034" s="14">
        <f t="shared" si="67"/>
        <v>0.43243243243243246</v>
      </c>
    </row>
    <row r="1035" spans="1:20">
      <c r="A1035" t="s">
        <v>1739</v>
      </c>
      <c r="B1035" s="8">
        <v>46124</v>
      </c>
      <c r="C1035" t="s">
        <v>409</v>
      </c>
      <c r="D1035" t="s">
        <v>52</v>
      </c>
      <c r="E1035" t="s">
        <v>701</v>
      </c>
      <c r="F1035" t="s">
        <v>702</v>
      </c>
      <c r="G1035">
        <v>7</v>
      </c>
      <c r="H1035" s="9">
        <v>0</v>
      </c>
      <c r="I1035" t="s">
        <v>699</v>
      </c>
      <c r="J1035">
        <v>4</v>
      </c>
      <c r="K1035">
        <v>1</v>
      </c>
      <c r="L1035" t="str">
        <f>VLOOKUP(D1035,Products!A:E,2,FALSE)</f>
        <v>Mouse</v>
      </c>
      <c r="M1035" t="str">
        <f>VLOOKUP(D1035,Products!A:E,3,FALSE)</f>
        <v>Technology</v>
      </c>
      <c r="N1035">
        <f>VLOOKUP(D1035,Products!A:E,4,FALSE)</f>
        <v>42</v>
      </c>
      <c r="O1035" s="13">
        <f>VLOOKUP(D1035,Products!A:E,5,FALSE)</f>
        <v>19</v>
      </c>
      <c r="P1035" s="13" t="str">
        <f>VLOOKUP(C1035,Customers!A:C,3,FALSE)</f>
        <v>Corporate</v>
      </c>
      <c r="Q1035" s="13">
        <f t="shared" si="64"/>
        <v>294</v>
      </c>
      <c r="R1035" s="13">
        <f t="shared" si="65"/>
        <v>133</v>
      </c>
      <c r="S1035" s="13">
        <f t="shared" si="66"/>
        <v>161</v>
      </c>
      <c r="T1035" s="14">
        <f t="shared" si="67"/>
        <v>0.54761904761904767</v>
      </c>
    </row>
    <row r="1036" spans="1:20">
      <c r="A1036" t="s">
        <v>1740</v>
      </c>
      <c r="B1036" s="8">
        <v>46028</v>
      </c>
      <c r="C1036" t="s">
        <v>581</v>
      </c>
      <c r="D1036" t="s">
        <v>61</v>
      </c>
      <c r="E1036" t="s">
        <v>715</v>
      </c>
      <c r="F1036" t="s">
        <v>702</v>
      </c>
      <c r="G1036">
        <v>3</v>
      </c>
      <c r="H1036" s="9">
        <v>0.1</v>
      </c>
      <c r="I1036" t="s">
        <v>699</v>
      </c>
      <c r="J1036">
        <v>4</v>
      </c>
      <c r="K1036">
        <v>4</v>
      </c>
      <c r="L1036" t="str">
        <f>VLOOKUP(D1036,Products!A:E,2,FALSE)</f>
        <v>Office Chair</v>
      </c>
      <c r="M1036" t="str">
        <f>VLOOKUP(D1036,Products!A:E,3,FALSE)</f>
        <v>Furniture</v>
      </c>
      <c r="N1036">
        <f>VLOOKUP(D1036,Products!A:E,4,FALSE)</f>
        <v>255</v>
      </c>
      <c r="O1036" s="13">
        <f>VLOOKUP(D1036,Products!A:E,5,FALSE)</f>
        <v>145</v>
      </c>
      <c r="P1036" s="13" t="str">
        <f>VLOOKUP(C1036,Customers!A:C,3,FALSE)</f>
        <v>Consumer</v>
      </c>
      <c r="Q1036" s="13">
        <f t="shared" si="64"/>
        <v>688.5</v>
      </c>
      <c r="R1036" s="13">
        <f t="shared" si="65"/>
        <v>435</v>
      </c>
      <c r="S1036" s="13">
        <f t="shared" si="66"/>
        <v>253.5</v>
      </c>
      <c r="T1036" s="14">
        <f t="shared" si="67"/>
        <v>0.36819172113289761</v>
      </c>
    </row>
    <row r="1037" spans="1:20">
      <c r="A1037" t="s">
        <v>1741</v>
      </c>
      <c r="B1037" s="8">
        <v>46256</v>
      </c>
      <c r="C1037" t="s">
        <v>227</v>
      </c>
      <c r="D1037" t="s">
        <v>63</v>
      </c>
      <c r="E1037" t="s">
        <v>697</v>
      </c>
      <c r="F1037" t="s">
        <v>702</v>
      </c>
      <c r="G1037">
        <v>1</v>
      </c>
      <c r="H1037" s="9">
        <v>0</v>
      </c>
      <c r="I1037" t="s">
        <v>699</v>
      </c>
      <c r="J1037">
        <v>3</v>
      </c>
      <c r="K1037">
        <v>4</v>
      </c>
      <c r="L1037" t="str">
        <f>VLOOKUP(D1037,Products!A:E,2,FALSE)</f>
        <v>Bookshelf</v>
      </c>
      <c r="M1037" t="str">
        <f>VLOOKUP(D1037,Products!A:E,3,FALSE)</f>
        <v>Furniture</v>
      </c>
      <c r="N1037">
        <f>VLOOKUP(D1037,Products!A:E,4,FALSE)</f>
        <v>185</v>
      </c>
      <c r="O1037" s="13">
        <f>VLOOKUP(D1037,Products!A:E,5,FALSE)</f>
        <v>105</v>
      </c>
      <c r="P1037" s="13" t="str">
        <f>VLOOKUP(C1037,Customers!A:C,3,FALSE)</f>
        <v>Consumer</v>
      </c>
      <c r="Q1037" s="13">
        <f t="shared" si="64"/>
        <v>185</v>
      </c>
      <c r="R1037" s="13">
        <f t="shared" si="65"/>
        <v>105</v>
      </c>
      <c r="S1037" s="13">
        <f t="shared" si="66"/>
        <v>80</v>
      </c>
      <c r="T1037" s="14">
        <f t="shared" si="67"/>
        <v>0.43243243243243246</v>
      </c>
    </row>
    <row r="1038" spans="1:20">
      <c r="A1038" t="s">
        <v>1742</v>
      </c>
      <c r="B1038" s="8">
        <v>45860</v>
      </c>
      <c r="C1038" t="s">
        <v>271</v>
      </c>
      <c r="D1038" t="s">
        <v>77</v>
      </c>
      <c r="E1038" t="s">
        <v>705</v>
      </c>
      <c r="F1038" t="s">
        <v>702</v>
      </c>
      <c r="G1038">
        <v>1</v>
      </c>
      <c r="H1038" s="9">
        <v>0.05</v>
      </c>
      <c r="I1038" t="s">
        <v>703</v>
      </c>
      <c r="J1038">
        <v>5</v>
      </c>
      <c r="K1038">
        <v>3</v>
      </c>
      <c r="L1038" t="str">
        <f>VLOOKUP(D1038,Products!A:E,2,FALSE)</f>
        <v>File Folder Pack</v>
      </c>
      <c r="M1038" t="str">
        <f>VLOOKUP(D1038,Products!A:E,3,FALSE)</f>
        <v>Office Supplies</v>
      </c>
      <c r="N1038">
        <f>VLOOKUP(D1038,Products!A:E,4,FALSE)</f>
        <v>23</v>
      </c>
      <c r="O1038" s="13">
        <f>VLOOKUP(D1038,Products!A:E,5,FALSE)</f>
        <v>10</v>
      </c>
      <c r="P1038" s="13" t="str">
        <f>VLOOKUP(C1038,Customers!A:C,3,FALSE)</f>
        <v>Corporate</v>
      </c>
      <c r="Q1038" s="13">
        <f t="shared" si="64"/>
        <v>21.849999999999998</v>
      </c>
      <c r="R1038" s="13">
        <f t="shared" si="65"/>
        <v>10</v>
      </c>
      <c r="S1038" s="13">
        <f t="shared" si="66"/>
        <v>11.849999999999998</v>
      </c>
      <c r="T1038" s="14">
        <f t="shared" si="67"/>
        <v>0.54233409610983974</v>
      </c>
    </row>
    <row r="1039" spans="1:20">
      <c r="A1039" t="s">
        <v>1743</v>
      </c>
      <c r="B1039" s="8">
        <v>46099</v>
      </c>
      <c r="C1039" t="s">
        <v>111</v>
      </c>
      <c r="D1039" t="s">
        <v>56</v>
      </c>
      <c r="E1039" t="s">
        <v>697</v>
      </c>
      <c r="F1039" t="s">
        <v>702</v>
      </c>
      <c r="G1039">
        <v>5</v>
      </c>
      <c r="H1039" s="9">
        <v>0.15</v>
      </c>
      <c r="I1039" t="s">
        <v>699</v>
      </c>
      <c r="J1039">
        <v>4</v>
      </c>
      <c r="K1039">
        <v>4</v>
      </c>
      <c r="L1039" t="str">
        <f>VLOOKUP(D1039,Products!A:E,2,FALSE)</f>
        <v>Headset</v>
      </c>
      <c r="M1039" t="str">
        <f>VLOOKUP(D1039,Products!A:E,3,FALSE)</f>
        <v>Technology</v>
      </c>
      <c r="N1039">
        <f>VLOOKUP(D1039,Products!A:E,4,FALSE)</f>
        <v>98</v>
      </c>
      <c r="O1039" s="13">
        <f>VLOOKUP(D1039,Products!A:E,5,FALSE)</f>
        <v>46</v>
      </c>
      <c r="P1039" s="13" t="str">
        <f>VLOOKUP(C1039,Customers!A:C,3,FALSE)</f>
        <v>Consumer</v>
      </c>
      <c r="Q1039" s="13">
        <f t="shared" si="64"/>
        <v>416.5</v>
      </c>
      <c r="R1039" s="13">
        <f t="shared" si="65"/>
        <v>230</v>
      </c>
      <c r="S1039" s="13">
        <f t="shared" si="66"/>
        <v>186.5</v>
      </c>
      <c r="T1039" s="14">
        <f t="shared" si="67"/>
        <v>0.44777911164465789</v>
      </c>
    </row>
    <row r="1040" spans="1:20">
      <c r="A1040" t="s">
        <v>1744</v>
      </c>
      <c r="B1040" s="8">
        <v>46228</v>
      </c>
      <c r="C1040" t="s">
        <v>333</v>
      </c>
      <c r="D1040" t="s">
        <v>65</v>
      </c>
      <c r="E1040" t="s">
        <v>705</v>
      </c>
      <c r="F1040" t="s">
        <v>706</v>
      </c>
      <c r="G1040">
        <v>6</v>
      </c>
      <c r="H1040" s="9">
        <v>0.05</v>
      </c>
      <c r="I1040" t="s">
        <v>699</v>
      </c>
      <c r="J1040">
        <v>5</v>
      </c>
      <c r="K1040">
        <v>1</v>
      </c>
      <c r="L1040" t="str">
        <f>VLOOKUP(D1040,Products!A:E,2,FALSE)</f>
        <v>Laptop Stand</v>
      </c>
      <c r="M1040" t="str">
        <f>VLOOKUP(D1040,Products!A:E,3,FALSE)</f>
        <v>Accessories</v>
      </c>
      <c r="N1040">
        <f>VLOOKUP(D1040,Products!A:E,4,FALSE)</f>
        <v>48</v>
      </c>
      <c r="O1040" s="13">
        <f>VLOOKUP(D1040,Products!A:E,5,FALSE)</f>
        <v>22</v>
      </c>
      <c r="P1040" s="13" t="str">
        <f>VLOOKUP(C1040,Customers!A:C,3,FALSE)</f>
        <v>Corporate</v>
      </c>
      <c r="Q1040" s="13">
        <f t="shared" si="64"/>
        <v>273.59999999999997</v>
      </c>
      <c r="R1040" s="13">
        <f t="shared" si="65"/>
        <v>132</v>
      </c>
      <c r="S1040" s="13">
        <f t="shared" si="66"/>
        <v>141.59999999999997</v>
      </c>
      <c r="T1040" s="14">
        <f t="shared" si="67"/>
        <v>0.51754385964912275</v>
      </c>
    </row>
    <row r="1041" spans="1:20">
      <c r="A1041" t="s">
        <v>1745</v>
      </c>
      <c r="B1041" s="8">
        <v>45733</v>
      </c>
      <c r="C1041" t="s">
        <v>449</v>
      </c>
      <c r="D1041" t="s">
        <v>77</v>
      </c>
      <c r="E1041" t="s">
        <v>697</v>
      </c>
      <c r="F1041" t="s">
        <v>698</v>
      </c>
      <c r="G1041">
        <v>4</v>
      </c>
      <c r="H1041" s="9">
        <v>0</v>
      </c>
      <c r="I1041" t="s">
        <v>699</v>
      </c>
      <c r="J1041">
        <v>5</v>
      </c>
      <c r="K1041">
        <v>2</v>
      </c>
      <c r="L1041" t="str">
        <f>VLOOKUP(D1041,Products!A:E,2,FALSE)</f>
        <v>File Folder Pack</v>
      </c>
      <c r="M1041" t="str">
        <f>VLOOKUP(D1041,Products!A:E,3,FALSE)</f>
        <v>Office Supplies</v>
      </c>
      <c r="N1041">
        <f>VLOOKUP(D1041,Products!A:E,4,FALSE)</f>
        <v>23</v>
      </c>
      <c r="O1041" s="13">
        <f>VLOOKUP(D1041,Products!A:E,5,FALSE)</f>
        <v>10</v>
      </c>
      <c r="P1041" s="13" t="str">
        <f>VLOOKUP(C1041,Customers!A:C,3,FALSE)</f>
        <v>Corporate</v>
      </c>
      <c r="Q1041" s="13">
        <f t="shared" si="64"/>
        <v>92</v>
      </c>
      <c r="R1041" s="13">
        <f t="shared" si="65"/>
        <v>40</v>
      </c>
      <c r="S1041" s="13">
        <f t="shared" si="66"/>
        <v>52</v>
      </c>
      <c r="T1041" s="14">
        <f t="shared" si="67"/>
        <v>0.56521739130434778</v>
      </c>
    </row>
    <row r="1042" spans="1:20">
      <c r="A1042" t="s">
        <v>1746</v>
      </c>
      <c r="B1042" s="8">
        <v>46261</v>
      </c>
      <c r="C1042" t="s">
        <v>607</v>
      </c>
      <c r="D1042" t="s">
        <v>50</v>
      </c>
      <c r="E1042" t="s">
        <v>705</v>
      </c>
      <c r="F1042" t="s">
        <v>702</v>
      </c>
      <c r="G1042">
        <v>3</v>
      </c>
      <c r="H1042" s="9">
        <v>0.1</v>
      </c>
      <c r="I1042" t="s">
        <v>699</v>
      </c>
      <c r="J1042">
        <v>4</v>
      </c>
      <c r="K1042">
        <v>2</v>
      </c>
      <c r="L1042" t="str">
        <f>VLOOKUP(D1042,Products!A:E,2,FALSE)</f>
        <v>Keyboard</v>
      </c>
      <c r="M1042" t="str">
        <f>VLOOKUP(D1042,Products!A:E,3,FALSE)</f>
        <v>Technology</v>
      </c>
      <c r="N1042">
        <f>VLOOKUP(D1042,Products!A:E,4,FALSE)</f>
        <v>75</v>
      </c>
      <c r="O1042" s="13">
        <f>VLOOKUP(D1042,Products!A:E,5,FALSE)</f>
        <v>38</v>
      </c>
      <c r="P1042" s="13" t="str">
        <f>VLOOKUP(C1042,Customers!A:C,3,FALSE)</f>
        <v>Small Business</v>
      </c>
      <c r="Q1042" s="13">
        <f t="shared" si="64"/>
        <v>202.5</v>
      </c>
      <c r="R1042" s="13">
        <f t="shared" si="65"/>
        <v>114</v>
      </c>
      <c r="S1042" s="13">
        <f t="shared" si="66"/>
        <v>88.5</v>
      </c>
      <c r="T1042" s="14">
        <f t="shared" si="67"/>
        <v>0.43703703703703706</v>
      </c>
    </row>
    <row r="1043" spans="1:20">
      <c r="A1043" t="s">
        <v>1747</v>
      </c>
      <c r="B1043" s="8">
        <v>46178</v>
      </c>
      <c r="C1043" t="s">
        <v>373</v>
      </c>
      <c r="D1043" t="s">
        <v>52</v>
      </c>
      <c r="E1043" t="s">
        <v>708</v>
      </c>
      <c r="F1043" t="s">
        <v>698</v>
      </c>
      <c r="G1043">
        <v>1</v>
      </c>
      <c r="H1043" s="9">
        <v>0.05</v>
      </c>
      <c r="I1043" t="s">
        <v>699</v>
      </c>
      <c r="J1043">
        <v>4</v>
      </c>
      <c r="K1043">
        <v>4</v>
      </c>
      <c r="L1043" t="str">
        <f>VLOOKUP(D1043,Products!A:E,2,FALSE)</f>
        <v>Mouse</v>
      </c>
      <c r="M1043" t="str">
        <f>VLOOKUP(D1043,Products!A:E,3,FALSE)</f>
        <v>Technology</v>
      </c>
      <c r="N1043">
        <f>VLOOKUP(D1043,Products!A:E,4,FALSE)</f>
        <v>42</v>
      </c>
      <c r="O1043" s="13">
        <f>VLOOKUP(D1043,Products!A:E,5,FALSE)</f>
        <v>19</v>
      </c>
      <c r="P1043" s="13" t="str">
        <f>VLOOKUP(C1043,Customers!A:C,3,FALSE)</f>
        <v>Small Business</v>
      </c>
      <c r="Q1043" s="13">
        <f t="shared" si="64"/>
        <v>39.9</v>
      </c>
      <c r="R1043" s="13">
        <f t="shared" si="65"/>
        <v>19</v>
      </c>
      <c r="S1043" s="13">
        <f t="shared" si="66"/>
        <v>20.9</v>
      </c>
      <c r="T1043" s="14">
        <f t="shared" si="67"/>
        <v>0.52380952380952384</v>
      </c>
    </row>
    <row r="1044" spans="1:20">
      <c r="A1044" t="s">
        <v>1748</v>
      </c>
      <c r="B1044" s="8">
        <v>45950</v>
      </c>
      <c r="C1044" t="s">
        <v>417</v>
      </c>
      <c r="D1044" t="s">
        <v>72</v>
      </c>
      <c r="E1044" t="s">
        <v>708</v>
      </c>
      <c r="F1044" t="s">
        <v>702</v>
      </c>
      <c r="G1044">
        <v>1</v>
      </c>
      <c r="H1044" s="9">
        <v>0.1</v>
      </c>
      <c r="I1044" t="s">
        <v>699</v>
      </c>
      <c r="J1044">
        <v>5</v>
      </c>
      <c r="K1044">
        <v>2</v>
      </c>
      <c r="L1044" t="str">
        <f>VLOOKUP(D1044,Products!A:E,2,FALSE)</f>
        <v>Phone Charger</v>
      </c>
      <c r="M1044" t="str">
        <f>VLOOKUP(D1044,Products!A:E,3,FALSE)</f>
        <v>Accessories</v>
      </c>
      <c r="N1044">
        <f>VLOOKUP(D1044,Products!A:E,4,FALSE)</f>
        <v>32</v>
      </c>
      <c r="O1044" s="13">
        <f>VLOOKUP(D1044,Products!A:E,5,FALSE)</f>
        <v>13</v>
      </c>
      <c r="P1044" s="13" t="str">
        <f>VLOOKUP(C1044,Customers!A:C,3,FALSE)</f>
        <v>Consumer</v>
      </c>
      <c r="Q1044" s="13">
        <f t="shared" si="64"/>
        <v>28.8</v>
      </c>
      <c r="R1044" s="13">
        <f t="shared" si="65"/>
        <v>13</v>
      </c>
      <c r="S1044" s="13">
        <f t="shared" si="66"/>
        <v>15.8</v>
      </c>
      <c r="T1044" s="14">
        <f t="shared" si="67"/>
        <v>0.54861111111111116</v>
      </c>
    </row>
    <row r="1045" spans="1:20">
      <c r="A1045" t="s">
        <v>1749</v>
      </c>
      <c r="B1045" s="8">
        <v>46098</v>
      </c>
      <c r="C1045" t="s">
        <v>617</v>
      </c>
      <c r="D1045" t="s">
        <v>63</v>
      </c>
      <c r="E1045" t="s">
        <v>715</v>
      </c>
      <c r="F1045" t="s">
        <v>698</v>
      </c>
      <c r="G1045">
        <v>1</v>
      </c>
      <c r="H1045" s="9">
        <v>0</v>
      </c>
      <c r="I1045" t="s">
        <v>699</v>
      </c>
      <c r="J1045">
        <v>4</v>
      </c>
      <c r="K1045">
        <v>4</v>
      </c>
      <c r="L1045" t="str">
        <f>VLOOKUP(D1045,Products!A:E,2,FALSE)</f>
        <v>Bookshelf</v>
      </c>
      <c r="M1045" t="str">
        <f>VLOOKUP(D1045,Products!A:E,3,FALSE)</f>
        <v>Furniture</v>
      </c>
      <c r="N1045">
        <f>VLOOKUP(D1045,Products!A:E,4,FALSE)</f>
        <v>185</v>
      </c>
      <c r="O1045" s="13">
        <f>VLOOKUP(D1045,Products!A:E,5,FALSE)</f>
        <v>105</v>
      </c>
      <c r="P1045" s="13" t="str">
        <f>VLOOKUP(C1045,Customers!A:C,3,FALSE)</f>
        <v>Corporate</v>
      </c>
      <c r="Q1045" s="13">
        <f t="shared" si="64"/>
        <v>185</v>
      </c>
      <c r="R1045" s="13">
        <f t="shared" si="65"/>
        <v>105</v>
      </c>
      <c r="S1045" s="13">
        <f t="shared" si="66"/>
        <v>80</v>
      </c>
      <c r="T1045" s="14">
        <f t="shared" si="67"/>
        <v>0.43243243243243246</v>
      </c>
    </row>
    <row r="1046" spans="1:20">
      <c r="A1046" t="s">
        <v>1750</v>
      </c>
      <c r="B1046" s="8">
        <v>45887</v>
      </c>
      <c r="C1046" t="s">
        <v>259</v>
      </c>
      <c r="D1046" t="s">
        <v>65</v>
      </c>
      <c r="E1046" t="s">
        <v>697</v>
      </c>
      <c r="F1046" t="s">
        <v>702</v>
      </c>
      <c r="G1046">
        <v>3</v>
      </c>
      <c r="H1046" s="9">
        <v>0</v>
      </c>
      <c r="I1046" t="s">
        <v>699</v>
      </c>
      <c r="J1046">
        <v>4</v>
      </c>
      <c r="K1046">
        <v>1</v>
      </c>
      <c r="L1046" t="str">
        <f>VLOOKUP(D1046,Products!A:E,2,FALSE)</f>
        <v>Laptop Stand</v>
      </c>
      <c r="M1046" t="str">
        <f>VLOOKUP(D1046,Products!A:E,3,FALSE)</f>
        <v>Accessories</v>
      </c>
      <c r="N1046">
        <f>VLOOKUP(D1046,Products!A:E,4,FALSE)</f>
        <v>48</v>
      </c>
      <c r="O1046" s="13">
        <f>VLOOKUP(D1046,Products!A:E,5,FALSE)</f>
        <v>22</v>
      </c>
      <c r="P1046" s="13" t="str">
        <f>VLOOKUP(C1046,Customers!A:C,3,FALSE)</f>
        <v>Small Business</v>
      </c>
      <c r="Q1046" s="13">
        <f t="shared" si="64"/>
        <v>144</v>
      </c>
      <c r="R1046" s="13">
        <f t="shared" si="65"/>
        <v>66</v>
      </c>
      <c r="S1046" s="13">
        <f t="shared" si="66"/>
        <v>78</v>
      </c>
      <c r="T1046" s="14">
        <f t="shared" si="67"/>
        <v>0.54166666666666663</v>
      </c>
    </row>
    <row r="1047" spans="1:20">
      <c r="A1047" t="s">
        <v>1751</v>
      </c>
      <c r="B1047" s="8">
        <v>45869</v>
      </c>
      <c r="C1047" t="s">
        <v>651</v>
      </c>
      <c r="D1047" t="s">
        <v>56</v>
      </c>
      <c r="E1047" t="s">
        <v>705</v>
      </c>
      <c r="F1047" t="s">
        <v>706</v>
      </c>
      <c r="G1047">
        <v>7</v>
      </c>
      <c r="H1047" s="9">
        <v>0.05</v>
      </c>
      <c r="I1047" t="s">
        <v>699</v>
      </c>
      <c r="J1047">
        <v>1</v>
      </c>
      <c r="K1047">
        <v>4</v>
      </c>
      <c r="L1047" t="str">
        <f>VLOOKUP(D1047,Products!A:E,2,FALSE)</f>
        <v>Headset</v>
      </c>
      <c r="M1047" t="str">
        <f>VLOOKUP(D1047,Products!A:E,3,FALSE)</f>
        <v>Technology</v>
      </c>
      <c r="N1047">
        <f>VLOOKUP(D1047,Products!A:E,4,FALSE)</f>
        <v>98</v>
      </c>
      <c r="O1047" s="13">
        <f>VLOOKUP(D1047,Products!A:E,5,FALSE)</f>
        <v>46</v>
      </c>
      <c r="P1047" s="13" t="str">
        <f>VLOOKUP(C1047,Customers!A:C,3,FALSE)</f>
        <v>Corporate</v>
      </c>
      <c r="Q1047" s="13">
        <f t="shared" si="64"/>
        <v>651.69999999999993</v>
      </c>
      <c r="R1047" s="13">
        <f t="shared" si="65"/>
        <v>322</v>
      </c>
      <c r="S1047" s="13">
        <f t="shared" si="66"/>
        <v>329.69999999999993</v>
      </c>
      <c r="T1047" s="14">
        <f t="shared" si="67"/>
        <v>0.50590762620837804</v>
      </c>
    </row>
    <row r="1048" spans="1:20">
      <c r="A1048" t="s">
        <v>1752</v>
      </c>
      <c r="B1048" s="8">
        <v>45866</v>
      </c>
      <c r="C1048" t="s">
        <v>375</v>
      </c>
      <c r="D1048" t="s">
        <v>74</v>
      </c>
      <c r="E1048" t="s">
        <v>701</v>
      </c>
      <c r="F1048" t="s">
        <v>698</v>
      </c>
      <c r="G1048">
        <v>5</v>
      </c>
      <c r="H1048" s="9">
        <v>0</v>
      </c>
      <c r="I1048" t="s">
        <v>699</v>
      </c>
      <c r="J1048">
        <v>5</v>
      </c>
      <c r="K1048">
        <v>1</v>
      </c>
      <c r="L1048" t="str">
        <f>VLOOKUP(D1048,Products!A:E,2,FALSE)</f>
        <v>Printer Paper</v>
      </c>
      <c r="M1048" t="str">
        <f>VLOOKUP(D1048,Products!A:E,3,FALSE)</f>
        <v>Office Supplies</v>
      </c>
      <c r="N1048">
        <f>VLOOKUP(D1048,Products!A:E,4,FALSE)</f>
        <v>17</v>
      </c>
      <c r="O1048" s="13">
        <f>VLOOKUP(D1048,Products!A:E,5,FALSE)</f>
        <v>8</v>
      </c>
      <c r="P1048" s="13" t="str">
        <f>VLOOKUP(C1048,Customers!A:C,3,FALSE)</f>
        <v>Consumer</v>
      </c>
      <c r="Q1048" s="13">
        <f t="shared" si="64"/>
        <v>85</v>
      </c>
      <c r="R1048" s="13">
        <f t="shared" si="65"/>
        <v>40</v>
      </c>
      <c r="S1048" s="13">
        <f t="shared" si="66"/>
        <v>45</v>
      </c>
      <c r="T1048" s="14">
        <f t="shared" si="67"/>
        <v>0.52941176470588236</v>
      </c>
    </row>
    <row r="1049" spans="1:20">
      <c r="A1049" t="s">
        <v>1753</v>
      </c>
      <c r="B1049" s="8">
        <v>46113</v>
      </c>
      <c r="C1049" t="s">
        <v>529</v>
      </c>
      <c r="D1049" t="s">
        <v>79</v>
      </c>
      <c r="E1049" t="s">
        <v>708</v>
      </c>
      <c r="F1049" t="s">
        <v>706</v>
      </c>
      <c r="G1049">
        <v>8</v>
      </c>
      <c r="H1049" s="9">
        <v>0.1</v>
      </c>
      <c r="I1049" t="s">
        <v>699</v>
      </c>
      <c r="J1049">
        <v>4</v>
      </c>
      <c r="K1049">
        <v>1</v>
      </c>
      <c r="L1049" t="str">
        <f>VLOOKUP(D1049,Products!A:E,2,FALSE)</f>
        <v>Desk Organiser</v>
      </c>
      <c r="M1049" t="str">
        <f>VLOOKUP(D1049,Products!A:E,3,FALSE)</f>
        <v>Office Supplies</v>
      </c>
      <c r="N1049">
        <f>VLOOKUP(D1049,Products!A:E,4,FALSE)</f>
        <v>28</v>
      </c>
      <c r="O1049" s="13">
        <f>VLOOKUP(D1049,Products!A:E,5,FALSE)</f>
        <v>12</v>
      </c>
      <c r="P1049" s="13" t="str">
        <f>VLOOKUP(C1049,Customers!A:C,3,FALSE)</f>
        <v>Corporate</v>
      </c>
      <c r="Q1049" s="13">
        <f t="shared" si="64"/>
        <v>201.6</v>
      </c>
      <c r="R1049" s="13">
        <f t="shared" si="65"/>
        <v>96</v>
      </c>
      <c r="S1049" s="13">
        <f t="shared" si="66"/>
        <v>105.6</v>
      </c>
      <c r="T1049" s="14">
        <f t="shared" si="67"/>
        <v>0.52380952380952384</v>
      </c>
    </row>
    <row r="1050" spans="1:20">
      <c r="A1050" t="s">
        <v>1754</v>
      </c>
      <c r="B1050" s="8">
        <v>45885</v>
      </c>
      <c r="C1050" t="s">
        <v>163</v>
      </c>
      <c r="D1050" t="s">
        <v>68</v>
      </c>
      <c r="E1050" t="s">
        <v>705</v>
      </c>
      <c r="F1050" t="s">
        <v>702</v>
      </c>
      <c r="G1050">
        <v>2</v>
      </c>
      <c r="H1050" s="9">
        <v>0.1</v>
      </c>
      <c r="I1050" t="s">
        <v>699</v>
      </c>
      <c r="J1050">
        <v>2</v>
      </c>
      <c r="K1050">
        <v>4</v>
      </c>
      <c r="L1050" t="str">
        <f>VLOOKUP(D1050,Products!A:E,2,FALSE)</f>
        <v>Backpack</v>
      </c>
      <c r="M1050" t="str">
        <f>VLOOKUP(D1050,Products!A:E,3,FALSE)</f>
        <v>Accessories</v>
      </c>
      <c r="N1050">
        <f>VLOOKUP(D1050,Products!A:E,4,FALSE)</f>
        <v>85</v>
      </c>
      <c r="O1050" s="13">
        <f>VLOOKUP(D1050,Products!A:E,5,FALSE)</f>
        <v>39</v>
      </c>
      <c r="P1050" s="13" t="str">
        <f>VLOOKUP(C1050,Customers!A:C,3,FALSE)</f>
        <v>Small Business</v>
      </c>
      <c r="Q1050" s="13">
        <f t="shared" si="64"/>
        <v>153</v>
      </c>
      <c r="R1050" s="13">
        <f t="shared" si="65"/>
        <v>78</v>
      </c>
      <c r="S1050" s="13">
        <f t="shared" si="66"/>
        <v>75</v>
      </c>
      <c r="T1050" s="14">
        <f t="shared" si="67"/>
        <v>0.49019607843137253</v>
      </c>
    </row>
    <row r="1051" spans="1:20">
      <c r="A1051" t="s">
        <v>1755</v>
      </c>
      <c r="B1051" s="8">
        <v>46101</v>
      </c>
      <c r="C1051" t="s">
        <v>189</v>
      </c>
      <c r="D1051" t="s">
        <v>68</v>
      </c>
      <c r="E1051" t="s">
        <v>705</v>
      </c>
      <c r="F1051" t="s">
        <v>698</v>
      </c>
      <c r="G1051">
        <v>5</v>
      </c>
      <c r="H1051" s="9">
        <v>0.05</v>
      </c>
      <c r="I1051" t="s">
        <v>703</v>
      </c>
      <c r="J1051">
        <v>5</v>
      </c>
      <c r="K1051">
        <v>4</v>
      </c>
      <c r="L1051" t="str">
        <f>VLOOKUP(D1051,Products!A:E,2,FALSE)</f>
        <v>Backpack</v>
      </c>
      <c r="M1051" t="str">
        <f>VLOOKUP(D1051,Products!A:E,3,FALSE)</f>
        <v>Accessories</v>
      </c>
      <c r="N1051">
        <f>VLOOKUP(D1051,Products!A:E,4,FALSE)</f>
        <v>85</v>
      </c>
      <c r="O1051" s="13">
        <f>VLOOKUP(D1051,Products!A:E,5,FALSE)</f>
        <v>39</v>
      </c>
      <c r="P1051" s="13" t="str">
        <f>VLOOKUP(C1051,Customers!A:C,3,FALSE)</f>
        <v>Consumer</v>
      </c>
      <c r="Q1051" s="13">
        <f t="shared" si="64"/>
        <v>403.75</v>
      </c>
      <c r="R1051" s="13">
        <f t="shared" si="65"/>
        <v>195</v>
      </c>
      <c r="S1051" s="13">
        <f t="shared" si="66"/>
        <v>208.75</v>
      </c>
      <c r="T1051" s="14">
        <f t="shared" si="67"/>
        <v>0.51702786377708976</v>
      </c>
    </row>
    <row r="1052" spans="1:20">
      <c r="A1052" t="s">
        <v>1756</v>
      </c>
      <c r="B1052" s="8">
        <v>46258</v>
      </c>
      <c r="C1052" t="s">
        <v>471</v>
      </c>
      <c r="D1052" t="s">
        <v>61</v>
      </c>
      <c r="E1052" t="s">
        <v>701</v>
      </c>
      <c r="F1052" t="s">
        <v>702</v>
      </c>
      <c r="G1052">
        <v>1</v>
      </c>
      <c r="H1052" s="9">
        <v>0.1</v>
      </c>
      <c r="I1052" t="s">
        <v>699</v>
      </c>
      <c r="J1052">
        <v>4</v>
      </c>
      <c r="K1052">
        <v>2</v>
      </c>
      <c r="L1052" t="str">
        <f>VLOOKUP(D1052,Products!A:E,2,FALSE)</f>
        <v>Office Chair</v>
      </c>
      <c r="M1052" t="str">
        <f>VLOOKUP(D1052,Products!A:E,3,FALSE)</f>
        <v>Furniture</v>
      </c>
      <c r="N1052">
        <f>VLOOKUP(D1052,Products!A:E,4,FALSE)</f>
        <v>255</v>
      </c>
      <c r="O1052" s="13">
        <f>VLOOKUP(D1052,Products!A:E,5,FALSE)</f>
        <v>145</v>
      </c>
      <c r="P1052" s="13" t="str">
        <f>VLOOKUP(C1052,Customers!A:C,3,FALSE)</f>
        <v>Consumer</v>
      </c>
      <c r="Q1052" s="13">
        <f t="shared" si="64"/>
        <v>229.5</v>
      </c>
      <c r="R1052" s="13">
        <f t="shared" si="65"/>
        <v>145</v>
      </c>
      <c r="S1052" s="13">
        <f t="shared" si="66"/>
        <v>84.5</v>
      </c>
      <c r="T1052" s="14">
        <f t="shared" si="67"/>
        <v>0.36819172113289761</v>
      </c>
    </row>
    <row r="1053" spans="1:20">
      <c r="A1053" t="s">
        <v>1757</v>
      </c>
      <c r="B1053" s="8">
        <v>45748</v>
      </c>
      <c r="C1053" t="s">
        <v>615</v>
      </c>
      <c r="D1053" t="s">
        <v>58</v>
      </c>
      <c r="E1053" t="s">
        <v>705</v>
      </c>
      <c r="F1053" t="s">
        <v>702</v>
      </c>
      <c r="G1053">
        <v>3</v>
      </c>
      <c r="H1053" s="9">
        <v>0</v>
      </c>
      <c r="I1053" t="s">
        <v>699</v>
      </c>
      <c r="J1053">
        <v>4</v>
      </c>
      <c r="K1053">
        <v>3</v>
      </c>
      <c r="L1053" t="str">
        <f>VLOOKUP(D1053,Products!A:E,2,FALSE)</f>
        <v>Standing Desk</v>
      </c>
      <c r="M1053" t="str">
        <f>VLOOKUP(D1053,Products!A:E,3,FALSE)</f>
        <v>Furniture</v>
      </c>
      <c r="N1053">
        <f>VLOOKUP(D1053,Products!A:E,4,FALSE)</f>
        <v>540</v>
      </c>
      <c r="O1053" s="13">
        <f>VLOOKUP(D1053,Products!A:E,5,FALSE)</f>
        <v>320</v>
      </c>
      <c r="P1053" s="13" t="str">
        <f>VLOOKUP(C1053,Customers!A:C,3,FALSE)</f>
        <v>Small Business</v>
      </c>
      <c r="Q1053" s="13">
        <f t="shared" si="64"/>
        <v>1620</v>
      </c>
      <c r="R1053" s="13">
        <f t="shared" si="65"/>
        <v>960</v>
      </c>
      <c r="S1053" s="13">
        <f t="shared" si="66"/>
        <v>660</v>
      </c>
      <c r="T1053" s="14">
        <f t="shared" si="67"/>
        <v>0.40740740740740738</v>
      </c>
    </row>
    <row r="1054" spans="1:20">
      <c r="A1054" t="s">
        <v>1758</v>
      </c>
      <c r="B1054" s="8">
        <v>46047</v>
      </c>
      <c r="C1054" t="s">
        <v>683</v>
      </c>
      <c r="D1054" t="s">
        <v>61</v>
      </c>
      <c r="E1054" t="s">
        <v>701</v>
      </c>
      <c r="F1054" t="s">
        <v>698</v>
      </c>
      <c r="G1054">
        <v>3</v>
      </c>
      <c r="H1054" s="9">
        <v>0</v>
      </c>
      <c r="I1054" t="s">
        <v>699</v>
      </c>
      <c r="J1054">
        <v>3</v>
      </c>
      <c r="K1054">
        <v>3</v>
      </c>
      <c r="L1054" t="str">
        <f>VLOOKUP(D1054,Products!A:E,2,FALSE)</f>
        <v>Office Chair</v>
      </c>
      <c r="M1054" t="str">
        <f>VLOOKUP(D1054,Products!A:E,3,FALSE)</f>
        <v>Furniture</v>
      </c>
      <c r="N1054">
        <f>VLOOKUP(D1054,Products!A:E,4,FALSE)</f>
        <v>255</v>
      </c>
      <c r="O1054" s="13">
        <f>VLOOKUP(D1054,Products!A:E,5,FALSE)</f>
        <v>145</v>
      </c>
      <c r="P1054" s="13" t="str">
        <f>VLOOKUP(C1054,Customers!A:C,3,FALSE)</f>
        <v>Consumer</v>
      </c>
      <c r="Q1054" s="13">
        <f t="shared" si="64"/>
        <v>765</v>
      </c>
      <c r="R1054" s="13">
        <f t="shared" si="65"/>
        <v>435</v>
      </c>
      <c r="S1054" s="13">
        <f t="shared" si="66"/>
        <v>330</v>
      </c>
      <c r="T1054" s="14">
        <f t="shared" si="67"/>
        <v>0.43137254901960786</v>
      </c>
    </row>
    <row r="1055" spans="1:20">
      <c r="A1055" t="s">
        <v>1759</v>
      </c>
      <c r="B1055" s="8">
        <v>46154</v>
      </c>
      <c r="C1055" t="s">
        <v>587</v>
      </c>
      <c r="D1055" t="s">
        <v>72</v>
      </c>
      <c r="E1055" t="s">
        <v>715</v>
      </c>
      <c r="F1055" t="s">
        <v>698</v>
      </c>
      <c r="G1055">
        <v>1</v>
      </c>
      <c r="H1055" s="9">
        <v>0</v>
      </c>
      <c r="I1055" t="s">
        <v>703</v>
      </c>
      <c r="J1055">
        <v>5</v>
      </c>
      <c r="K1055">
        <v>7</v>
      </c>
      <c r="L1055" t="str">
        <f>VLOOKUP(D1055,Products!A:E,2,FALSE)</f>
        <v>Phone Charger</v>
      </c>
      <c r="M1055" t="str">
        <f>VLOOKUP(D1055,Products!A:E,3,FALSE)</f>
        <v>Accessories</v>
      </c>
      <c r="N1055">
        <f>VLOOKUP(D1055,Products!A:E,4,FALSE)</f>
        <v>32</v>
      </c>
      <c r="O1055" s="13">
        <f>VLOOKUP(D1055,Products!A:E,5,FALSE)</f>
        <v>13</v>
      </c>
      <c r="P1055" s="13" t="str">
        <f>VLOOKUP(C1055,Customers!A:C,3,FALSE)</f>
        <v>Consumer</v>
      </c>
      <c r="Q1055" s="13">
        <f t="shared" si="64"/>
        <v>32</v>
      </c>
      <c r="R1055" s="13">
        <f t="shared" si="65"/>
        <v>13</v>
      </c>
      <c r="S1055" s="13">
        <f t="shared" si="66"/>
        <v>19</v>
      </c>
      <c r="T1055" s="14">
        <f t="shared" si="67"/>
        <v>0.59375</v>
      </c>
    </row>
    <row r="1056" spans="1:20">
      <c r="A1056" t="s">
        <v>1760</v>
      </c>
      <c r="B1056" s="8">
        <v>46115</v>
      </c>
      <c r="C1056" t="s">
        <v>419</v>
      </c>
      <c r="D1056" t="s">
        <v>61</v>
      </c>
      <c r="E1056" t="s">
        <v>701</v>
      </c>
      <c r="F1056" t="s">
        <v>702</v>
      </c>
      <c r="G1056">
        <v>2</v>
      </c>
      <c r="H1056" s="9">
        <v>0</v>
      </c>
      <c r="I1056" t="s">
        <v>699</v>
      </c>
      <c r="J1056">
        <v>5</v>
      </c>
      <c r="K1056">
        <v>2</v>
      </c>
      <c r="L1056" t="str">
        <f>VLOOKUP(D1056,Products!A:E,2,FALSE)</f>
        <v>Office Chair</v>
      </c>
      <c r="M1056" t="str">
        <f>VLOOKUP(D1056,Products!A:E,3,FALSE)</f>
        <v>Furniture</v>
      </c>
      <c r="N1056">
        <f>VLOOKUP(D1056,Products!A:E,4,FALSE)</f>
        <v>255</v>
      </c>
      <c r="O1056" s="13">
        <f>VLOOKUP(D1056,Products!A:E,5,FALSE)</f>
        <v>145</v>
      </c>
      <c r="P1056" s="13" t="str">
        <f>VLOOKUP(C1056,Customers!A:C,3,FALSE)</f>
        <v>Consumer</v>
      </c>
      <c r="Q1056" s="13">
        <f t="shared" si="64"/>
        <v>510</v>
      </c>
      <c r="R1056" s="13">
        <f t="shared" si="65"/>
        <v>290</v>
      </c>
      <c r="S1056" s="13">
        <f t="shared" si="66"/>
        <v>220</v>
      </c>
      <c r="T1056" s="14">
        <f t="shared" si="67"/>
        <v>0.43137254901960786</v>
      </c>
    </row>
    <row r="1057" spans="1:20">
      <c r="A1057" t="s">
        <v>1761</v>
      </c>
      <c r="B1057" s="8">
        <v>46153</v>
      </c>
      <c r="C1057" t="s">
        <v>587</v>
      </c>
      <c r="D1057" t="s">
        <v>74</v>
      </c>
      <c r="E1057" t="s">
        <v>701</v>
      </c>
      <c r="F1057" t="s">
        <v>702</v>
      </c>
      <c r="G1057">
        <v>1</v>
      </c>
      <c r="H1057" s="9">
        <v>0</v>
      </c>
      <c r="I1057" t="s">
        <v>699</v>
      </c>
      <c r="J1057">
        <v>4</v>
      </c>
      <c r="K1057">
        <v>5</v>
      </c>
      <c r="L1057" t="str">
        <f>VLOOKUP(D1057,Products!A:E,2,FALSE)</f>
        <v>Printer Paper</v>
      </c>
      <c r="M1057" t="str">
        <f>VLOOKUP(D1057,Products!A:E,3,FALSE)</f>
        <v>Office Supplies</v>
      </c>
      <c r="N1057">
        <f>VLOOKUP(D1057,Products!A:E,4,FALSE)</f>
        <v>17</v>
      </c>
      <c r="O1057" s="13">
        <f>VLOOKUP(D1057,Products!A:E,5,FALSE)</f>
        <v>8</v>
      </c>
      <c r="P1057" s="13" t="str">
        <f>VLOOKUP(C1057,Customers!A:C,3,FALSE)</f>
        <v>Consumer</v>
      </c>
      <c r="Q1057" s="13">
        <f t="shared" si="64"/>
        <v>17</v>
      </c>
      <c r="R1057" s="13">
        <f t="shared" si="65"/>
        <v>8</v>
      </c>
      <c r="S1057" s="13">
        <f t="shared" si="66"/>
        <v>9</v>
      </c>
      <c r="T1057" s="14">
        <f t="shared" si="67"/>
        <v>0.52941176470588236</v>
      </c>
    </row>
    <row r="1058" spans="1:20">
      <c r="A1058" t="s">
        <v>1762</v>
      </c>
      <c r="B1058" s="8">
        <v>45988</v>
      </c>
      <c r="C1058" t="s">
        <v>353</v>
      </c>
      <c r="D1058" t="s">
        <v>68</v>
      </c>
      <c r="E1058" t="s">
        <v>708</v>
      </c>
      <c r="F1058" t="s">
        <v>698</v>
      </c>
      <c r="G1058">
        <v>2</v>
      </c>
      <c r="H1058" s="9">
        <v>0</v>
      </c>
      <c r="I1058" t="s">
        <v>699</v>
      </c>
      <c r="J1058">
        <v>4</v>
      </c>
      <c r="K1058">
        <v>2</v>
      </c>
      <c r="L1058" t="str">
        <f>VLOOKUP(D1058,Products!A:E,2,FALSE)</f>
        <v>Backpack</v>
      </c>
      <c r="M1058" t="str">
        <f>VLOOKUP(D1058,Products!A:E,3,FALSE)</f>
        <v>Accessories</v>
      </c>
      <c r="N1058">
        <f>VLOOKUP(D1058,Products!A:E,4,FALSE)</f>
        <v>85</v>
      </c>
      <c r="O1058" s="13">
        <f>VLOOKUP(D1058,Products!A:E,5,FALSE)</f>
        <v>39</v>
      </c>
      <c r="P1058" s="13" t="str">
        <f>VLOOKUP(C1058,Customers!A:C,3,FALSE)</f>
        <v>Small Business</v>
      </c>
      <c r="Q1058" s="13">
        <f t="shared" si="64"/>
        <v>170</v>
      </c>
      <c r="R1058" s="13">
        <f t="shared" si="65"/>
        <v>78</v>
      </c>
      <c r="S1058" s="13">
        <f t="shared" si="66"/>
        <v>92</v>
      </c>
      <c r="T1058" s="14">
        <f t="shared" si="67"/>
        <v>0.54117647058823526</v>
      </c>
    </row>
    <row r="1059" spans="1:20">
      <c r="A1059" t="s">
        <v>1763</v>
      </c>
      <c r="B1059" s="8">
        <v>46005</v>
      </c>
      <c r="C1059" t="s">
        <v>133</v>
      </c>
      <c r="D1059" t="s">
        <v>65</v>
      </c>
      <c r="E1059" t="s">
        <v>715</v>
      </c>
      <c r="F1059" t="s">
        <v>702</v>
      </c>
      <c r="G1059">
        <v>5</v>
      </c>
      <c r="H1059" s="9">
        <v>0.05</v>
      </c>
      <c r="I1059" t="s">
        <v>699</v>
      </c>
      <c r="J1059">
        <v>3</v>
      </c>
      <c r="K1059">
        <v>5</v>
      </c>
      <c r="L1059" t="str">
        <f>VLOOKUP(D1059,Products!A:E,2,FALSE)</f>
        <v>Laptop Stand</v>
      </c>
      <c r="M1059" t="str">
        <f>VLOOKUP(D1059,Products!A:E,3,FALSE)</f>
        <v>Accessories</v>
      </c>
      <c r="N1059">
        <f>VLOOKUP(D1059,Products!A:E,4,FALSE)</f>
        <v>48</v>
      </c>
      <c r="O1059" s="13">
        <f>VLOOKUP(D1059,Products!A:E,5,FALSE)</f>
        <v>22</v>
      </c>
      <c r="P1059" s="13" t="str">
        <f>VLOOKUP(C1059,Customers!A:C,3,FALSE)</f>
        <v>Consumer</v>
      </c>
      <c r="Q1059" s="13">
        <f t="shared" si="64"/>
        <v>228</v>
      </c>
      <c r="R1059" s="13">
        <f t="shared" si="65"/>
        <v>110</v>
      </c>
      <c r="S1059" s="13">
        <f t="shared" si="66"/>
        <v>118</v>
      </c>
      <c r="T1059" s="14">
        <f t="shared" si="67"/>
        <v>0.51754385964912286</v>
      </c>
    </row>
    <row r="1060" spans="1:20">
      <c r="A1060" t="s">
        <v>1764</v>
      </c>
      <c r="B1060" s="8">
        <v>45995</v>
      </c>
      <c r="C1060" t="s">
        <v>219</v>
      </c>
      <c r="D1060" t="s">
        <v>45</v>
      </c>
      <c r="E1060" t="s">
        <v>697</v>
      </c>
      <c r="F1060" t="s">
        <v>702</v>
      </c>
      <c r="G1060">
        <v>2</v>
      </c>
      <c r="H1060" s="9">
        <v>0.1</v>
      </c>
      <c r="I1060" t="s">
        <v>699</v>
      </c>
      <c r="J1060">
        <v>4</v>
      </c>
      <c r="K1060">
        <v>5</v>
      </c>
      <c r="L1060" t="str">
        <f>VLOOKUP(D1060,Products!A:E,2,FALSE)</f>
        <v>Laptop</v>
      </c>
      <c r="M1060" t="str">
        <f>VLOOKUP(D1060,Products!A:E,3,FALSE)</f>
        <v>Technology</v>
      </c>
      <c r="N1060">
        <f>VLOOKUP(D1060,Products!A:E,4,FALSE)</f>
        <v>1100</v>
      </c>
      <c r="O1060" s="13">
        <f>VLOOKUP(D1060,Products!A:E,5,FALSE)</f>
        <v>720</v>
      </c>
      <c r="P1060" s="13" t="str">
        <f>VLOOKUP(C1060,Customers!A:C,3,FALSE)</f>
        <v>Consumer</v>
      </c>
      <c r="Q1060" s="13">
        <f t="shared" si="64"/>
        <v>1980</v>
      </c>
      <c r="R1060" s="13">
        <f t="shared" si="65"/>
        <v>1440</v>
      </c>
      <c r="S1060" s="13">
        <f t="shared" si="66"/>
        <v>540</v>
      </c>
      <c r="T1060" s="14">
        <f t="shared" si="67"/>
        <v>0.27272727272727271</v>
      </c>
    </row>
    <row r="1061" spans="1:20">
      <c r="A1061" t="s">
        <v>1765</v>
      </c>
      <c r="B1061" s="8">
        <v>45722</v>
      </c>
      <c r="C1061" t="s">
        <v>137</v>
      </c>
      <c r="D1061" t="s">
        <v>58</v>
      </c>
      <c r="E1061" t="s">
        <v>708</v>
      </c>
      <c r="F1061" t="s">
        <v>702</v>
      </c>
      <c r="G1061">
        <v>1</v>
      </c>
      <c r="H1061" s="9">
        <v>0.05</v>
      </c>
      <c r="I1061" t="s">
        <v>699</v>
      </c>
      <c r="J1061">
        <v>3</v>
      </c>
      <c r="K1061">
        <v>2</v>
      </c>
      <c r="L1061" t="str">
        <f>VLOOKUP(D1061,Products!A:E,2,FALSE)</f>
        <v>Standing Desk</v>
      </c>
      <c r="M1061" t="str">
        <f>VLOOKUP(D1061,Products!A:E,3,FALSE)</f>
        <v>Furniture</v>
      </c>
      <c r="N1061">
        <f>VLOOKUP(D1061,Products!A:E,4,FALSE)</f>
        <v>540</v>
      </c>
      <c r="O1061" s="13">
        <f>VLOOKUP(D1061,Products!A:E,5,FALSE)</f>
        <v>320</v>
      </c>
      <c r="P1061" s="13" t="str">
        <f>VLOOKUP(C1061,Customers!A:C,3,FALSE)</f>
        <v>Consumer</v>
      </c>
      <c r="Q1061" s="13">
        <f t="shared" si="64"/>
        <v>513</v>
      </c>
      <c r="R1061" s="13">
        <f t="shared" si="65"/>
        <v>320</v>
      </c>
      <c r="S1061" s="13">
        <f t="shared" si="66"/>
        <v>193</v>
      </c>
      <c r="T1061" s="14">
        <f t="shared" si="67"/>
        <v>0.37621832358674462</v>
      </c>
    </row>
    <row r="1062" spans="1:20">
      <c r="A1062" t="s">
        <v>1766</v>
      </c>
      <c r="B1062" s="8">
        <v>46040</v>
      </c>
      <c r="C1062" t="s">
        <v>425</v>
      </c>
      <c r="D1062" t="s">
        <v>74</v>
      </c>
      <c r="E1062" t="s">
        <v>705</v>
      </c>
      <c r="F1062" t="s">
        <v>698</v>
      </c>
      <c r="G1062">
        <v>7</v>
      </c>
      <c r="H1062" s="9">
        <v>0</v>
      </c>
      <c r="I1062" t="s">
        <v>699</v>
      </c>
      <c r="J1062">
        <v>5</v>
      </c>
      <c r="K1062">
        <v>1</v>
      </c>
      <c r="L1062" t="str">
        <f>VLOOKUP(D1062,Products!A:E,2,FALSE)</f>
        <v>Printer Paper</v>
      </c>
      <c r="M1062" t="str">
        <f>VLOOKUP(D1062,Products!A:E,3,FALSE)</f>
        <v>Office Supplies</v>
      </c>
      <c r="N1062">
        <f>VLOOKUP(D1062,Products!A:E,4,FALSE)</f>
        <v>17</v>
      </c>
      <c r="O1062" s="13">
        <f>VLOOKUP(D1062,Products!A:E,5,FALSE)</f>
        <v>8</v>
      </c>
      <c r="P1062" s="13" t="str">
        <f>VLOOKUP(C1062,Customers!A:C,3,FALSE)</f>
        <v>Consumer</v>
      </c>
      <c r="Q1062" s="13">
        <f t="shared" si="64"/>
        <v>119</v>
      </c>
      <c r="R1062" s="13">
        <f t="shared" si="65"/>
        <v>56</v>
      </c>
      <c r="S1062" s="13">
        <f t="shared" si="66"/>
        <v>63</v>
      </c>
      <c r="T1062" s="14">
        <f t="shared" si="67"/>
        <v>0.52941176470588236</v>
      </c>
    </row>
    <row r="1063" spans="1:20">
      <c r="A1063" t="s">
        <v>1767</v>
      </c>
      <c r="B1063" s="8">
        <v>46171</v>
      </c>
      <c r="C1063" t="s">
        <v>493</v>
      </c>
      <c r="D1063" t="s">
        <v>79</v>
      </c>
      <c r="E1063" t="s">
        <v>705</v>
      </c>
      <c r="F1063" t="s">
        <v>702</v>
      </c>
      <c r="G1063">
        <v>1</v>
      </c>
      <c r="H1063" s="9">
        <v>0.05</v>
      </c>
      <c r="I1063" t="s">
        <v>699</v>
      </c>
      <c r="J1063">
        <v>1</v>
      </c>
      <c r="K1063">
        <v>5</v>
      </c>
      <c r="L1063" t="str">
        <f>VLOOKUP(D1063,Products!A:E,2,FALSE)</f>
        <v>Desk Organiser</v>
      </c>
      <c r="M1063" t="str">
        <f>VLOOKUP(D1063,Products!A:E,3,FALSE)</f>
        <v>Office Supplies</v>
      </c>
      <c r="N1063">
        <f>VLOOKUP(D1063,Products!A:E,4,FALSE)</f>
        <v>28</v>
      </c>
      <c r="O1063" s="13">
        <f>VLOOKUP(D1063,Products!A:E,5,FALSE)</f>
        <v>12</v>
      </c>
      <c r="P1063" s="13" t="str">
        <f>VLOOKUP(C1063,Customers!A:C,3,FALSE)</f>
        <v>Consumer</v>
      </c>
      <c r="Q1063" s="13">
        <f t="shared" si="64"/>
        <v>26.599999999999998</v>
      </c>
      <c r="R1063" s="13">
        <f t="shared" si="65"/>
        <v>12</v>
      </c>
      <c r="S1063" s="13">
        <f t="shared" si="66"/>
        <v>14.599999999999998</v>
      </c>
      <c r="T1063" s="14">
        <f t="shared" si="67"/>
        <v>0.54887218045112773</v>
      </c>
    </row>
    <row r="1064" spans="1:20">
      <c r="A1064" t="s">
        <v>1768</v>
      </c>
      <c r="B1064" s="8">
        <v>46068</v>
      </c>
      <c r="C1064" t="s">
        <v>221</v>
      </c>
      <c r="D1064" t="s">
        <v>63</v>
      </c>
      <c r="E1064" t="s">
        <v>697</v>
      </c>
      <c r="F1064" t="s">
        <v>702</v>
      </c>
      <c r="G1064">
        <v>2</v>
      </c>
      <c r="H1064" s="9">
        <v>0.1</v>
      </c>
      <c r="I1064" t="s">
        <v>699</v>
      </c>
      <c r="J1064">
        <v>1</v>
      </c>
      <c r="K1064">
        <v>7</v>
      </c>
      <c r="L1064" t="str">
        <f>VLOOKUP(D1064,Products!A:E,2,FALSE)</f>
        <v>Bookshelf</v>
      </c>
      <c r="M1064" t="str">
        <f>VLOOKUP(D1064,Products!A:E,3,FALSE)</f>
        <v>Furniture</v>
      </c>
      <c r="N1064">
        <f>VLOOKUP(D1064,Products!A:E,4,FALSE)</f>
        <v>185</v>
      </c>
      <c r="O1064" s="13">
        <f>VLOOKUP(D1064,Products!A:E,5,FALSE)</f>
        <v>105</v>
      </c>
      <c r="P1064" s="13" t="str">
        <f>VLOOKUP(C1064,Customers!A:C,3,FALSE)</f>
        <v>Consumer</v>
      </c>
      <c r="Q1064" s="13">
        <f t="shared" si="64"/>
        <v>333</v>
      </c>
      <c r="R1064" s="13">
        <f t="shared" si="65"/>
        <v>210</v>
      </c>
      <c r="S1064" s="13">
        <f t="shared" si="66"/>
        <v>123</v>
      </c>
      <c r="T1064" s="14">
        <f t="shared" si="67"/>
        <v>0.36936936936936937</v>
      </c>
    </row>
    <row r="1065" spans="1:20">
      <c r="A1065" t="s">
        <v>1769</v>
      </c>
      <c r="B1065" s="8">
        <v>45755</v>
      </c>
      <c r="C1065" t="s">
        <v>487</v>
      </c>
      <c r="D1065" t="s">
        <v>58</v>
      </c>
      <c r="E1065" t="s">
        <v>697</v>
      </c>
      <c r="F1065" t="s">
        <v>706</v>
      </c>
      <c r="G1065">
        <v>4</v>
      </c>
      <c r="H1065" s="9">
        <v>0</v>
      </c>
      <c r="I1065" t="s">
        <v>699</v>
      </c>
      <c r="J1065">
        <v>4</v>
      </c>
      <c r="K1065">
        <v>4</v>
      </c>
      <c r="L1065" t="str">
        <f>VLOOKUP(D1065,Products!A:E,2,FALSE)</f>
        <v>Standing Desk</v>
      </c>
      <c r="M1065" t="str">
        <f>VLOOKUP(D1065,Products!A:E,3,FALSE)</f>
        <v>Furniture</v>
      </c>
      <c r="N1065">
        <f>VLOOKUP(D1065,Products!A:E,4,FALSE)</f>
        <v>540</v>
      </c>
      <c r="O1065" s="13">
        <f>VLOOKUP(D1065,Products!A:E,5,FALSE)</f>
        <v>320</v>
      </c>
      <c r="P1065" s="13" t="str">
        <f>VLOOKUP(C1065,Customers!A:C,3,FALSE)</f>
        <v>Small Business</v>
      </c>
      <c r="Q1065" s="13">
        <f t="shared" si="64"/>
        <v>2160</v>
      </c>
      <c r="R1065" s="13">
        <f t="shared" si="65"/>
        <v>1280</v>
      </c>
      <c r="S1065" s="13">
        <f t="shared" si="66"/>
        <v>880</v>
      </c>
      <c r="T1065" s="14">
        <f t="shared" si="67"/>
        <v>0.40740740740740738</v>
      </c>
    </row>
    <row r="1066" spans="1:20">
      <c r="A1066" t="s">
        <v>1770</v>
      </c>
      <c r="B1066" s="8">
        <v>45865</v>
      </c>
      <c r="C1066" t="s">
        <v>189</v>
      </c>
      <c r="D1066" t="s">
        <v>63</v>
      </c>
      <c r="E1066" t="s">
        <v>697</v>
      </c>
      <c r="F1066" t="s">
        <v>698</v>
      </c>
      <c r="G1066">
        <v>2</v>
      </c>
      <c r="H1066" s="9">
        <v>0</v>
      </c>
      <c r="I1066" t="s">
        <v>699</v>
      </c>
      <c r="J1066">
        <v>4</v>
      </c>
      <c r="K1066">
        <v>3</v>
      </c>
      <c r="L1066" t="str">
        <f>VLOOKUP(D1066,Products!A:E,2,FALSE)</f>
        <v>Bookshelf</v>
      </c>
      <c r="M1066" t="str">
        <f>VLOOKUP(D1066,Products!A:E,3,FALSE)</f>
        <v>Furniture</v>
      </c>
      <c r="N1066">
        <f>VLOOKUP(D1066,Products!A:E,4,FALSE)</f>
        <v>185</v>
      </c>
      <c r="O1066" s="13">
        <f>VLOOKUP(D1066,Products!A:E,5,FALSE)</f>
        <v>105</v>
      </c>
      <c r="P1066" s="13" t="str">
        <f>VLOOKUP(C1066,Customers!A:C,3,FALSE)</f>
        <v>Consumer</v>
      </c>
      <c r="Q1066" s="13">
        <f t="shared" si="64"/>
        <v>370</v>
      </c>
      <c r="R1066" s="13">
        <f t="shared" si="65"/>
        <v>210</v>
      </c>
      <c r="S1066" s="13">
        <f t="shared" si="66"/>
        <v>160</v>
      </c>
      <c r="T1066" s="14">
        <f t="shared" si="67"/>
        <v>0.43243243243243246</v>
      </c>
    </row>
    <row r="1067" spans="1:20">
      <c r="A1067" t="s">
        <v>1771</v>
      </c>
      <c r="B1067" s="8">
        <v>46152</v>
      </c>
      <c r="C1067" t="s">
        <v>377</v>
      </c>
      <c r="D1067" t="s">
        <v>61</v>
      </c>
      <c r="E1067" t="s">
        <v>708</v>
      </c>
      <c r="F1067" t="s">
        <v>706</v>
      </c>
      <c r="G1067">
        <v>4</v>
      </c>
      <c r="H1067" s="9">
        <v>0.2</v>
      </c>
      <c r="I1067" t="s">
        <v>699</v>
      </c>
      <c r="J1067">
        <v>5</v>
      </c>
      <c r="K1067">
        <v>4</v>
      </c>
      <c r="L1067" t="str">
        <f>VLOOKUP(D1067,Products!A:E,2,FALSE)</f>
        <v>Office Chair</v>
      </c>
      <c r="M1067" t="str">
        <f>VLOOKUP(D1067,Products!A:E,3,FALSE)</f>
        <v>Furniture</v>
      </c>
      <c r="N1067">
        <f>VLOOKUP(D1067,Products!A:E,4,FALSE)</f>
        <v>255</v>
      </c>
      <c r="O1067" s="13">
        <f>VLOOKUP(D1067,Products!A:E,5,FALSE)</f>
        <v>145</v>
      </c>
      <c r="P1067" s="13" t="str">
        <f>VLOOKUP(C1067,Customers!A:C,3,FALSE)</f>
        <v>Consumer</v>
      </c>
      <c r="Q1067" s="13">
        <f t="shared" si="64"/>
        <v>816</v>
      </c>
      <c r="R1067" s="13">
        <f t="shared" si="65"/>
        <v>580</v>
      </c>
      <c r="S1067" s="13">
        <f t="shared" si="66"/>
        <v>236</v>
      </c>
      <c r="T1067" s="14">
        <f t="shared" si="67"/>
        <v>0.28921568627450983</v>
      </c>
    </row>
    <row r="1068" spans="1:20">
      <c r="A1068" t="s">
        <v>1772</v>
      </c>
      <c r="B1068" s="8">
        <v>45887</v>
      </c>
      <c r="C1068" t="s">
        <v>677</v>
      </c>
      <c r="D1068" t="s">
        <v>45</v>
      </c>
      <c r="E1068" t="s">
        <v>708</v>
      </c>
      <c r="F1068" t="s">
        <v>702</v>
      </c>
      <c r="G1068">
        <v>2</v>
      </c>
      <c r="H1068" s="9">
        <v>0.05</v>
      </c>
      <c r="I1068" t="s">
        <v>699</v>
      </c>
      <c r="J1068">
        <v>4</v>
      </c>
      <c r="K1068">
        <v>1</v>
      </c>
      <c r="L1068" t="str">
        <f>VLOOKUP(D1068,Products!A:E,2,FALSE)</f>
        <v>Laptop</v>
      </c>
      <c r="M1068" t="str">
        <f>VLOOKUP(D1068,Products!A:E,3,FALSE)</f>
        <v>Technology</v>
      </c>
      <c r="N1068">
        <f>VLOOKUP(D1068,Products!A:E,4,FALSE)</f>
        <v>1100</v>
      </c>
      <c r="O1068" s="13">
        <f>VLOOKUP(D1068,Products!A:E,5,FALSE)</f>
        <v>720</v>
      </c>
      <c r="P1068" s="13" t="str">
        <f>VLOOKUP(C1068,Customers!A:C,3,FALSE)</f>
        <v>Corporate</v>
      </c>
      <c r="Q1068" s="13">
        <f t="shared" si="64"/>
        <v>2090</v>
      </c>
      <c r="R1068" s="13">
        <f t="shared" si="65"/>
        <v>1440</v>
      </c>
      <c r="S1068" s="13">
        <f t="shared" si="66"/>
        <v>650</v>
      </c>
      <c r="T1068" s="14">
        <f t="shared" si="67"/>
        <v>0.31100478468899523</v>
      </c>
    </row>
    <row r="1069" spans="1:20">
      <c r="A1069" t="s">
        <v>1773</v>
      </c>
      <c r="B1069" s="8">
        <v>45755</v>
      </c>
      <c r="C1069" t="s">
        <v>661</v>
      </c>
      <c r="D1069" t="s">
        <v>56</v>
      </c>
      <c r="E1069" t="s">
        <v>705</v>
      </c>
      <c r="F1069" t="s">
        <v>706</v>
      </c>
      <c r="G1069">
        <v>3</v>
      </c>
      <c r="H1069" s="9">
        <v>0</v>
      </c>
      <c r="I1069" t="s">
        <v>699</v>
      </c>
      <c r="J1069">
        <v>5</v>
      </c>
      <c r="K1069">
        <v>5</v>
      </c>
      <c r="L1069" t="str">
        <f>VLOOKUP(D1069,Products!A:E,2,FALSE)</f>
        <v>Headset</v>
      </c>
      <c r="M1069" t="str">
        <f>VLOOKUP(D1069,Products!A:E,3,FALSE)</f>
        <v>Technology</v>
      </c>
      <c r="N1069">
        <f>VLOOKUP(D1069,Products!A:E,4,FALSE)</f>
        <v>98</v>
      </c>
      <c r="O1069" s="13">
        <f>VLOOKUP(D1069,Products!A:E,5,FALSE)</f>
        <v>46</v>
      </c>
      <c r="P1069" s="13" t="str">
        <f>VLOOKUP(C1069,Customers!A:C,3,FALSE)</f>
        <v>Consumer</v>
      </c>
      <c r="Q1069" s="13">
        <f t="shared" si="64"/>
        <v>294</v>
      </c>
      <c r="R1069" s="13">
        <f t="shared" si="65"/>
        <v>138</v>
      </c>
      <c r="S1069" s="13">
        <f t="shared" si="66"/>
        <v>156</v>
      </c>
      <c r="T1069" s="14">
        <f t="shared" si="67"/>
        <v>0.53061224489795922</v>
      </c>
    </row>
    <row r="1070" spans="1:20">
      <c r="A1070" t="s">
        <v>1774</v>
      </c>
      <c r="B1070" s="8">
        <v>46238</v>
      </c>
      <c r="C1070" t="s">
        <v>325</v>
      </c>
      <c r="D1070" t="s">
        <v>48</v>
      </c>
      <c r="E1070" t="s">
        <v>701</v>
      </c>
      <c r="F1070" t="s">
        <v>702</v>
      </c>
      <c r="G1070">
        <v>1</v>
      </c>
      <c r="H1070" s="9">
        <v>0</v>
      </c>
      <c r="I1070" t="s">
        <v>699</v>
      </c>
      <c r="J1070">
        <v>4</v>
      </c>
      <c r="K1070">
        <v>5</v>
      </c>
      <c r="L1070" t="str">
        <f>VLOOKUP(D1070,Products!A:E,2,FALSE)</f>
        <v>Monitor</v>
      </c>
      <c r="M1070" t="str">
        <f>VLOOKUP(D1070,Products!A:E,3,FALSE)</f>
        <v>Technology</v>
      </c>
      <c r="N1070">
        <f>VLOOKUP(D1070,Products!A:E,4,FALSE)</f>
        <v>310</v>
      </c>
      <c r="O1070" s="13">
        <f>VLOOKUP(D1070,Products!A:E,5,FALSE)</f>
        <v>190</v>
      </c>
      <c r="P1070" s="13" t="str">
        <f>VLOOKUP(C1070,Customers!A:C,3,FALSE)</f>
        <v>Consumer</v>
      </c>
      <c r="Q1070" s="13">
        <f t="shared" si="64"/>
        <v>310</v>
      </c>
      <c r="R1070" s="13">
        <f t="shared" si="65"/>
        <v>190</v>
      </c>
      <c r="S1070" s="13">
        <f t="shared" si="66"/>
        <v>120</v>
      </c>
      <c r="T1070" s="14">
        <f t="shared" si="67"/>
        <v>0.38709677419354838</v>
      </c>
    </row>
    <row r="1071" spans="1:20">
      <c r="A1071" t="s">
        <v>1775</v>
      </c>
      <c r="B1071" s="8">
        <v>46074</v>
      </c>
      <c r="C1071" t="s">
        <v>90</v>
      </c>
      <c r="D1071" t="s">
        <v>63</v>
      </c>
      <c r="E1071" t="s">
        <v>701</v>
      </c>
      <c r="F1071" t="s">
        <v>698</v>
      </c>
      <c r="G1071">
        <v>4</v>
      </c>
      <c r="H1071" s="9">
        <v>0.05</v>
      </c>
      <c r="I1071" t="s">
        <v>699</v>
      </c>
      <c r="J1071">
        <v>5</v>
      </c>
      <c r="K1071">
        <v>3</v>
      </c>
      <c r="L1071" t="str">
        <f>VLOOKUP(D1071,Products!A:E,2,FALSE)</f>
        <v>Bookshelf</v>
      </c>
      <c r="M1071" t="str">
        <f>VLOOKUP(D1071,Products!A:E,3,FALSE)</f>
        <v>Furniture</v>
      </c>
      <c r="N1071">
        <f>VLOOKUP(D1071,Products!A:E,4,FALSE)</f>
        <v>185</v>
      </c>
      <c r="O1071" s="13">
        <f>VLOOKUP(D1071,Products!A:E,5,FALSE)</f>
        <v>105</v>
      </c>
      <c r="P1071" s="13" t="str">
        <f>VLOOKUP(C1071,Customers!A:C,3,FALSE)</f>
        <v>Consumer</v>
      </c>
      <c r="Q1071" s="13">
        <f t="shared" si="64"/>
        <v>703</v>
      </c>
      <c r="R1071" s="13">
        <f t="shared" si="65"/>
        <v>420</v>
      </c>
      <c r="S1071" s="13">
        <f t="shared" si="66"/>
        <v>283</v>
      </c>
      <c r="T1071" s="14">
        <f t="shared" si="67"/>
        <v>0.40256045519203415</v>
      </c>
    </row>
    <row r="1072" spans="1:20">
      <c r="A1072" t="s">
        <v>1776</v>
      </c>
      <c r="B1072" s="8">
        <v>46130</v>
      </c>
      <c r="C1072" t="s">
        <v>581</v>
      </c>
      <c r="D1072" t="s">
        <v>50</v>
      </c>
      <c r="E1072" t="s">
        <v>697</v>
      </c>
      <c r="F1072" t="s">
        <v>702</v>
      </c>
      <c r="G1072">
        <v>1</v>
      </c>
      <c r="H1072" s="9">
        <v>0</v>
      </c>
      <c r="I1072" t="s">
        <v>699</v>
      </c>
      <c r="J1072">
        <v>4</v>
      </c>
      <c r="K1072">
        <v>1</v>
      </c>
      <c r="L1072" t="str">
        <f>VLOOKUP(D1072,Products!A:E,2,FALSE)</f>
        <v>Keyboard</v>
      </c>
      <c r="M1072" t="str">
        <f>VLOOKUP(D1072,Products!A:E,3,FALSE)</f>
        <v>Technology</v>
      </c>
      <c r="N1072">
        <f>VLOOKUP(D1072,Products!A:E,4,FALSE)</f>
        <v>75</v>
      </c>
      <c r="O1072" s="13">
        <f>VLOOKUP(D1072,Products!A:E,5,FALSE)</f>
        <v>38</v>
      </c>
      <c r="P1072" s="13" t="str">
        <f>VLOOKUP(C1072,Customers!A:C,3,FALSE)</f>
        <v>Consumer</v>
      </c>
      <c r="Q1072" s="13">
        <f t="shared" si="64"/>
        <v>75</v>
      </c>
      <c r="R1072" s="13">
        <f t="shared" si="65"/>
        <v>38</v>
      </c>
      <c r="S1072" s="13">
        <f t="shared" si="66"/>
        <v>37</v>
      </c>
      <c r="T1072" s="14">
        <f t="shared" si="67"/>
        <v>0.49333333333333335</v>
      </c>
    </row>
    <row r="1073" spans="1:20">
      <c r="A1073" t="s">
        <v>1777</v>
      </c>
      <c r="B1073" s="8">
        <v>45828</v>
      </c>
      <c r="C1073" t="s">
        <v>289</v>
      </c>
      <c r="D1073" t="s">
        <v>77</v>
      </c>
      <c r="E1073" t="s">
        <v>697</v>
      </c>
      <c r="F1073" t="s">
        <v>702</v>
      </c>
      <c r="G1073">
        <v>5</v>
      </c>
      <c r="H1073" s="9">
        <v>0.05</v>
      </c>
      <c r="I1073" t="s">
        <v>699</v>
      </c>
      <c r="J1073">
        <v>4</v>
      </c>
      <c r="K1073">
        <v>2</v>
      </c>
      <c r="L1073" t="str">
        <f>VLOOKUP(D1073,Products!A:E,2,FALSE)</f>
        <v>File Folder Pack</v>
      </c>
      <c r="M1073" t="str">
        <f>VLOOKUP(D1073,Products!A:E,3,FALSE)</f>
        <v>Office Supplies</v>
      </c>
      <c r="N1073">
        <f>VLOOKUP(D1073,Products!A:E,4,FALSE)</f>
        <v>23</v>
      </c>
      <c r="O1073" s="13">
        <f>VLOOKUP(D1073,Products!A:E,5,FALSE)</f>
        <v>10</v>
      </c>
      <c r="P1073" s="13" t="str">
        <f>VLOOKUP(C1073,Customers!A:C,3,FALSE)</f>
        <v>Corporate</v>
      </c>
      <c r="Q1073" s="13">
        <f t="shared" si="64"/>
        <v>109.25</v>
      </c>
      <c r="R1073" s="13">
        <f t="shared" si="65"/>
        <v>50</v>
      </c>
      <c r="S1073" s="13">
        <f t="shared" si="66"/>
        <v>59.25</v>
      </c>
      <c r="T1073" s="14">
        <f t="shared" si="67"/>
        <v>0.54233409610983985</v>
      </c>
    </row>
    <row r="1074" spans="1:20">
      <c r="A1074" t="s">
        <v>1778</v>
      </c>
      <c r="B1074" s="8">
        <v>46218</v>
      </c>
      <c r="C1074" t="s">
        <v>515</v>
      </c>
      <c r="D1074" t="s">
        <v>72</v>
      </c>
      <c r="E1074" t="s">
        <v>705</v>
      </c>
      <c r="F1074" t="s">
        <v>702</v>
      </c>
      <c r="G1074">
        <v>8</v>
      </c>
      <c r="H1074" s="9">
        <v>0.1</v>
      </c>
      <c r="I1074" t="s">
        <v>699</v>
      </c>
      <c r="J1074">
        <v>4</v>
      </c>
      <c r="K1074">
        <v>3</v>
      </c>
      <c r="L1074" t="str">
        <f>VLOOKUP(D1074,Products!A:E,2,FALSE)</f>
        <v>Phone Charger</v>
      </c>
      <c r="M1074" t="str">
        <f>VLOOKUP(D1074,Products!A:E,3,FALSE)</f>
        <v>Accessories</v>
      </c>
      <c r="N1074">
        <f>VLOOKUP(D1074,Products!A:E,4,FALSE)</f>
        <v>32</v>
      </c>
      <c r="O1074" s="13">
        <f>VLOOKUP(D1074,Products!A:E,5,FALSE)</f>
        <v>13</v>
      </c>
      <c r="P1074" s="13" t="str">
        <f>VLOOKUP(C1074,Customers!A:C,3,FALSE)</f>
        <v>Small Business</v>
      </c>
      <c r="Q1074" s="13">
        <f t="shared" si="64"/>
        <v>230.4</v>
      </c>
      <c r="R1074" s="13">
        <f t="shared" si="65"/>
        <v>104</v>
      </c>
      <c r="S1074" s="13">
        <f t="shared" si="66"/>
        <v>126.4</v>
      </c>
      <c r="T1074" s="14">
        <f t="shared" si="67"/>
        <v>0.54861111111111116</v>
      </c>
    </row>
    <row r="1075" spans="1:20">
      <c r="A1075" t="s">
        <v>1779</v>
      </c>
      <c r="B1075" s="8">
        <v>46038</v>
      </c>
      <c r="C1075" t="s">
        <v>663</v>
      </c>
      <c r="D1075" t="s">
        <v>56</v>
      </c>
      <c r="E1075" t="s">
        <v>705</v>
      </c>
      <c r="F1075" t="s">
        <v>698</v>
      </c>
      <c r="G1075">
        <v>1</v>
      </c>
      <c r="H1075" s="9">
        <v>0.05</v>
      </c>
      <c r="I1075" t="s">
        <v>699</v>
      </c>
      <c r="J1075">
        <v>4</v>
      </c>
      <c r="K1075">
        <v>3</v>
      </c>
      <c r="L1075" t="str">
        <f>VLOOKUP(D1075,Products!A:E,2,FALSE)</f>
        <v>Headset</v>
      </c>
      <c r="M1075" t="str">
        <f>VLOOKUP(D1075,Products!A:E,3,FALSE)</f>
        <v>Technology</v>
      </c>
      <c r="N1075">
        <f>VLOOKUP(D1075,Products!A:E,4,FALSE)</f>
        <v>98</v>
      </c>
      <c r="O1075" s="13">
        <f>VLOOKUP(D1075,Products!A:E,5,FALSE)</f>
        <v>46</v>
      </c>
      <c r="P1075" s="13" t="str">
        <f>VLOOKUP(C1075,Customers!A:C,3,FALSE)</f>
        <v>Consumer</v>
      </c>
      <c r="Q1075" s="13">
        <f t="shared" si="64"/>
        <v>93.1</v>
      </c>
      <c r="R1075" s="13">
        <f t="shared" si="65"/>
        <v>46</v>
      </c>
      <c r="S1075" s="13">
        <f t="shared" si="66"/>
        <v>47.099999999999994</v>
      </c>
      <c r="T1075" s="14">
        <f t="shared" si="67"/>
        <v>0.50590762620837804</v>
      </c>
    </row>
    <row r="1076" spans="1:20">
      <c r="A1076" t="s">
        <v>1780</v>
      </c>
      <c r="B1076" s="8">
        <v>46141</v>
      </c>
      <c r="C1076" t="s">
        <v>559</v>
      </c>
      <c r="D1076" t="s">
        <v>58</v>
      </c>
      <c r="E1076" t="s">
        <v>697</v>
      </c>
      <c r="F1076" t="s">
        <v>706</v>
      </c>
      <c r="G1076">
        <v>4</v>
      </c>
      <c r="H1076" s="9">
        <v>0.15</v>
      </c>
      <c r="I1076" t="s">
        <v>699</v>
      </c>
      <c r="J1076">
        <v>4</v>
      </c>
      <c r="K1076">
        <v>4</v>
      </c>
      <c r="L1076" t="str">
        <f>VLOOKUP(D1076,Products!A:E,2,FALSE)</f>
        <v>Standing Desk</v>
      </c>
      <c r="M1076" t="str">
        <f>VLOOKUP(D1076,Products!A:E,3,FALSE)</f>
        <v>Furniture</v>
      </c>
      <c r="N1076">
        <f>VLOOKUP(D1076,Products!A:E,4,FALSE)</f>
        <v>540</v>
      </c>
      <c r="O1076" s="13">
        <f>VLOOKUP(D1076,Products!A:E,5,FALSE)</f>
        <v>320</v>
      </c>
      <c r="P1076" s="13" t="str">
        <f>VLOOKUP(C1076,Customers!A:C,3,FALSE)</f>
        <v>Small Business</v>
      </c>
      <c r="Q1076" s="13">
        <f t="shared" si="64"/>
        <v>1836</v>
      </c>
      <c r="R1076" s="13">
        <f t="shared" si="65"/>
        <v>1280</v>
      </c>
      <c r="S1076" s="13">
        <f t="shared" si="66"/>
        <v>556</v>
      </c>
      <c r="T1076" s="14">
        <f t="shared" si="67"/>
        <v>0.30283224400871461</v>
      </c>
    </row>
    <row r="1077" spans="1:20">
      <c r="A1077" t="s">
        <v>1781</v>
      </c>
      <c r="B1077" s="8">
        <v>45668</v>
      </c>
      <c r="C1077" t="s">
        <v>411</v>
      </c>
      <c r="D1077" t="s">
        <v>74</v>
      </c>
      <c r="E1077" t="s">
        <v>705</v>
      </c>
      <c r="F1077" t="s">
        <v>702</v>
      </c>
      <c r="G1077">
        <v>8</v>
      </c>
      <c r="H1077" s="9">
        <v>0</v>
      </c>
      <c r="I1077" t="s">
        <v>699</v>
      </c>
      <c r="J1077">
        <v>3</v>
      </c>
      <c r="K1077">
        <v>1</v>
      </c>
      <c r="L1077" t="str">
        <f>VLOOKUP(D1077,Products!A:E,2,FALSE)</f>
        <v>Printer Paper</v>
      </c>
      <c r="M1077" t="str">
        <f>VLOOKUP(D1077,Products!A:E,3,FALSE)</f>
        <v>Office Supplies</v>
      </c>
      <c r="N1077">
        <f>VLOOKUP(D1077,Products!A:E,4,FALSE)</f>
        <v>17</v>
      </c>
      <c r="O1077" s="13">
        <f>VLOOKUP(D1077,Products!A:E,5,FALSE)</f>
        <v>8</v>
      </c>
      <c r="P1077" s="13" t="str">
        <f>VLOOKUP(C1077,Customers!A:C,3,FALSE)</f>
        <v>Consumer</v>
      </c>
      <c r="Q1077" s="13">
        <f t="shared" si="64"/>
        <v>136</v>
      </c>
      <c r="R1077" s="13">
        <f t="shared" si="65"/>
        <v>64</v>
      </c>
      <c r="S1077" s="13">
        <f t="shared" si="66"/>
        <v>72</v>
      </c>
      <c r="T1077" s="14">
        <f t="shared" si="67"/>
        <v>0.52941176470588236</v>
      </c>
    </row>
    <row r="1078" spans="1:20">
      <c r="A1078" t="s">
        <v>1782</v>
      </c>
      <c r="B1078" s="8">
        <v>46208</v>
      </c>
      <c r="C1078" t="s">
        <v>555</v>
      </c>
      <c r="D1078" t="s">
        <v>68</v>
      </c>
      <c r="E1078" t="s">
        <v>705</v>
      </c>
      <c r="F1078" t="s">
        <v>698</v>
      </c>
      <c r="G1078">
        <v>3</v>
      </c>
      <c r="H1078" s="9">
        <v>0</v>
      </c>
      <c r="I1078" t="s">
        <v>699</v>
      </c>
      <c r="J1078">
        <v>5</v>
      </c>
      <c r="K1078">
        <v>3</v>
      </c>
      <c r="L1078" t="str">
        <f>VLOOKUP(D1078,Products!A:E,2,FALSE)</f>
        <v>Backpack</v>
      </c>
      <c r="M1078" t="str">
        <f>VLOOKUP(D1078,Products!A:E,3,FALSE)</f>
        <v>Accessories</v>
      </c>
      <c r="N1078">
        <f>VLOOKUP(D1078,Products!A:E,4,FALSE)</f>
        <v>85</v>
      </c>
      <c r="O1078" s="13">
        <f>VLOOKUP(D1078,Products!A:E,5,FALSE)</f>
        <v>39</v>
      </c>
      <c r="P1078" s="13" t="str">
        <f>VLOOKUP(C1078,Customers!A:C,3,FALSE)</f>
        <v>Consumer</v>
      </c>
      <c r="Q1078" s="13">
        <f t="shared" si="64"/>
        <v>255</v>
      </c>
      <c r="R1078" s="13">
        <f t="shared" si="65"/>
        <v>117</v>
      </c>
      <c r="S1078" s="13">
        <f t="shared" si="66"/>
        <v>138</v>
      </c>
      <c r="T1078" s="14">
        <f t="shared" si="67"/>
        <v>0.54117647058823526</v>
      </c>
    </row>
    <row r="1079" spans="1:20">
      <c r="A1079" t="s">
        <v>1783</v>
      </c>
      <c r="B1079" s="8">
        <v>45672</v>
      </c>
      <c r="C1079" t="s">
        <v>283</v>
      </c>
      <c r="D1079" t="s">
        <v>63</v>
      </c>
      <c r="E1079" t="s">
        <v>708</v>
      </c>
      <c r="F1079" t="s">
        <v>706</v>
      </c>
      <c r="G1079">
        <v>2</v>
      </c>
      <c r="H1079" s="9">
        <v>0.1</v>
      </c>
      <c r="I1079" t="s">
        <v>699</v>
      </c>
      <c r="J1079">
        <v>5</v>
      </c>
      <c r="K1079">
        <v>3</v>
      </c>
      <c r="L1079" t="str">
        <f>VLOOKUP(D1079,Products!A:E,2,FALSE)</f>
        <v>Bookshelf</v>
      </c>
      <c r="M1079" t="str">
        <f>VLOOKUP(D1079,Products!A:E,3,FALSE)</f>
        <v>Furniture</v>
      </c>
      <c r="N1079">
        <f>VLOOKUP(D1079,Products!A:E,4,FALSE)</f>
        <v>185</v>
      </c>
      <c r="O1079" s="13">
        <f>VLOOKUP(D1079,Products!A:E,5,FALSE)</f>
        <v>105</v>
      </c>
      <c r="P1079" s="13" t="str">
        <f>VLOOKUP(C1079,Customers!A:C,3,FALSE)</f>
        <v>Small Business</v>
      </c>
      <c r="Q1079" s="13">
        <f t="shared" si="64"/>
        <v>333</v>
      </c>
      <c r="R1079" s="13">
        <f t="shared" si="65"/>
        <v>210</v>
      </c>
      <c r="S1079" s="13">
        <f t="shared" si="66"/>
        <v>123</v>
      </c>
      <c r="T1079" s="14">
        <f t="shared" si="67"/>
        <v>0.36936936936936937</v>
      </c>
    </row>
    <row r="1080" spans="1:20">
      <c r="A1080" t="s">
        <v>1784</v>
      </c>
      <c r="B1080" s="8">
        <v>46232</v>
      </c>
      <c r="C1080" t="s">
        <v>641</v>
      </c>
      <c r="D1080" t="s">
        <v>58</v>
      </c>
      <c r="E1080" t="s">
        <v>705</v>
      </c>
      <c r="F1080" t="s">
        <v>702</v>
      </c>
      <c r="G1080">
        <v>4</v>
      </c>
      <c r="H1080" s="9">
        <v>0</v>
      </c>
      <c r="I1080" t="s">
        <v>699</v>
      </c>
      <c r="J1080">
        <v>2</v>
      </c>
      <c r="K1080">
        <v>9</v>
      </c>
      <c r="L1080" t="str">
        <f>VLOOKUP(D1080,Products!A:E,2,FALSE)</f>
        <v>Standing Desk</v>
      </c>
      <c r="M1080" t="str">
        <f>VLOOKUP(D1080,Products!A:E,3,FALSE)</f>
        <v>Furniture</v>
      </c>
      <c r="N1080">
        <f>VLOOKUP(D1080,Products!A:E,4,FALSE)</f>
        <v>540</v>
      </c>
      <c r="O1080" s="13">
        <f>VLOOKUP(D1080,Products!A:E,5,FALSE)</f>
        <v>320</v>
      </c>
      <c r="P1080" s="13" t="str">
        <f>VLOOKUP(C1080,Customers!A:C,3,FALSE)</f>
        <v>Corporate</v>
      </c>
      <c r="Q1080" s="13">
        <f t="shared" si="64"/>
        <v>2160</v>
      </c>
      <c r="R1080" s="13">
        <f t="shared" si="65"/>
        <v>1280</v>
      </c>
      <c r="S1080" s="13">
        <f t="shared" si="66"/>
        <v>880</v>
      </c>
      <c r="T1080" s="14">
        <f t="shared" si="67"/>
        <v>0.40740740740740738</v>
      </c>
    </row>
    <row r="1081" spans="1:20">
      <c r="A1081" t="s">
        <v>1785</v>
      </c>
      <c r="B1081" s="8">
        <v>45996</v>
      </c>
      <c r="C1081" t="s">
        <v>675</v>
      </c>
      <c r="D1081" t="s">
        <v>63</v>
      </c>
      <c r="E1081" t="s">
        <v>697</v>
      </c>
      <c r="F1081" t="s">
        <v>698</v>
      </c>
      <c r="G1081">
        <v>3</v>
      </c>
      <c r="H1081" s="9">
        <v>0.15</v>
      </c>
      <c r="I1081" t="s">
        <v>699</v>
      </c>
      <c r="J1081">
        <v>1</v>
      </c>
      <c r="K1081">
        <v>4</v>
      </c>
      <c r="L1081" t="str">
        <f>VLOOKUP(D1081,Products!A:E,2,FALSE)</f>
        <v>Bookshelf</v>
      </c>
      <c r="M1081" t="str">
        <f>VLOOKUP(D1081,Products!A:E,3,FALSE)</f>
        <v>Furniture</v>
      </c>
      <c r="N1081">
        <f>VLOOKUP(D1081,Products!A:E,4,FALSE)</f>
        <v>185</v>
      </c>
      <c r="O1081" s="13">
        <f>VLOOKUP(D1081,Products!A:E,5,FALSE)</f>
        <v>105</v>
      </c>
      <c r="P1081" s="13" t="str">
        <f>VLOOKUP(C1081,Customers!A:C,3,FALSE)</f>
        <v>Corporate</v>
      </c>
      <c r="Q1081" s="13">
        <f t="shared" si="64"/>
        <v>471.75</v>
      </c>
      <c r="R1081" s="13">
        <f t="shared" si="65"/>
        <v>315</v>
      </c>
      <c r="S1081" s="13">
        <f t="shared" si="66"/>
        <v>156.75</v>
      </c>
      <c r="T1081" s="14">
        <f t="shared" si="67"/>
        <v>0.33227344992050872</v>
      </c>
    </row>
    <row r="1082" spans="1:20">
      <c r="A1082" t="s">
        <v>1786</v>
      </c>
      <c r="B1082" s="8">
        <v>45751</v>
      </c>
      <c r="C1082" t="s">
        <v>237</v>
      </c>
      <c r="D1082" t="s">
        <v>54</v>
      </c>
      <c r="E1082" t="s">
        <v>705</v>
      </c>
      <c r="F1082" t="s">
        <v>706</v>
      </c>
      <c r="G1082">
        <v>2</v>
      </c>
      <c r="H1082" s="9">
        <v>0.15</v>
      </c>
      <c r="I1082" t="s">
        <v>699</v>
      </c>
      <c r="J1082">
        <v>4</v>
      </c>
      <c r="K1082">
        <v>4</v>
      </c>
      <c r="L1082" t="str">
        <f>VLOOKUP(D1082,Products!A:E,2,FALSE)</f>
        <v>Webcam</v>
      </c>
      <c r="M1082" t="str">
        <f>VLOOKUP(D1082,Products!A:E,3,FALSE)</f>
        <v>Technology</v>
      </c>
      <c r="N1082">
        <f>VLOOKUP(D1082,Products!A:E,4,FALSE)</f>
        <v>115</v>
      </c>
      <c r="O1082" s="13">
        <f>VLOOKUP(D1082,Products!A:E,5,FALSE)</f>
        <v>58</v>
      </c>
      <c r="P1082" s="13" t="str">
        <f>VLOOKUP(C1082,Customers!A:C,3,FALSE)</f>
        <v>Consumer</v>
      </c>
      <c r="Q1082" s="13">
        <f t="shared" si="64"/>
        <v>195.5</v>
      </c>
      <c r="R1082" s="13">
        <f t="shared" si="65"/>
        <v>116</v>
      </c>
      <c r="S1082" s="13">
        <f t="shared" si="66"/>
        <v>79.5</v>
      </c>
      <c r="T1082" s="14">
        <f t="shared" si="67"/>
        <v>0.40664961636828645</v>
      </c>
    </row>
    <row r="1083" spans="1:20">
      <c r="A1083" t="s">
        <v>1787</v>
      </c>
      <c r="B1083" s="8">
        <v>46093</v>
      </c>
      <c r="C1083" t="s">
        <v>569</v>
      </c>
      <c r="D1083" t="s">
        <v>68</v>
      </c>
      <c r="E1083" t="s">
        <v>708</v>
      </c>
      <c r="F1083" t="s">
        <v>698</v>
      </c>
      <c r="G1083">
        <v>1</v>
      </c>
      <c r="H1083" s="9">
        <v>0</v>
      </c>
      <c r="I1083" t="s">
        <v>699</v>
      </c>
      <c r="J1083">
        <v>5</v>
      </c>
      <c r="K1083">
        <v>3</v>
      </c>
      <c r="L1083" t="str">
        <f>VLOOKUP(D1083,Products!A:E,2,FALSE)</f>
        <v>Backpack</v>
      </c>
      <c r="M1083" t="str">
        <f>VLOOKUP(D1083,Products!A:E,3,FALSE)</f>
        <v>Accessories</v>
      </c>
      <c r="N1083">
        <f>VLOOKUP(D1083,Products!A:E,4,FALSE)</f>
        <v>85</v>
      </c>
      <c r="O1083" s="13">
        <f>VLOOKUP(D1083,Products!A:E,5,FALSE)</f>
        <v>39</v>
      </c>
      <c r="P1083" s="13" t="str">
        <f>VLOOKUP(C1083,Customers!A:C,3,FALSE)</f>
        <v>Corporate</v>
      </c>
      <c r="Q1083" s="13">
        <f t="shared" si="64"/>
        <v>85</v>
      </c>
      <c r="R1083" s="13">
        <f t="shared" si="65"/>
        <v>39</v>
      </c>
      <c r="S1083" s="13">
        <f t="shared" si="66"/>
        <v>46</v>
      </c>
      <c r="T1083" s="14">
        <f t="shared" si="67"/>
        <v>0.54117647058823526</v>
      </c>
    </row>
    <row r="1084" spans="1:20">
      <c r="A1084" t="s">
        <v>1788</v>
      </c>
      <c r="B1084" s="8">
        <v>45977</v>
      </c>
      <c r="C1084" t="s">
        <v>621</v>
      </c>
      <c r="D1084" t="s">
        <v>68</v>
      </c>
      <c r="E1084" t="s">
        <v>715</v>
      </c>
      <c r="F1084" t="s">
        <v>706</v>
      </c>
      <c r="G1084">
        <v>5</v>
      </c>
      <c r="H1084" s="9">
        <v>0.2</v>
      </c>
      <c r="I1084" t="s">
        <v>703</v>
      </c>
      <c r="J1084">
        <v>5</v>
      </c>
      <c r="K1084">
        <v>6</v>
      </c>
      <c r="L1084" t="str">
        <f>VLOOKUP(D1084,Products!A:E,2,FALSE)</f>
        <v>Backpack</v>
      </c>
      <c r="M1084" t="str">
        <f>VLOOKUP(D1084,Products!A:E,3,FALSE)</f>
        <v>Accessories</v>
      </c>
      <c r="N1084">
        <f>VLOOKUP(D1084,Products!A:E,4,FALSE)</f>
        <v>85</v>
      </c>
      <c r="O1084" s="13">
        <f>VLOOKUP(D1084,Products!A:E,5,FALSE)</f>
        <v>39</v>
      </c>
      <c r="P1084" s="13" t="str">
        <f>VLOOKUP(C1084,Customers!A:C,3,FALSE)</f>
        <v>Small Business</v>
      </c>
      <c r="Q1084" s="13">
        <f t="shared" si="64"/>
        <v>340</v>
      </c>
      <c r="R1084" s="13">
        <f t="shared" si="65"/>
        <v>195</v>
      </c>
      <c r="S1084" s="13">
        <f t="shared" si="66"/>
        <v>145</v>
      </c>
      <c r="T1084" s="14">
        <f t="shared" si="67"/>
        <v>0.4264705882352941</v>
      </c>
    </row>
    <row r="1085" spans="1:20">
      <c r="A1085" t="s">
        <v>1789</v>
      </c>
      <c r="B1085" s="8">
        <v>46231</v>
      </c>
      <c r="C1085" t="s">
        <v>539</v>
      </c>
      <c r="D1085" t="s">
        <v>79</v>
      </c>
      <c r="E1085" t="s">
        <v>701</v>
      </c>
      <c r="F1085" t="s">
        <v>702</v>
      </c>
      <c r="G1085">
        <v>1</v>
      </c>
      <c r="H1085" s="9">
        <v>0.15</v>
      </c>
      <c r="I1085" t="s">
        <v>699</v>
      </c>
      <c r="J1085">
        <v>3</v>
      </c>
      <c r="K1085">
        <v>3</v>
      </c>
      <c r="L1085" t="str">
        <f>VLOOKUP(D1085,Products!A:E,2,FALSE)</f>
        <v>Desk Organiser</v>
      </c>
      <c r="M1085" t="str">
        <f>VLOOKUP(D1085,Products!A:E,3,FALSE)</f>
        <v>Office Supplies</v>
      </c>
      <c r="N1085">
        <f>VLOOKUP(D1085,Products!A:E,4,FALSE)</f>
        <v>28</v>
      </c>
      <c r="O1085" s="13">
        <f>VLOOKUP(D1085,Products!A:E,5,FALSE)</f>
        <v>12</v>
      </c>
      <c r="P1085" s="13" t="str">
        <f>VLOOKUP(C1085,Customers!A:C,3,FALSE)</f>
        <v>Corporate</v>
      </c>
      <c r="Q1085" s="13">
        <f t="shared" si="64"/>
        <v>23.8</v>
      </c>
      <c r="R1085" s="13">
        <f t="shared" si="65"/>
        <v>12</v>
      </c>
      <c r="S1085" s="13">
        <f t="shared" si="66"/>
        <v>11.8</v>
      </c>
      <c r="T1085" s="14">
        <f t="shared" si="67"/>
        <v>0.49579831932773111</v>
      </c>
    </row>
    <row r="1086" spans="1:20">
      <c r="A1086" t="s">
        <v>1790</v>
      </c>
      <c r="B1086" s="8">
        <v>46135</v>
      </c>
      <c r="C1086" t="s">
        <v>441</v>
      </c>
      <c r="D1086" t="s">
        <v>74</v>
      </c>
      <c r="E1086" t="s">
        <v>705</v>
      </c>
      <c r="F1086" t="s">
        <v>698</v>
      </c>
      <c r="G1086">
        <v>8</v>
      </c>
      <c r="H1086" s="9">
        <v>0.15</v>
      </c>
      <c r="I1086" t="s">
        <v>699</v>
      </c>
      <c r="J1086">
        <v>3</v>
      </c>
      <c r="K1086">
        <v>1</v>
      </c>
      <c r="L1086" t="str">
        <f>VLOOKUP(D1086,Products!A:E,2,FALSE)</f>
        <v>Printer Paper</v>
      </c>
      <c r="M1086" t="str">
        <f>VLOOKUP(D1086,Products!A:E,3,FALSE)</f>
        <v>Office Supplies</v>
      </c>
      <c r="N1086">
        <f>VLOOKUP(D1086,Products!A:E,4,FALSE)</f>
        <v>17</v>
      </c>
      <c r="O1086" s="13">
        <f>VLOOKUP(D1086,Products!A:E,5,FALSE)</f>
        <v>8</v>
      </c>
      <c r="P1086" s="13" t="str">
        <f>VLOOKUP(C1086,Customers!A:C,3,FALSE)</f>
        <v>Consumer</v>
      </c>
      <c r="Q1086" s="13">
        <f t="shared" si="64"/>
        <v>115.6</v>
      </c>
      <c r="R1086" s="13">
        <f t="shared" si="65"/>
        <v>64</v>
      </c>
      <c r="S1086" s="13">
        <f t="shared" si="66"/>
        <v>51.599999999999994</v>
      </c>
      <c r="T1086" s="14">
        <f t="shared" si="67"/>
        <v>0.44636678200692037</v>
      </c>
    </row>
    <row r="1087" spans="1:20">
      <c r="A1087" t="s">
        <v>1791</v>
      </c>
      <c r="B1087" s="8">
        <v>45858</v>
      </c>
      <c r="C1087" t="s">
        <v>539</v>
      </c>
      <c r="D1087" t="s">
        <v>70</v>
      </c>
      <c r="E1087" t="s">
        <v>715</v>
      </c>
      <c r="F1087" t="s">
        <v>702</v>
      </c>
      <c r="G1087">
        <v>1</v>
      </c>
      <c r="H1087" s="9">
        <v>0</v>
      </c>
      <c r="I1087" t="s">
        <v>699</v>
      </c>
      <c r="J1087">
        <v>4</v>
      </c>
      <c r="K1087">
        <v>1</v>
      </c>
      <c r="L1087" t="str">
        <f>VLOOKUP(D1087,Products!A:E,2,FALSE)</f>
        <v>USB-C Hub</v>
      </c>
      <c r="M1087" t="str">
        <f>VLOOKUP(D1087,Products!A:E,3,FALSE)</f>
        <v>Accessories</v>
      </c>
      <c r="N1087">
        <f>VLOOKUP(D1087,Products!A:E,4,FALSE)</f>
        <v>68</v>
      </c>
      <c r="O1087" s="13">
        <f>VLOOKUP(D1087,Products!A:E,5,FALSE)</f>
        <v>31</v>
      </c>
      <c r="P1087" s="13" t="str">
        <f>VLOOKUP(C1087,Customers!A:C,3,FALSE)</f>
        <v>Corporate</v>
      </c>
      <c r="Q1087" s="13">
        <f t="shared" si="64"/>
        <v>68</v>
      </c>
      <c r="R1087" s="13">
        <f t="shared" si="65"/>
        <v>31</v>
      </c>
      <c r="S1087" s="13">
        <f t="shared" si="66"/>
        <v>37</v>
      </c>
      <c r="T1087" s="14">
        <f t="shared" si="67"/>
        <v>0.54411764705882348</v>
      </c>
    </row>
    <row r="1088" spans="1:20">
      <c r="A1088" t="s">
        <v>1792</v>
      </c>
      <c r="B1088" s="8">
        <v>45937</v>
      </c>
      <c r="C1088" t="s">
        <v>121</v>
      </c>
      <c r="D1088" t="s">
        <v>63</v>
      </c>
      <c r="E1088" t="s">
        <v>701</v>
      </c>
      <c r="F1088" t="s">
        <v>702</v>
      </c>
      <c r="G1088">
        <v>8</v>
      </c>
      <c r="H1088" s="9">
        <v>0.1</v>
      </c>
      <c r="I1088" t="s">
        <v>699</v>
      </c>
      <c r="J1088">
        <v>2</v>
      </c>
      <c r="K1088">
        <v>6</v>
      </c>
      <c r="L1088" t="str">
        <f>VLOOKUP(D1088,Products!A:E,2,FALSE)</f>
        <v>Bookshelf</v>
      </c>
      <c r="M1088" t="str">
        <f>VLOOKUP(D1088,Products!A:E,3,FALSE)</f>
        <v>Furniture</v>
      </c>
      <c r="N1088">
        <f>VLOOKUP(D1088,Products!A:E,4,FALSE)</f>
        <v>185</v>
      </c>
      <c r="O1088" s="13">
        <f>VLOOKUP(D1088,Products!A:E,5,FALSE)</f>
        <v>105</v>
      </c>
      <c r="P1088" s="13" t="str">
        <f>VLOOKUP(C1088,Customers!A:C,3,FALSE)</f>
        <v>Corporate</v>
      </c>
      <c r="Q1088" s="13">
        <f t="shared" si="64"/>
        <v>1332</v>
      </c>
      <c r="R1088" s="13">
        <f t="shared" si="65"/>
        <v>840</v>
      </c>
      <c r="S1088" s="13">
        <f t="shared" si="66"/>
        <v>492</v>
      </c>
      <c r="T1088" s="14">
        <f t="shared" si="67"/>
        <v>0.36936936936936937</v>
      </c>
    </row>
    <row r="1089" spans="1:20">
      <c r="A1089" t="s">
        <v>1793</v>
      </c>
      <c r="B1089" s="8">
        <v>46140</v>
      </c>
      <c r="C1089" t="s">
        <v>551</v>
      </c>
      <c r="D1089" t="s">
        <v>79</v>
      </c>
      <c r="E1089" t="s">
        <v>705</v>
      </c>
      <c r="F1089" t="s">
        <v>698</v>
      </c>
      <c r="G1089">
        <v>3</v>
      </c>
      <c r="H1089" s="9">
        <v>0.05</v>
      </c>
      <c r="I1089" t="s">
        <v>699</v>
      </c>
      <c r="J1089">
        <v>4</v>
      </c>
      <c r="K1089">
        <v>5</v>
      </c>
      <c r="L1089" t="str">
        <f>VLOOKUP(D1089,Products!A:E,2,FALSE)</f>
        <v>Desk Organiser</v>
      </c>
      <c r="M1089" t="str">
        <f>VLOOKUP(D1089,Products!A:E,3,FALSE)</f>
        <v>Office Supplies</v>
      </c>
      <c r="N1089">
        <f>VLOOKUP(D1089,Products!A:E,4,FALSE)</f>
        <v>28</v>
      </c>
      <c r="O1089" s="13">
        <f>VLOOKUP(D1089,Products!A:E,5,FALSE)</f>
        <v>12</v>
      </c>
      <c r="P1089" s="13" t="str">
        <f>VLOOKUP(C1089,Customers!A:C,3,FALSE)</f>
        <v>Corporate</v>
      </c>
      <c r="Q1089" s="13">
        <f t="shared" si="64"/>
        <v>79.8</v>
      </c>
      <c r="R1089" s="13">
        <f t="shared" si="65"/>
        <v>36</v>
      </c>
      <c r="S1089" s="13">
        <f t="shared" si="66"/>
        <v>43.8</v>
      </c>
      <c r="T1089" s="14">
        <f t="shared" si="67"/>
        <v>0.54887218045112784</v>
      </c>
    </row>
    <row r="1090" spans="1:20">
      <c r="A1090" t="s">
        <v>1794</v>
      </c>
      <c r="B1090" s="8">
        <v>45814</v>
      </c>
      <c r="C1090" t="s">
        <v>267</v>
      </c>
      <c r="D1090" t="s">
        <v>54</v>
      </c>
      <c r="E1090" t="s">
        <v>705</v>
      </c>
      <c r="F1090" t="s">
        <v>706</v>
      </c>
      <c r="G1090">
        <v>1</v>
      </c>
      <c r="H1090" s="9">
        <v>0</v>
      </c>
      <c r="I1090" t="s">
        <v>699</v>
      </c>
      <c r="J1090">
        <v>4</v>
      </c>
      <c r="K1090">
        <v>5</v>
      </c>
      <c r="L1090" t="str">
        <f>VLOOKUP(D1090,Products!A:E,2,FALSE)</f>
        <v>Webcam</v>
      </c>
      <c r="M1090" t="str">
        <f>VLOOKUP(D1090,Products!A:E,3,FALSE)</f>
        <v>Technology</v>
      </c>
      <c r="N1090">
        <f>VLOOKUP(D1090,Products!A:E,4,FALSE)</f>
        <v>115</v>
      </c>
      <c r="O1090" s="13">
        <f>VLOOKUP(D1090,Products!A:E,5,FALSE)</f>
        <v>58</v>
      </c>
      <c r="P1090" s="13" t="str">
        <f>VLOOKUP(C1090,Customers!A:C,3,FALSE)</f>
        <v>Consumer</v>
      </c>
      <c r="Q1090" s="13">
        <f t="shared" ref="Q1090:Q1153" si="68">G1090*N1090*(1-H1090)</f>
        <v>115</v>
      </c>
      <c r="R1090" s="13">
        <f t="shared" ref="R1090:R1153" si="69">G1090*O1090</f>
        <v>58</v>
      </c>
      <c r="S1090" s="13">
        <f t="shared" ref="S1090:S1153" si="70">Q1090-R1090</f>
        <v>57</v>
      </c>
      <c r="T1090" s="14">
        <f t="shared" ref="T1090:T1153" si="71">IFERROR(S1090/Q1090,0)</f>
        <v>0.4956521739130435</v>
      </c>
    </row>
    <row r="1091" spans="1:20">
      <c r="A1091" t="s">
        <v>1795</v>
      </c>
      <c r="B1091" s="8">
        <v>45942</v>
      </c>
      <c r="C1091" t="s">
        <v>285</v>
      </c>
      <c r="D1091" t="s">
        <v>45</v>
      </c>
      <c r="E1091" t="s">
        <v>708</v>
      </c>
      <c r="F1091" t="s">
        <v>698</v>
      </c>
      <c r="G1091">
        <v>6</v>
      </c>
      <c r="H1091" s="9">
        <v>0.15</v>
      </c>
      <c r="I1091" t="s">
        <v>699</v>
      </c>
      <c r="J1091">
        <v>5</v>
      </c>
      <c r="K1091">
        <v>3</v>
      </c>
      <c r="L1091" t="str">
        <f>VLOOKUP(D1091,Products!A:E,2,FALSE)</f>
        <v>Laptop</v>
      </c>
      <c r="M1091" t="str">
        <f>VLOOKUP(D1091,Products!A:E,3,FALSE)</f>
        <v>Technology</v>
      </c>
      <c r="N1091">
        <f>VLOOKUP(D1091,Products!A:E,4,FALSE)</f>
        <v>1100</v>
      </c>
      <c r="O1091" s="13">
        <f>VLOOKUP(D1091,Products!A:E,5,FALSE)</f>
        <v>720</v>
      </c>
      <c r="P1091" s="13" t="str">
        <f>VLOOKUP(C1091,Customers!A:C,3,FALSE)</f>
        <v>Small Business</v>
      </c>
      <c r="Q1091" s="13">
        <f t="shared" si="68"/>
        <v>5610</v>
      </c>
      <c r="R1091" s="13">
        <f t="shared" si="69"/>
        <v>4320</v>
      </c>
      <c r="S1091" s="13">
        <f t="shared" si="70"/>
        <v>1290</v>
      </c>
      <c r="T1091" s="14">
        <f t="shared" si="71"/>
        <v>0.22994652406417113</v>
      </c>
    </row>
    <row r="1092" spans="1:20">
      <c r="A1092" t="s">
        <v>1796</v>
      </c>
      <c r="B1092" s="8">
        <v>46186</v>
      </c>
      <c r="C1092" t="s">
        <v>101</v>
      </c>
      <c r="D1092" t="s">
        <v>72</v>
      </c>
      <c r="E1092" t="s">
        <v>708</v>
      </c>
      <c r="F1092" t="s">
        <v>698</v>
      </c>
      <c r="G1092">
        <v>1</v>
      </c>
      <c r="H1092" s="9">
        <v>0</v>
      </c>
      <c r="I1092" t="s">
        <v>699</v>
      </c>
      <c r="J1092">
        <v>3</v>
      </c>
      <c r="K1092">
        <v>3</v>
      </c>
      <c r="L1092" t="str">
        <f>VLOOKUP(D1092,Products!A:E,2,FALSE)</f>
        <v>Phone Charger</v>
      </c>
      <c r="M1092" t="str">
        <f>VLOOKUP(D1092,Products!A:E,3,FALSE)</f>
        <v>Accessories</v>
      </c>
      <c r="N1092">
        <f>VLOOKUP(D1092,Products!A:E,4,FALSE)</f>
        <v>32</v>
      </c>
      <c r="O1092" s="13">
        <f>VLOOKUP(D1092,Products!A:E,5,FALSE)</f>
        <v>13</v>
      </c>
      <c r="P1092" s="13" t="str">
        <f>VLOOKUP(C1092,Customers!A:C,3,FALSE)</f>
        <v>Consumer</v>
      </c>
      <c r="Q1092" s="13">
        <f t="shared" si="68"/>
        <v>32</v>
      </c>
      <c r="R1092" s="13">
        <f t="shared" si="69"/>
        <v>13</v>
      </c>
      <c r="S1092" s="13">
        <f t="shared" si="70"/>
        <v>19</v>
      </c>
      <c r="T1092" s="14">
        <f t="shared" si="71"/>
        <v>0.59375</v>
      </c>
    </row>
    <row r="1093" spans="1:20">
      <c r="A1093" t="s">
        <v>1797</v>
      </c>
      <c r="B1093" s="8">
        <v>45743</v>
      </c>
      <c r="C1093" t="s">
        <v>263</v>
      </c>
      <c r="D1093" t="s">
        <v>77</v>
      </c>
      <c r="E1093" t="s">
        <v>705</v>
      </c>
      <c r="F1093" t="s">
        <v>698</v>
      </c>
      <c r="G1093">
        <v>3</v>
      </c>
      <c r="H1093" s="9">
        <v>0</v>
      </c>
      <c r="I1093" t="s">
        <v>699</v>
      </c>
      <c r="J1093">
        <v>5</v>
      </c>
      <c r="K1093">
        <v>1</v>
      </c>
      <c r="L1093" t="str">
        <f>VLOOKUP(D1093,Products!A:E,2,FALSE)</f>
        <v>File Folder Pack</v>
      </c>
      <c r="M1093" t="str">
        <f>VLOOKUP(D1093,Products!A:E,3,FALSE)</f>
        <v>Office Supplies</v>
      </c>
      <c r="N1093">
        <f>VLOOKUP(D1093,Products!A:E,4,FALSE)</f>
        <v>23</v>
      </c>
      <c r="O1093" s="13">
        <f>VLOOKUP(D1093,Products!A:E,5,FALSE)</f>
        <v>10</v>
      </c>
      <c r="P1093" s="13" t="str">
        <f>VLOOKUP(C1093,Customers!A:C,3,FALSE)</f>
        <v>Consumer</v>
      </c>
      <c r="Q1093" s="13">
        <f t="shared" si="68"/>
        <v>69</v>
      </c>
      <c r="R1093" s="13">
        <f t="shared" si="69"/>
        <v>30</v>
      </c>
      <c r="S1093" s="13">
        <f t="shared" si="70"/>
        <v>39</v>
      </c>
      <c r="T1093" s="14">
        <f t="shared" si="71"/>
        <v>0.56521739130434778</v>
      </c>
    </row>
    <row r="1094" spans="1:20">
      <c r="A1094" t="s">
        <v>1798</v>
      </c>
      <c r="B1094" s="8">
        <v>45976</v>
      </c>
      <c r="C1094" t="s">
        <v>367</v>
      </c>
      <c r="D1094" t="s">
        <v>70</v>
      </c>
      <c r="E1094" t="s">
        <v>705</v>
      </c>
      <c r="F1094" t="s">
        <v>702</v>
      </c>
      <c r="G1094">
        <v>5</v>
      </c>
      <c r="H1094" s="9">
        <v>0</v>
      </c>
      <c r="I1094" t="s">
        <v>703</v>
      </c>
      <c r="J1094">
        <v>2</v>
      </c>
      <c r="K1094">
        <v>3</v>
      </c>
      <c r="L1094" t="str">
        <f>VLOOKUP(D1094,Products!A:E,2,FALSE)</f>
        <v>USB-C Hub</v>
      </c>
      <c r="M1094" t="str">
        <f>VLOOKUP(D1094,Products!A:E,3,FALSE)</f>
        <v>Accessories</v>
      </c>
      <c r="N1094">
        <f>VLOOKUP(D1094,Products!A:E,4,FALSE)</f>
        <v>68</v>
      </c>
      <c r="O1094" s="13">
        <f>VLOOKUP(D1094,Products!A:E,5,FALSE)</f>
        <v>31</v>
      </c>
      <c r="P1094" s="13" t="str">
        <f>VLOOKUP(C1094,Customers!A:C,3,FALSE)</f>
        <v>Consumer</v>
      </c>
      <c r="Q1094" s="13">
        <f t="shared" si="68"/>
        <v>340</v>
      </c>
      <c r="R1094" s="13">
        <f t="shared" si="69"/>
        <v>155</v>
      </c>
      <c r="S1094" s="13">
        <f t="shared" si="70"/>
        <v>185</v>
      </c>
      <c r="T1094" s="14">
        <f t="shared" si="71"/>
        <v>0.54411764705882348</v>
      </c>
    </row>
    <row r="1095" spans="1:20">
      <c r="A1095" t="s">
        <v>1799</v>
      </c>
      <c r="B1095" s="8">
        <v>45746</v>
      </c>
      <c r="C1095" t="s">
        <v>277</v>
      </c>
      <c r="D1095" t="s">
        <v>68</v>
      </c>
      <c r="E1095" t="s">
        <v>715</v>
      </c>
      <c r="F1095" t="s">
        <v>706</v>
      </c>
      <c r="G1095">
        <v>4</v>
      </c>
      <c r="H1095" s="9">
        <v>0.1</v>
      </c>
      <c r="I1095" t="s">
        <v>699</v>
      </c>
      <c r="J1095">
        <v>4</v>
      </c>
      <c r="K1095">
        <v>1</v>
      </c>
      <c r="L1095" t="str">
        <f>VLOOKUP(D1095,Products!A:E,2,FALSE)</f>
        <v>Backpack</v>
      </c>
      <c r="M1095" t="str">
        <f>VLOOKUP(D1095,Products!A:E,3,FALSE)</f>
        <v>Accessories</v>
      </c>
      <c r="N1095">
        <f>VLOOKUP(D1095,Products!A:E,4,FALSE)</f>
        <v>85</v>
      </c>
      <c r="O1095" s="13">
        <f>VLOOKUP(D1095,Products!A:E,5,FALSE)</f>
        <v>39</v>
      </c>
      <c r="P1095" s="13" t="str">
        <f>VLOOKUP(C1095,Customers!A:C,3,FALSE)</f>
        <v>Consumer</v>
      </c>
      <c r="Q1095" s="13">
        <f t="shared" si="68"/>
        <v>306</v>
      </c>
      <c r="R1095" s="13">
        <f t="shared" si="69"/>
        <v>156</v>
      </c>
      <c r="S1095" s="13">
        <f t="shared" si="70"/>
        <v>150</v>
      </c>
      <c r="T1095" s="14">
        <f t="shared" si="71"/>
        <v>0.49019607843137253</v>
      </c>
    </row>
    <row r="1096" spans="1:20">
      <c r="A1096" t="s">
        <v>1800</v>
      </c>
      <c r="B1096" s="8">
        <v>45910</v>
      </c>
      <c r="C1096" t="s">
        <v>401</v>
      </c>
      <c r="D1096" t="s">
        <v>58</v>
      </c>
      <c r="E1096" t="s">
        <v>701</v>
      </c>
      <c r="F1096" t="s">
        <v>698</v>
      </c>
      <c r="G1096">
        <v>1</v>
      </c>
      <c r="H1096" s="9">
        <v>0</v>
      </c>
      <c r="I1096" t="s">
        <v>699</v>
      </c>
      <c r="J1096">
        <v>4</v>
      </c>
      <c r="K1096">
        <v>5</v>
      </c>
      <c r="L1096" t="str">
        <f>VLOOKUP(D1096,Products!A:E,2,FALSE)</f>
        <v>Standing Desk</v>
      </c>
      <c r="M1096" t="str">
        <f>VLOOKUP(D1096,Products!A:E,3,FALSE)</f>
        <v>Furniture</v>
      </c>
      <c r="N1096">
        <f>VLOOKUP(D1096,Products!A:E,4,FALSE)</f>
        <v>540</v>
      </c>
      <c r="O1096" s="13">
        <f>VLOOKUP(D1096,Products!A:E,5,FALSE)</f>
        <v>320</v>
      </c>
      <c r="P1096" s="13" t="str">
        <f>VLOOKUP(C1096,Customers!A:C,3,FALSE)</f>
        <v>Corporate</v>
      </c>
      <c r="Q1096" s="13">
        <f t="shared" si="68"/>
        <v>540</v>
      </c>
      <c r="R1096" s="13">
        <f t="shared" si="69"/>
        <v>320</v>
      </c>
      <c r="S1096" s="13">
        <f t="shared" si="70"/>
        <v>220</v>
      </c>
      <c r="T1096" s="14">
        <f t="shared" si="71"/>
        <v>0.40740740740740738</v>
      </c>
    </row>
    <row r="1097" spans="1:20">
      <c r="A1097" t="s">
        <v>1801</v>
      </c>
      <c r="B1097" s="8">
        <v>45981</v>
      </c>
      <c r="C1097" t="s">
        <v>509</v>
      </c>
      <c r="D1097" t="s">
        <v>61</v>
      </c>
      <c r="E1097" t="s">
        <v>697</v>
      </c>
      <c r="F1097" t="s">
        <v>702</v>
      </c>
      <c r="G1097">
        <v>1</v>
      </c>
      <c r="H1097" s="9">
        <v>0.2</v>
      </c>
      <c r="I1097" t="s">
        <v>699</v>
      </c>
      <c r="J1097">
        <v>4</v>
      </c>
      <c r="K1097">
        <v>1</v>
      </c>
      <c r="L1097" t="str">
        <f>VLOOKUP(D1097,Products!A:E,2,FALSE)</f>
        <v>Office Chair</v>
      </c>
      <c r="M1097" t="str">
        <f>VLOOKUP(D1097,Products!A:E,3,FALSE)</f>
        <v>Furniture</v>
      </c>
      <c r="N1097">
        <f>VLOOKUP(D1097,Products!A:E,4,FALSE)</f>
        <v>255</v>
      </c>
      <c r="O1097" s="13">
        <f>VLOOKUP(D1097,Products!A:E,5,FALSE)</f>
        <v>145</v>
      </c>
      <c r="P1097" s="13" t="str">
        <f>VLOOKUP(C1097,Customers!A:C,3,FALSE)</f>
        <v>Corporate</v>
      </c>
      <c r="Q1097" s="13">
        <f t="shared" si="68"/>
        <v>204</v>
      </c>
      <c r="R1097" s="13">
        <f t="shared" si="69"/>
        <v>145</v>
      </c>
      <c r="S1097" s="13">
        <f t="shared" si="70"/>
        <v>59</v>
      </c>
      <c r="T1097" s="14">
        <f t="shared" si="71"/>
        <v>0.28921568627450983</v>
      </c>
    </row>
    <row r="1098" spans="1:20">
      <c r="A1098" t="s">
        <v>1802</v>
      </c>
      <c r="B1098" s="8">
        <v>46159</v>
      </c>
      <c r="C1098" t="s">
        <v>449</v>
      </c>
      <c r="D1098" t="s">
        <v>70</v>
      </c>
      <c r="E1098" t="s">
        <v>708</v>
      </c>
      <c r="F1098" t="s">
        <v>698</v>
      </c>
      <c r="G1098">
        <v>2</v>
      </c>
      <c r="H1098" s="9">
        <v>0.05</v>
      </c>
      <c r="I1098" t="s">
        <v>699</v>
      </c>
      <c r="J1098">
        <v>1</v>
      </c>
      <c r="K1098">
        <v>9</v>
      </c>
      <c r="L1098" t="str">
        <f>VLOOKUP(D1098,Products!A:E,2,FALSE)</f>
        <v>USB-C Hub</v>
      </c>
      <c r="M1098" t="str">
        <f>VLOOKUP(D1098,Products!A:E,3,FALSE)</f>
        <v>Accessories</v>
      </c>
      <c r="N1098">
        <f>VLOOKUP(D1098,Products!A:E,4,FALSE)</f>
        <v>68</v>
      </c>
      <c r="O1098" s="13">
        <f>VLOOKUP(D1098,Products!A:E,5,FALSE)</f>
        <v>31</v>
      </c>
      <c r="P1098" s="13" t="str">
        <f>VLOOKUP(C1098,Customers!A:C,3,FALSE)</f>
        <v>Corporate</v>
      </c>
      <c r="Q1098" s="13">
        <f t="shared" si="68"/>
        <v>129.19999999999999</v>
      </c>
      <c r="R1098" s="13">
        <f t="shared" si="69"/>
        <v>62</v>
      </c>
      <c r="S1098" s="13">
        <f t="shared" si="70"/>
        <v>67.199999999999989</v>
      </c>
      <c r="T1098" s="14">
        <f t="shared" si="71"/>
        <v>0.52012383900928794</v>
      </c>
    </row>
    <row r="1099" spans="1:20">
      <c r="A1099" t="s">
        <v>1803</v>
      </c>
      <c r="B1099" s="8">
        <v>45817</v>
      </c>
      <c r="C1099" t="s">
        <v>637</v>
      </c>
      <c r="D1099" t="s">
        <v>58</v>
      </c>
      <c r="E1099" t="s">
        <v>697</v>
      </c>
      <c r="F1099" t="s">
        <v>702</v>
      </c>
      <c r="G1099">
        <v>3</v>
      </c>
      <c r="H1099" s="9">
        <v>0.1</v>
      </c>
      <c r="I1099" t="s">
        <v>699</v>
      </c>
      <c r="J1099">
        <v>4</v>
      </c>
      <c r="K1099">
        <v>5</v>
      </c>
      <c r="L1099" t="str">
        <f>VLOOKUP(D1099,Products!A:E,2,FALSE)</f>
        <v>Standing Desk</v>
      </c>
      <c r="M1099" t="str">
        <f>VLOOKUP(D1099,Products!A:E,3,FALSE)</f>
        <v>Furniture</v>
      </c>
      <c r="N1099">
        <f>VLOOKUP(D1099,Products!A:E,4,FALSE)</f>
        <v>540</v>
      </c>
      <c r="O1099" s="13">
        <f>VLOOKUP(D1099,Products!A:E,5,FALSE)</f>
        <v>320</v>
      </c>
      <c r="P1099" s="13" t="str">
        <f>VLOOKUP(C1099,Customers!A:C,3,FALSE)</f>
        <v>Consumer</v>
      </c>
      <c r="Q1099" s="13">
        <f t="shared" si="68"/>
        <v>1458</v>
      </c>
      <c r="R1099" s="13">
        <f t="shared" si="69"/>
        <v>960</v>
      </c>
      <c r="S1099" s="13">
        <f t="shared" si="70"/>
        <v>498</v>
      </c>
      <c r="T1099" s="14">
        <f t="shared" si="71"/>
        <v>0.34156378600823045</v>
      </c>
    </row>
    <row r="1100" spans="1:20">
      <c r="A1100" t="s">
        <v>1804</v>
      </c>
      <c r="B1100" s="8">
        <v>46222</v>
      </c>
      <c r="C1100" t="s">
        <v>361</v>
      </c>
      <c r="D1100" t="s">
        <v>50</v>
      </c>
      <c r="E1100" t="s">
        <v>715</v>
      </c>
      <c r="F1100" t="s">
        <v>702</v>
      </c>
      <c r="G1100">
        <v>1</v>
      </c>
      <c r="H1100" s="9">
        <v>0</v>
      </c>
      <c r="I1100" t="s">
        <v>703</v>
      </c>
      <c r="J1100">
        <v>4</v>
      </c>
      <c r="K1100">
        <v>6</v>
      </c>
      <c r="L1100" t="str">
        <f>VLOOKUP(D1100,Products!A:E,2,FALSE)</f>
        <v>Keyboard</v>
      </c>
      <c r="M1100" t="str">
        <f>VLOOKUP(D1100,Products!A:E,3,FALSE)</f>
        <v>Technology</v>
      </c>
      <c r="N1100">
        <f>VLOOKUP(D1100,Products!A:E,4,FALSE)</f>
        <v>75</v>
      </c>
      <c r="O1100" s="13">
        <f>VLOOKUP(D1100,Products!A:E,5,FALSE)</f>
        <v>38</v>
      </c>
      <c r="P1100" s="13" t="str">
        <f>VLOOKUP(C1100,Customers!A:C,3,FALSE)</f>
        <v>Corporate</v>
      </c>
      <c r="Q1100" s="13">
        <f t="shared" si="68"/>
        <v>75</v>
      </c>
      <c r="R1100" s="13">
        <f t="shared" si="69"/>
        <v>38</v>
      </c>
      <c r="S1100" s="13">
        <f t="shared" si="70"/>
        <v>37</v>
      </c>
      <c r="T1100" s="14">
        <f t="shared" si="71"/>
        <v>0.49333333333333335</v>
      </c>
    </row>
    <row r="1101" spans="1:20">
      <c r="A1101" t="s">
        <v>1805</v>
      </c>
      <c r="B1101" s="8">
        <v>45801</v>
      </c>
      <c r="C1101" t="s">
        <v>565</v>
      </c>
      <c r="D1101" t="s">
        <v>68</v>
      </c>
      <c r="E1101" t="s">
        <v>708</v>
      </c>
      <c r="F1101" t="s">
        <v>702</v>
      </c>
      <c r="G1101">
        <v>3</v>
      </c>
      <c r="H1101" s="9">
        <v>0</v>
      </c>
      <c r="I1101" t="s">
        <v>699</v>
      </c>
      <c r="J1101">
        <v>5</v>
      </c>
      <c r="K1101">
        <v>1</v>
      </c>
      <c r="L1101" t="str">
        <f>VLOOKUP(D1101,Products!A:E,2,FALSE)</f>
        <v>Backpack</v>
      </c>
      <c r="M1101" t="str">
        <f>VLOOKUP(D1101,Products!A:E,3,FALSE)</f>
        <v>Accessories</v>
      </c>
      <c r="N1101">
        <f>VLOOKUP(D1101,Products!A:E,4,FALSE)</f>
        <v>85</v>
      </c>
      <c r="O1101" s="13">
        <f>VLOOKUP(D1101,Products!A:E,5,FALSE)</f>
        <v>39</v>
      </c>
      <c r="P1101" s="13" t="str">
        <f>VLOOKUP(C1101,Customers!A:C,3,FALSE)</f>
        <v>Corporate</v>
      </c>
      <c r="Q1101" s="13">
        <f t="shared" si="68"/>
        <v>255</v>
      </c>
      <c r="R1101" s="13">
        <f t="shared" si="69"/>
        <v>117</v>
      </c>
      <c r="S1101" s="13">
        <f t="shared" si="70"/>
        <v>138</v>
      </c>
      <c r="T1101" s="14">
        <f t="shared" si="71"/>
        <v>0.54117647058823526</v>
      </c>
    </row>
    <row r="1102" spans="1:20">
      <c r="A1102" t="s">
        <v>1806</v>
      </c>
      <c r="B1102" s="8">
        <v>45820</v>
      </c>
      <c r="C1102" t="s">
        <v>517</v>
      </c>
      <c r="D1102" t="s">
        <v>79</v>
      </c>
      <c r="E1102" t="s">
        <v>708</v>
      </c>
      <c r="F1102" t="s">
        <v>698</v>
      </c>
      <c r="G1102">
        <v>1</v>
      </c>
      <c r="H1102" s="9">
        <v>0.15</v>
      </c>
      <c r="I1102" t="s">
        <v>699</v>
      </c>
      <c r="J1102">
        <v>4</v>
      </c>
      <c r="K1102">
        <v>2</v>
      </c>
      <c r="L1102" t="str">
        <f>VLOOKUP(D1102,Products!A:E,2,FALSE)</f>
        <v>Desk Organiser</v>
      </c>
      <c r="M1102" t="str">
        <f>VLOOKUP(D1102,Products!A:E,3,FALSE)</f>
        <v>Office Supplies</v>
      </c>
      <c r="N1102">
        <f>VLOOKUP(D1102,Products!A:E,4,FALSE)</f>
        <v>28</v>
      </c>
      <c r="O1102" s="13">
        <f>VLOOKUP(D1102,Products!A:E,5,FALSE)</f>
        <v>12</v>
      </c>
      <c r="P1102" s="13" t="str">
        <f>VLOOKUP(C1102,Customers!A:C,3,FALSE)</f>
        <v>Small Business</v>
      </c>
      <c r="Q1102" s="13">
        <f t="shared" si="68"/>
        <v>23.8</v>
      </c>
      <c r="R1102" s="13">
        <f t="shared" si="69"/>
        <v>12</v>
      </c>
      <c r="S1102" s="13">
        <f t="shared" si="70"/>
        <v>11.8</v>
      </c>
      <c r="T1102" s="14">
        <f t="shared" si="71"/>
        <v>0.49579831932773111</v>
      </c>
    </row>
    <row r="1103" spans="1:20">
      <c r="A1103" t="s">
        <v>1807</v>
      </c>
      <c r="B1103" s="8">
        <v>45680</v>
      </c>
      <c r="C1103" t="s">
        <v>535</v>
      </c>
      <c r="D1103" t="s">
        <v>77</v>
      </c>
      <c r="E1103" t="s">
        <v>715</v>
      </c>
      <c r="F1103" t="s">
        <v>698</v>
      </c>
      <c r="G1103">
        <v>4</v>
      </c>
      <c r="H1103" s="9">
        <v>0.05</v>
      </c>
      <c r="I1103" t="s">
        <v>699</v>
      </c>
      <c r="J1103">
        <v>5</v>
      </c>
      <c r="K1103">
        <v>5</v>
      </c>
      <c r="L1103" t="str">
        <f>VLOOKUP(D1103,Products!A:E,2,FALSE)</f>
        <v>File Folder Pack</v>
      </c>
      <c r="M1103" t="str">
        <f>VLOOKUP(D1103,Products!A:E,3,FALSE)</f>
        <v>Office Supplies</v>
      </c>
      <c r="N1103">
        <f>VLOOKUP(D1103,Products!A:E,4,FALSE)</f>
        <v>23</v>
      </c>
      <c r="O1103" s="13">
        <f>VLOOKUP(D1103,Products!A:E,5,FALSE)</f>
        <v>10</v>
      </c>
      <c r="P1103" s="13" t="str">
        <f>VLOOKUP(C1103,Customers!A:C,3,FALSE)</f>
        <v>Consumer</v>
      </c>
      <c r="Q1103" s="13">
        <f t="shared" si="68"/>
        <v>87.399999999999991</v>
      </c>
      <c r="R1103" s="13">
        <f t="shared" si="69"/>
        <v>40</v>
      </c>
      <c r="S1103" s="13">
        <f t="shared" si="70"/>
        <v>47.399999999999991</v>
      </c>
      <c r="T1103" s="14">
        <f t="shared" si="71"/>
        <v>0.54233409610983974</v>
      </c>
    </row>
    <row r="1104" spans="1:20">
      <c r="A1104" t="s">
        <v>1808</v>
      </c>
      <c r="B1104" s="8">
        <v>46003</v>
      </c>
      <c r="C1104" t="s">
        <v>581</v>
      </c>
      <c r="D1104" t="s">
        <v>72</v>
      </c>
      <c r="E1104" t="s">
        <v>708</v>
      </c>
      <c r="F1104" t="s">
        <v>706</v>
      </c>
      <c r="G1104">
        <v>5</v>
      </c>
      <c r="H1104" s="9">
        <v>0.1</v>
      </c>
      <c r="I1104" t="s">
        <v>699</v>
      </c>
      <c r="J1104">
        <v>4</v>
      </c>
      <c r="K1104">
        <v>4</v>
      </c>
      <c r="L1104" t="str">
        <f>VLOOKUP(D1104,Products!A:E,2,FALSE)</f>
        <v>Phone Charger</v>
      </c>
      <c r="M1104" t="str">
        <f>VLOOKUP(D1104,Products!A:E,3,FALSE)</f>
        <v>Accessories</v>
      </c>
      <c r="N1104">
        <f>VLOOKUP(D1104,Products!A:E,4,FALSE)</f>
        <v>32</v>
      </c>
      <c r="O1104" s="13">
        <f>VLOOKUP(D1104,Products!A:E,5,FALSE)</f>
        <v>13</v>
      </c>
      <c r="P1104" s="13" t="str">
        <f>VLOOKUP(C1104,Customers!A:C,3,FALSE)</f>
        <v>Consumer</v>
      </c>
      <c r="Q1104" s="13">
        <f t="shared" si="68"/>
        <v>144</v>
      </c>
      <c r="R1104" s="13">
        <f t="shared" si="69"/>
        <v>65</v>
      </c>
      <c r="S1104" s="13">
        <f t="shared" si="70"/>
        <v>79</v>
      </c>
      <c r="T1104" s="14">
        <f t="shared" si="71"/>
        <v>0.54861111111111116</v>
      </c>
    </row>
    <row r="1105" spans="1:20">
      <c r="A1105" t="s">
        <v>1809</v>
      </c>
      <c r="B1105" s="8">
        <v>46094</v>
      </c>
      <c r="C1105" t="s">
        <v>361</v>
      </c>
      <c r="D1105" t="s">
        <v>72</v>
      </c>
      <c r="E1105" t="s">
        <v>715</v>
      </c>
      <c r="F1105" t="s">
        <v>702</v>
      </c>
      <c r="G1105">
        <v>1</v>
      </c>
      <c r="H1105" s="9">
        <v>0</v>
      </c>
      <c r="I1105" t="s">
        <v>699</v>
      </c>
      <c r="J1105">
        <v>5</v>
      </c>
      <c r="K1105">
        <v>5</v>
      </c>
      <c r="L1105" t="str">
        <f>VLOOKUP(D1105,Products!A:E,2,FALSE)</f>
        <v>Phone Charger</v>
      </c>
      <c r="M1105" t="str">
        <f>VLOOKUP(D1105,Products!A:E,3,FALSE)</f>
        <v>Accessories</v>
      </c>
      <c r="N1105">
        <f>VLOOKUP(D1105,Products!A:E,4,FALSE)</f>
        <v>32</v>
      </c>
      <c r="O1105" s="13">
        <f>VLOOKUP(D1105,Products!A:E,5,FALSE)</f>
        <v>13</v>
      </c>
      <c r="P1105" s="13" t="str">
        <f>VLOOKUP(C1105,Customers!A:C,3,FALSE)</f>
        <v>Corporate</v>
      </c>
      <c r="Q1105" s="13">
        <f t="shared" si="68"/>
        <v>32</v>
      </c>
      <c r="R1105" s="13">
        <f t="shared" si="69"/>
        <v>13</v>
      </c>
      <c r="S1105" s="13">
        <f t="shared" si="70"/>
        <v>19</v>
      </c>
      <c r="T1105" s="14">
        <f t="shared" si="71"/>
        <v>0.59375</v>
      </c>
    </row>
    <row r="1106" spans="1:20">
      <c r="A1106" t="s">
        <v>1810</v>
      </c>
      <c r="B1106" s="8">
        <v>45861</v>
      </c>
      <c r="C1106" t="s">
        <v>667</v>
      </c>
      <c r="D1106" t="s">
        <v>54</v>
      </c>
      <c r="E1106" t="s">
        <v>705</v>
      </c>
      <c r="F1106" t="s">
        <v>702</v>
      </c>
      <c r="G1106">
        <v>7</v>
      </c>
      <c r="H1106" s="9">
        <v>0.2</v>
      </c>
      <c r="I1106" t="s">
        <v>699</v>
      </c>
      <c r="J1106">
        <v>5</v>
      </c>
      <c r="K1106">
        <v>3</v>
      </c>
      <c r="L1106" t="str">
        <f>VLOOKUP(D1106,Products!A:E,2,FALSE)</f>
        <v>Webcam</v>
      </c>
      <c r="M1106" t="str">
        <f>VLOOKUP(D1106,Products!A:E,3,FALSE)</f>
        <v>Technology</v>
      </c>
      <c r="N1106">
        <f>VLOOKUP(D1106,Products!A:E,4,FALSE)</f>
        <v>115</v>
      </c>
      <c r="O1106" s="13">
        <f>VLOOKUP(D1106,Products!A:E,5,FALSE)</f>
        <v>58</v>
      </c>
      <c r="P1106" s="13" t="str">
        <f>VLOOKUP(C1106,Customers!A:C,3,FALSE)</f>
        <v>Consumer</v>
      </c>
      <c r="Q1106" s="13">
        <f t="shared" si="68"/>
        <v>644</v>
      </c>
      <c r="R1106" s="13">
        <f t="shared" si="69"/>
        <v>406</v>
      </c>
      <c r="S1106" s="13">
        <f t="shared" si="70"/>
        <v>238</v>
      </c>
      <c r="T1106" s="14">
        <f t="shared" si="71"/>
        <v>0.36956521739130432</v>
      </c>
    </row>
    <row r="1107" spans="1:20">
      <c r="A1107" t="s">
        <v>1811</v>
      </c>
      <c r="B1107" s="8">
        <v>46127</v>
      </c>
      <c r="C1107" t="s">
        <v>491</v>
      </c>
      <c r="D1107" t="s">
        <v>56</v>
      </c>
      <c r="E1107" t="s">
        <v>715</v>
      </c>
      <c r="F1107" t="s">
        <v>698</v>
      </c>
      <c r="G1107">
        <v>1</v>
      </c>
      <c r="H1107" s="9">
        <v>0</v>
      </c>
      <c r="I1107" t="s">
        <v>699</v>
      </c>
      <c r="J1107">
        <v>3</v>
      </c>
      <c r="K1107">
        <v>2</v>
      </c>
      <c r="L1107" t="str">
        <f>VLOOKUP(D1107,Products!A:E,2,FALSE)</f>
        <v>Headset</v>
      </c>
      <c r="M1107" t="str">
        <f>VLOOKUP(D1107,Products!A:E,3,FALSE)</f>
        <v>Technology</v>
      </c>
      <c r="N1107">
        <f>VLOOKUP(D1107,Products!A:E,4,FALSE)</f>
        <v>98</v>
      </c>
      <c r="O1107" s="13">
        <f>VLOOKUP(D1107,Products!A:E,5,FALSE)</f>
        <v>46</v>
      </c>
      <c r="P1107" s="13" t="str">
        <f>VLOOKUP(C1107,Customers!A:C,3,FALSE)</f>
        <v>Small Business</v>
      </c>
      <c r="Q1107" s="13">
        <f t="shared" si="68"/>
        <v>98</v>
      </c>
      <c r="R1107" s="13">
        <f t="shared" si="69"/>
        <v>46</v>
      </c>
      <c r="S1107" s="13">
        <f t="shared" si="70"/>
        <v>52</v>
      </c>
      <c r="T1107" s="14">
        <f t="shared" si="71"/>
        <v>0.53061224489795922</v>
      </c>
    </row>
    <row r="1108" spans="1:20">
      <c r="A1108" t="s">
        <v>1812</v>
      </c>
      <c r="B1108" s="8">
        <v>46105</v>
      </c>
      <c r="C1108" t="s">
        <v>179</v>
      </c>
      <c r="D1108" t="s">
        <v>61</v>
      </c>
      <c r="E1108" t="s">
        <v>705</v>
      </c>
      <c r="F1108" t="s">
        <v>698</v>
      </c>
      <c r="G1108">
        <v>4</v>
      </c>
      <c r="H1108" s="9">
        <v>0</v>
      </c>
      <c r="I1108" t="s">
        <v>699</v>
      </c>
      <c r="J1108">
        <v>2</v>
      </c>
      <c r="K1108">
        <v>9</v>
      </c>
      <c r="L1108" t="str">
        <f>VLOOKUP(D1108,Products!A:E,2,FALSE)</f>
        <v>Office Chair</v>
      </c>
      <c r="M1108" t="str">
        <f>VLOOKUP(D1108,Products!A:E,3,FALSE)</f>
        <v>Furniture</v>
      </c>
      <c r="N1108">
        <f>VLOOKUP(D1108,Products!A:E,4,FALSE)</f>
        <v>255</v>
      </c>
      <c r="O1108" s="13">
        <f>VLOOKUP(D1108,Products!A:E,5,FALSE)</f>
        <v>145</v>
      </c>
      <c r="P1108" s="13" t="str">
        <f>VLOOKUP(C1108,Customers!A:C,3,FALSE)</f>
        <v>Consumer</v>
      </c>
      <c r="Q1108" s="13">
        <f t="shared" si="68"/>
        <v>1020</v>
      </c>
      <c r="R1108" s="13">
        <f t="shared" si="69"/>
        <v>580</v>
      </c>
      <c r="S1108" s="13">
        <f t="shared" si="70"/>
        <v>440</v>
      </c>
      <c r="T1108" s="14">
        <f t="shared" si="71"/>
        <v>0.43137254901960786</v>
      </c>
    </row>
    <row r="1109" spans="1:20">
      <c r="A1109" t="s">
        <v>1813</v>
      </c>
      <c r="B1109" s="8">
        <v>45875</v>
      </c>
      <c r="C1109" t="s">
        <v>569</v>
      </c>
      <c r="D1109" t="s">
        <v>72</v>
      </c>
      <c r="E1109" t="s">
        <v>697</v>
      </c>
      <c r="F1109" t="s">
        <v>698</v>
      </c>
      <c r="G1109">
        <v>4</v>
      </c>
      <c r="H1109" s="9">
        <v>0</v>
      </c>
      <c r="I1109" t="s">
        <v>699</v>
      </c>
      <c r="J1109">
        <v>5</v>
      </c>
      <c r="K1109">
        <v>2</v>
      </c>
      <c r="L1109" t="str">
        <f>VLOOKUP(D1109,Products!A:E,2,FALSE)</f>
        <v>Phone Charger</v>
      </c>
      <c r="M1109" t="str">
        <f>VLOOKUP(D1109,Products!A:E,3,FALSE)</f>
        <v>Accessories</v>
      </c>
      <c r="N1109">
        <f>VLOOKUP(D1109,Products!A:E,4,FALSE)</f>
        <v>32</v>
      </c>
      <c r="O1109" s="13">
        <f>VLOOKUP(D1109,Products!A:E,5,FALSE)</f>
        <v>13</v>
      </c>
      <c r="P1109" s="13" t="str">
        <f>VLOOKUP(C1109,Customers!A:C,3,FALSE)</f>
        <v>Corporate</v>
      </c>
      <c r="Q1109" s="13">
        <f t="shared" si="68"/>
        <v>128</v>
      </c>
      <c r="R1109" s="13">
        <f t="shared" si="69"/>
        <v>52</v>
      </c>
      <c r="S1109" s="13">
        <f t="shared" si="70"/>
        <v>76</v>
      </c>
      <c r="T1109" s="14">
        <f t="shared" si="71"/>
        <v>0.59375</v>
      </c>
    </row>
    <row r="1110" spans="1:20">
      <c r="A1110" t="s">
        <v>1814</v>
      </c>
      <c r="B1110" s="8">
        <v>46067</v>
      </c>
      <c r="C1110" t="s">
        <v>421</v>
      </c>
      <c r="D1110" t="s">
        <v>65</v>
      </c>
      <c r="E1110" t="s">
        <v>697</v>
      </c>
      <c r="F1110" t="s">
        <v>698</v>
      </c>
      <c r="G1110">
        <v>2</v>
      </c>
      <c r="H1110" s="9">
        <v>0</v>
      </c>
      <c r="I1110" t="s">
        <v>699</v>
      </c>
      <c r="J1110">
        <v>4</v>
      </c>
      <c r="K1110">
        <v>5</v>
      </c>
      <c r="L1110" t="str">
        <f>VLOOKUP(D1110,Products!A:E,2,FALSE)</f>
        <v>Laptop Stand</v>
      </c>
      <c r="M1110" t="str">
        <f>VLOOKUP(D1110,Products!A:E,3,FALSE)</f>
        <v>Accessories</v>
      </c>
      <c r="N1110">
        <f>VLOOKUP(D1110,Products!A:E,4,FALSE)</f>
        <v>48</v>
      </c>
      <c r="O1110" s="13">
        <f>VLOOKUP(D1110,Products!A:E,5,FALSE)</f>
        <v>22</v>
      </c>
      <c r="P1110" s="13" t="str">
        <f>VLOOKUP(C1110,Customers!A:C,3,FALSE)</f>
        <v>Corporate</v>
      </c>
      <c r="Q1110" s="13">
        <f t="shared" si="68"/>
        <v>96</v>
      </c>
      <c r="R1110" s="13">
        <f t="shared" si="69"/>
        <v>44</v>
      </c>
      <c r="S1110" s="13">
        <f t="shared" si="70"/>
        <v>52</v>
      </c>
      <c r="T1110" s="14">
        <f t="shared" si="71"/>
        <v>0.54166666666666663</v>
      </c>
    </row>
    <row r="1111" spans="1:20">
      <c r="A1111" t="s">
        <v>1815</v>
      </c>
      <c r="B1111" s="8">
        <v>45685</v>
      </c>
      <c r="C1111" t="s">
        <v>313</v>
      </c>
      <c r="D1111" t="s">
        <v>56</v>
      </c>
      <c r="E1111" t="s">
        <v>701</v>
      </c>
      <c r="F1111" t="s">
        <v>702</v>
      </c>
      <c r="G1111">
        <v>2</v>
      </c>
      <c r="H1111" s="9">
        <v>0.1</v>
      </c>
      <c r="I1111" t="s">
        <v>699</v>
      </c>
      <c r="J1111">
        <v>5</v>
      </c>
      <c r="K1111">
        <v>1</v>
      </c>
      <c r="L1111" t="str">
        <f>VLOOKUP(D1111,Products!A:E,2,FALSE)</f>
        <v>Headset</v>
      </c>
      <c r="M1111" t="str">
        <f>VLOOKUP(D1111,Products!A:E,3,FALSE)</f>
        <v>Technology</v>
      </c>
      <c r="N1111">
        <f>VLOOKUP(D1111,Products!A:E,4,FALSE)</f>
        <v>98</v>
      </c>
      <c r="O1111" s="13">
        <f>VLOOKUP(D1111,Products!A:E,5,FALSE)</f>
        <v>46</v>
      </c>
      <c r="P1111" s="13" t="str">
        <f>VLOOKUP(C1111,Customers!A:C,3,FALSE)</f>
        <v>Consumer</v>
      </c>
      <c r="Q1111" s="13">
        <f t="shared" si="68"/>
        <v>176.4</v>
      </c>
      <c r="R1111" s="13">
        <f t="shared" si="69"/>
        <v>92</v>
      </c>
      <c r="S1111" s="13">
        <f t="shared" si="70"/>
        <v>84.4</v>
      </c>
      <c r="T1111" s="14">
        <f t="shared" si="71"/>
        <v>0.47845804988662133</v>
      </c>
    </row>
    <row r="1112" spans="1:20">
      <c r="A1112" t="s">
        <v>1816</v>
      </c>
      <c r="B1112" s="8">
        <v>45893</v>
      </c>
      <c r="C1112" t="s">
        <v>227</v>
      </c>
      <c r="D1112" t="s">
        <v>79</v>
      </c>
      <c r="E1112" t="s">
        <v>705</v>
      </c>
      <c r="F1112" t="s">
        <v>702</v>
      </c>
      <c r="G1112">
        <v>2</v>
      </c>
      <c r="H1112" s="9">
        <v>0</v>
      </c>
      <c r="I1112" t="s">
        <v>699</v>
      </c>
      <c r="J1112">
        <v>4</v>
      </c>
      <c r="K1112">
        <v>3</v>
      </c>
      <c r="L1112" t="str">
        <f>VLOOKUP(D1112,Products!A:E,2,FALSE)</f>
        <v>Desk Organiser</v>
      </c>
      <c r="M1112" t="str">
        <f>VLOOKUP(D1112,Products!A:E,3,FALSE)</f>
        <v>Office Supplies</v>
      </c>
      <c r="N1112">
        <f>VLOOKUP(D1112,Products!A:E,4,FALSE)</f>
        <v>28</v>
      </c>
      <c r="O1112" s="13">
        <f>VLOOKUP(D1112,Products!A:E,5,FALSE)</f>
        <v>12</v>
      </c>
      <c r="P1112" s="13" t="str">
        <f>VLOOKUP(C1112,Customers!A:C,3,FALSE)</f>
        <v>Consumer</v>
      </c>
      <c r="Q1112" s="13">
        <f t="shared" si="68"/>
        <v>56</v>
      </c>
      <c r="R1112" s="13">
        <f t="shared" si="69"/>
        <v>24</v>
      </c>
      <c r="S1112" s="13">
        <f t="shared" si="70"/>
        <v>32</v>
      </c>
      <c r="T1112" s="14">
        <f t="shared" si="71"/>
        <v>0.5714285714285714</v>
      </c>
    </row>
    <row r="1113" spans="1:20">
      <c r="A1113" t="s">
        <v>1817</v>
      </c>
      <c r="B1113" s="8">
        <v>45976</v>
      </c>
      <c r="C1113" t="s">
        <v>483</v>
      </c>
      <c r="D1113" t="s">
        <v>79</v>
      </c>
      <c r="E1113" t="s">
        <v>705</v>
      </c>
      <c r="F1113" t="s">
        <v>706</v>
      </c>
      <c r="G1113">
        <v>2</v>
      </c>
      <c r="H1113" s="9">
        <v>0</v>
      </c>
      <c r="I1113" t="s">
        <v>699</v>
      </c>
      <c r="J1113">
        <v>5</v>
      </c>
      <c r="K1113">
        <v>4</v>
      </c>
      <c r="L1113" t="str">
        <f>VLOOKUP(D1113,Products!A:E,2,FALSE)</f>
        <v>Desk Organiser</v>
      </c>
      <c r="M1113" t="str">
        <f>VLOOKUP(D1113,Products!A:E,3,FALSE)</f>
        <v>Office Supplies</v>
      </c>
      <c r="N1113">
        <f>VLOOKUP(D1113,Products!A:E,4,FALSE)</f>
        <v>28</v>
      </c>
      <c r="O1113" s="13">
        <f>VLOOKUP(D1113,Products!A:E,5,FALSE)</f>
        <v>12</v>
      </c>
      <c r="P1113" s="13" t="str">
        <f>VLOOKUP(C1113,Customers!A:C,3,FALSE)</f>
        <v>Small Business</v>
      </c>
      <c r="Q1113" s="13">
        <f t="shared" si="68"/>
        <v>56</v>
      </c>
      <c r="R1113" s="13">
        <f t="shared" si="69"/>
        <v>24</v>
      </c>
      <c r="S1113" s="13">
        <f t="shared" si="70"/>
        <v>32</v>
      </c>
      <c r="T1113" s="14">
        <f t="shared" si="71"/>
        <v>0.5714285714285714</v>
      </c>
    </row>
    <row r="1114" spans="1:20">
      <c r="A1114" t="s">
        <v>1818</v>
      </c>
      <c r="B1114" s="8">
        <v>45742</v>
      </c>
      <c r="C1114" t="s">
        <v>441</v>
      </c>
      <c r="D1114" t="s">
        <v>52</v>
      </c>
      <c r="E1114" t="s">
        <v>701</v>
      </c>
      <c r="F1114" t="s">
        <v>702</v>
      </c>
      <c r="G1114">
        <v>4</v>
      </c>
      <c r="H1114" s="9">
        <v>0</v>
      </c>
      <c r="I1114" t="s">
        <v>699</v>
      </c>
      <c r="J1114">
        <v>4</v>
      </c>
      <c r="K1114">
        <v>4</v>
      </c>
      <c r="L1114" t="str">
        <f>VLOOKUP(D1114,Products!A:E,2,FALSE)</f>
        <v>Mouse</v>
      </c>
      <c r="M1114" t="str">
        <f>VLOOKUP(D1114,Products!A:E,3,FALSE)</f>
        <v>Technology</v>
      </c>
      <c r="N1114">
        <f>VLOOKUP(D1114,Products!A:E,4,FALSE)</f>
        <v>42</v>
      </c>
      <c r="O1114" s="13">
        <f>VLOOKUP(D1114,Products!A:E,5,FALSE)</f>
        <v>19</v>
      </c>
      <c r="P1114" s="13" t="str">
        <f>VLOOKUP(C1114,Customers!A:C,3,FALSE)</f>
        <v>Consumer</v>
      </c>
      <c r="Q1114" s="13">
        <f t="shared" si="68"/>
        <v>168</v>
      </c>
      <c r="R1114" s="13">
        <f t="shared" si="69"/>
        <v>76</v>
      </c>
      <c r="S1114" s="13">
        <f t="shared" si="70"/>
        <v>92</v>
      </c>
      <c r="T1114" s="14">
        <f t="shared" si="71"/>
        <v>0.54761904761904767</v>
      </c>
    </row>
    <row r="1115" spans="1:20">
      <c r="A1115" t="s">
        <v>1819</v>
      </c>
      <c r="B1115" s="8">
        <v>45669</v>
      </c>
      <c r="C1115" t="s">
        <v>583</v>
      </c>
      <c r="D1115" t="s">
        <v>72</v>
      </c>
      <c r="E1115" t="s">
        <v>715</v>
      </c>
      <c r="F1115" t="s">
        <v>702</v>
      </c>
      <c r="G1115">
        <v>2</v>
      </c>
      <c r="H1115" s="9">
        <v>0.1</v>
      </c>
      <c r="I1115" t="s">
        <v>699</v>
      </c>
      <c r="J1115">
        <v>5</v>
      </c>
      <c r="K1115">
        <v>4</v>
      </c>
      <c r="L1115" t="str">
        <f>VLOOKUP(D1115,Products!A:E,2,FALSE)</f>
        <v>Phone Charger</v>
      </c>
      <c r="M1115" t="str">
        <f>VLOOKUP(D1115,Products!A:E,3,FALSE)</f>
        <v>Accessories</v>
      </c>
      <c r="N1115">
        <f>VLOOKUP(D1115,Products!A:E,4,FALSE)</f>
        <v>32</v>
      </c>
      <c r="O1115" s="13">
        <f>VLOOKUP(D1115,Products!A:E,5,FALSE)</f>
        <v>13</v>
      </c>
      <c r="P1115" s="13" t="str">
        <f>VLOOKUP(C1115,Customers!A:C,3,FALSE)</f>
        <v>Corporate</v>
      </c>
      <c r="Q1115" s="13">
        <f t="shared" si="68"/>
        <v>57.6</v>
      </c>
      <c r="R1115" s="13">
        <f t="shared" si="69"/>
        <v>26</v>
      </c>
      <c r="S1115" s="13">
        <f t="shared" si="70"/>
        <v>31.6</v>
      </c>
      <c r="T1115" s="14">
        <f t="shared" si="71"/>
        <v>0.54861111111111116</v>
      </c>
    </row>
    <row r="1116" spans="1:20">
      <c r="A1116" t="s">
        <v>1820</v>
      </c>
      <c r="B1116" s="8">
        <v>46172</v>
      </c>
      <c r="C1116" t="s">
        <v>467</v>
      </c>
      <c r="D1116" t="s">
        <v>79</v>
      </c>
      <c r="E1116" t="s">
        <v>701</v>
      </c>
      <c r="F1116" t="s">
        <v>706</v>
      </c>
      <c r="G1116">
        <v>8</v>
      </c>
      <c r="H1116" s="9">
        <v>0</v>
      </c>
      <c r="I1116" t="s">
        <v>699</v>
      </c>
      <c r="J1116">
        <v>4</v>
      </c>
      <c r="K1116">
        <v>4</v>
      </c>
      <c r="L1116" t="str">
        <f>VLOOKUP(D1116,Products!A:E,2,FALSE)</f>
        <v>Desk Organiser</v>
      </c>
      <c r="M1116" t="str">
        <f>VLOOKUP(D1116,Products!A:E,3,FALSE)</f>
        <v>Office Supplies</v>
      </c>
      <c r="N1116">
        <f>VLOOKUP(D1116,Products!A:E,4,FALSE)</f>
        <v>28</v>
      </c>
      <c r="O1116" s="13">
        <f>VLOOKUP(D1116,Products!A:E,5,FALSE)</f>
        <v>12</v>
      </c>
      <c r="P1116" s="13" t="str">
        <f>VLOOKUP(C1116,Customers!A:C,3,FALSE)</f>
        <v>Consumer</v>
      </c>
      <c r="Q1116" s="13">
        <f t="shared" si="68"/>
        <v>224</v>
      </c>
      <c r="R1116" s="13">
        <f t="shared" si="69"/>
        <v>96</v>
      </c>
      <c r="S1116" s="13">
        <f t="shared" si="70"/>
        <v>128</v>
      </c>
      <c r="T1116" s="14">
        <f t="shared" si="71"/>
        <v>0.5714285714285714</v>
      </c>
    </row>
    <row r="1117" spans="1:20">
      <c r="A1117" t="s">
        <v>1821</v>
      </c>
      <c r="B1117" s="8">
        <v>45739</v>
      </c>
      <c r="C1117" t="s">
        <v>239</v>
      </c>
      <c r="D1117" t="s">
        <v>45</v>
      </c>
      <c r="E1117" t="s">
        <v>708</v>
      </c>
      <c r="F1117" t="s">
        <v>706</v>
      </c>
      <c r="G1117">
        <v>3</v>
      </c>
      <c r="H1117" s="9">
        <v>0</v>
      </c>
      <c r="I1117" t="s">
        <v>699</v>
      </c>
      <c r="J1117">
        <v>5</v>
      </c>
      <c r="K1117">
        <v>4</v>
      </c>
      <c r="L1117" t="str">
        <f>VLOOKUP(D1117,Products!A:E,2,FALSE)</f>
        <v>Laptop</v>
      </c>
      <c r="M1117" t="str">
        <f>VLOOKUP(D1117,Products!A:E,3,FALSE)</f>
        <v>Technology</v>
      </c>
      <c r="N1117">
        <f>VLOOKUP(D1117,Products!A:E,4,FALSE)</f>
        <v>1100</v>
      </c>
      <c r="O1117" s="13">
        <f>VLOOKUP(D1117,Products!A:E,5,FALSE)</f>
        <v>720</v>
      </c>
      <c r="P1117" s="13" t="str">
        <f>VLOOKUP(C1117,Customers!A:C,3,FALSE)</f>
        <v>Small Business</v>
      </c>
      <c r="Q1117" s="13">
        <f t="shared" si="68"/>
        <v>3300</v>
      </c>
      <c r="R1117" s="13">
        <f t="shared" si="69"/>
        <v>2160</v>
      </c>
      <c r="S1117" s="13">
        <f t="shared" si="70"/>
        <v>1140</v>
      </c>
      <c r="T1117" s="14">
        <f t="shared" si="71"/>
        <v>0.34545454545454546</v>
      </c>
    </row>
    <row r="1118" spans="1:20">
      <c r="A1118" t="s">
        <v>1822</v>
      </c>
      <c r="B1118" s="8">
        <v>46103</v>
      </c>
      <c r="C1118" t="s">
        <v>135</v>
      </c>
      <c r="D1118" t="s">
        <v>77</v>
      </c>
      <c r="E1118" t="s">
        <v>708</v>
      </c>
      <c r="F1118" t="s">
        <v>702</v>
      </c>
      <c r="G1118">
        <v>2</v>
      </c>
      <c r="H1118" s="9">
        <v>0</v>
      </c>
      <c r="I1118" t="s">
        <v>699</v>
      </c>
      <c r="J1118">
        <v>5</v>
      </c>
      <c r="K1118">
        <v>3</v>
      </c>
      <c r="L1118" t="str">
        <f>VLOOKUP(D1118,Products!A:E,2,FALSE)</f>
        <v>File Folder Pack</v>
      </c>
      <c r="M1118" t="str">
        <f>VLOOKUP(D1118,Products!A:E,3,FALSE)</f>
        <v>Office Supplies</v>
      </c>
      <c r="N1118">
        <f>VLOOKUP(D1118,Products!A:E,4,FALSE)</f>
        <v>23</v>
      </c>
      <c r="O1118" s="13">
        <f>VLOOKUP(D1118,Products!A:E,5,FALSE)</f>
        <v>10</v>
      </c>
      <c r="P1118" s="13" t="str">
        <f>VLOOKUP(C1118,Customers!A:C,3,FALSE)</f>
        <v>Small Business</v>
      </c>
      <c r="Q1118" s="13">
        <f t="shared" si="68"/>
        <v>46</v>
      </c>
      <c r="R1118" s="13">
        <f t="shared" si="69"/>
        <v>20</v>
      </c>
      <c r="S1118" s="13">
        <f t="shared" si="70"/>
        <v>26</v>
      </c>
      <c r="T1118" s="14">
        <f t="shared" si="71"/>
        <v>0.56521739130434778</v>
      </c>
    </row>
    <row r="1119" spans="1:20">
      <c r="A1119" t="s">
        <v>1823</v>
      </c>
      <c r="B1119" s="8">
        <v>46093</v>
      </c>
      <c r="C1119" t="s">
        <v>431</v>
      </c>
      <c r="D1119" t="s">
        <v>65</v>
      </c>
      <c r="E1119" t="s">
        <v>701</v>
      </c>
      <c r="F1119" t="s">
        <v>702</v>
      </c>
      <c r="G1119">
        <v>1</v>
      </c>
      <c r="H1119" s="9">
        <v>0</v>
      </c>
      <c r="I1119" t="s">
        <v>699</v>
      </c>
      <c r="J1119">
        <v>4</v>
      </c>
      <c r="K1119">
        <v>3</v>
      </c>
      <c r="L1119" t="str">
        <f>VLOOKUP(D1119,Products!A:E,2,FALSE)</f>
        <v>Laptop Stand</v>
      </c>
      <c r="M1119" t="str">
        <f>VLOOKUP(D1119,Products!A:E,3,FALSE)</f>
        <v>Accessories</v>
      </c>
      <c r="N1119">
        <f>VLOOKUP(D1119,Products!A:E,4,FALSE)</f>
        <v>48</v>
      </c>
      <c r="O1119" s="13">
        <f>VLOOKUP(D1119,Products!A:E,5,FALSE)</f>
        <v>22</v>
      </c>
      <c r="P1119" s="13" t="str">
        <f>VLOOKUP(C1119,Customers!A:C,3,FALSE)</f>
        <v>Consumer</v>
      </c>
      <c r="Q1119" s="13">
        <f t="shared" si="68"/>
        <v>48</v>
      </c>
      <c r="R1119" s="13">
        <f t="shared" si="69"/>
        <v>22</v>
      </c>
      <c r="S1119" s="13">
        <f t="shared" si="70"/>
        <v>26</v>
      </c>
      <c r="T1119" s="14">
        <f t="shared" si="71"/>
        <v>0.54166666666666663</v>
      </c>
    </row>
    <row r="1120" spans="1:20">
      <c r="A1120" t="s">
        <v>1824</v>
      </c>
      <c r="B1120" s="8">
        <v>45694</v>
      </c>
      <c r="C1120" t="s">
        <v>201</v>
      </c>
      <c r="D1120" t="s">
        <v>70</v>
      </c>
      <c r="E1120" t="s">
        <v>701</v>
      </c>
      <c r="F1120" t="s">
        <v>698</v>
      </c>
      <c r="G1120">
        <v>2</v>
      </c>
      <c r="H1120" s="9">
        <v>0</v>
      </c>
      <c r="I1120" t="s">
        <v>699</v>
      </c>
      <c r="J1120">
        <v>3</v>
      </c>
      <c r="K1120">
        <v>2</v>
      </c>
      <c r="L1120" t="str">
        <f>VLOOKUP(D1120,Products!A:E,2,FALSE)</f>
        <v>USB-C Hub</v>
      </c>
      <c r="M1120" t="str">
        <f>VLOOKUP(D1120,Products!A:E,3,FALSE)</f>
        <v>Accessories</v>
      </c>
      <c r="N1120">
        <f>VLOOKUP(D1120,Products!A:E,4,FALSE)</f>
        <v>68</v>
      </c>
      <c r="O1120" s="13">
        <f>VLOOKUP(D1120,Products!A:E,5,FALSE)</f>
        <v>31</v>
      </c>
      <c r="P1120" s="13" t="str">
        <f>VLOOKUP(C1120,Customers!A:C,3,FALSE)</f>
        <v>Corporate</v>
      </c>
      <c r="Q1120" s="13">
        <f t="shared" si="68"/>
        <v>136</v>
      </c>
      <c r="R1120" s="13">
        <f t="shared" si="69"/>
        <v>62</v>
      </c>
      <c r="S1120" s="13">
        <f t="shared" si="70"/>
        <v>74</v>
      </c>
      <c r="T1120" s="14">
        <f t="shared" si="71"/>
        <v>0.54411764705882348</v>
      </c>
    </row>
    <row r="1121" spans="1:20">
      <c r="A1121" t="s">
        <v>1825</v>
      </c>
      <c r="B1121" s="8">
        <v>46163</v>
      </c>
      <c r="C1121" t="s">
        <v>527</v>
      </c>
      <c r="D1121" t="s">
        <v>63</v>
      </c>
      <c r="E1121" t="s">
        <v>708</v>
      </c>
      <c r="F1121" t="s">
        <v>702</v>
      </c>
      <c r="G1121">
        <v>3</v>
      </c>
      <c r="H1121" s="9">
        <v>0.15</v>
      </c>
      <c r="I1121" t="s">
        <v>699</v>
      </c>
      <c r="J1121">
        <v>5</v>
      </c>
      <c r="K1121">
        <v>5</v>
      </c>
      <c r="L1121" t="str">
        <f>VLOOKUP(D1121,Products!A:E,2,FALSE)</f>
        <v>Bookshelf</v>
      </c>
      <c r="M1121" t="str">
        <f>VLOOKUP(D1121,Products!A:E,3,FALSE)</f>
        <v>Furniture</v>
      </c>
      <c r="N1121">
        <f>VLOOKUP(D1121,Products!A:E,4,FALSE)</f>
        <v>185</v>
      </c>
      <c r="O1121" s="13">
        <f>VLOOKUP(D1121,Products!A:E,5,FALSE)</f>
        <v>105</v>
      </c>
      <c r="P1121" s="13" t="str">
        <f>VLOOKUP(C1121,Customers!A:C,3,FALSE)</f>
        <v>Small Business</v>
      </c>
      <c r="Q1121" s="13">
        <f t="shared" si="68"/>
        <v>471.75</v>
      </c>
      <c r="R1121" s="13">
        <f t="shared" si="69"/>
        <v>315</v>
      </c>
      <c r="S1121" s="13">
        <f t="shared" si="70"/>
        <v>156.75</v>
      </c>
      <c r="T1121" s="14">
        <f t="shared" si="71"/>
        <v>0.33227344992050872</v>
      </c>
    </row>
    <row r="1122" spans="1:20">
      <c r="A1122" t="s">
        <v>1826</v>
      </c>
      <c r="B1122" s="8">
        <v>46240</v>
      </c>
      <c r="C1122" t="s">
        <v>555</v>
      </c>
      <c r="D1122" t="s">
        <v>48</v>
      </c>
      <c r="E1122" t="s">
        <v>705</v>
      </c>
      <c r="F1122" t="s">
        <v>702</v>
      </c>
      <c r="G1122">
        <v>1</v>
      </c>
      <c r="H1122" s="9">
        <v>0.2</v>
      </c>
      <c r="I1122" t="s">
        <v>699</v>
      </c>
      <c r="J1122">
        <v>5</v>
      </c>
      <c r="K1122">
        <v>4</v>
      </c>
      <c r="L1122" t="str">
        <f>VLOOKUP(D1122,Products!A:E,2,FALSE)</f>
        <v>Monitor</v>
      </c>
      <c r="M1122" t="str">
        <f>VLOOKUP(D1122,Products!A:E,3,FALSE)</f>
        <v>Technology</v>
      </c>
      <c r="N1122">
        <f>VLOOKUP(D1122,Products!A:E,4,FALSE)</f>
        <v>310</v>
      </c>
      <c r="O1122" s="13">
        <f>VLOOKUP(D1122,Products!A:E,5,FALSE)</f>
        <v>190</v>
      </c>
      <c r="P1122" s="13" t="str">
        <f>VLOOKUP(C1122,Customers!A:C,3,FALSE)</f>
        <v>Consumer</v>
      </c>
      <c r="Q1122" s="13">
        <f t="shared" si="68"/>
        <v>248</v>
      </c>
      <c r="R1122" s="13">
        <f t="shared" si="69"/>
        <v>190</v>
      </c>
      <c r="S1122" s="13">
        <f t="shared" si="70"/>
        <v>58</v>
      </c>
      <c r="T1122" s="14">
        <f t="shared" si="71"/>
        <v>0.23387096774193547</v>
      </c>
    </row>
    <row r="1123" spans="1:20">
      <c r="A1123" t="s">
        <v>1827</v>
      </c>
      <c r="B1123" s="8">
        <v>46182</v>
      </c>
      <c r="C1123" t="s">
        <v>167</v>
      </c>
      <c r="D1123" t="s">
        <v>68</v>
      </c>
      <c r="E1123" t="s">
        <v>697</v>
      </c>
      <c r="F1123" t="s">
        <v>698</v>
      </c>
      <c r="G1123">
        <v>2</v>
      </c>
      <c r="H1123" s="9">
        <v>0</v>
      </c>
      <c r="I1123" t="s">
        <v>703</v>
      </c>
      <c r="J1123">
        <v>4</v>
      </c>
      <c r="K1123">
        <v>5</v>
      </c>
      <c r="L1123" t="str">
        <f>VLOOKUP(D1123,Products!A:E,2,FALSE)</f>
        <v>Backpack</v>
      </c>
      <c r="M1123" t="str">
        <f>VLOOKUP(D1123,Products!A:E,3,FALSE)</f>
        <v>Accessories</v>
      </c>
      <c r="N1123">
        <f>VLOOKUP(D1123,Products!A:E,4,FALSE)</f>
        <v>85</v>
      </c>
      <c r="O1123" s="13">
        <f>VLOOKUP(D1123,Products!A:E,5,FALSE)</f>
        <v>39</v>
      </c>
      <c r="P1123" s="13" t="str">
        <f>VLOOKUP(C1123,Customers!A:C,3,FALSE)</f>
        <v>Corporate</v>
      </c>
      <c r="Q1123" s="13">
        <f t="shared" si="68"/>
        <v>170</v>
      </c>
      <c r="R1123" s="13">
        <f t="shared" si="69"/>
        <v>78</v>
      </c>
      <c r="S1123" s="13">
        <f t="shared" si="70"/>
        <v>92</v>
      </c>
      <c r="T1123" s="14">
        <f t="shared" si="71"/>
        <v>0.54117647058823526</v>
      </c>
    </row>
    <row r="1124" spans="1:20">
      <c r="A1124" t="s">
        <v>1828</v>
      </c>
      <c r="B1124" s="8">
        <v>45777</v>
      </c>
      <c r="C1124" t="s">
        <v>283</v>
      </c>
      <c r="D1124" t="s">
        <v>63</v>
      </c>
      <c r="E1124" t="s">
        <v>697</v>
      </c>
      <c r="F1124" t="s">
        <v>698</v>
      </c>
      <c r="G1124">
        <v>2</v>
      </c>
      <c r="H1124" s="9">
        <v>0.1</v>
      </c>
      <c r="I1124" t="s">
        <v>699</v>
      </c>
      <c r="J1124">
        <v>2</v>
      </c>
      <c r="K1124">
        <v>9</v>
      </c>
      <c r="L1124" t="str">
        <f>VLOOKUP(D1124,Products!A:E,2,FALSE)</f>
        <v>Bookshelf</v>
      </c>
      <c r="M1124" t="str">
        <f>VLOOKUP(D1124,Products!A:E,3,FALSE)</f>
        <v>Furniture</v>
      </c>
      <c r="N1124">
        <f>VLOOKUP(D1124,Products!A:E,4,FALSE)</f>
        <v>185</v>
      </c>
      <c r="O1124" s="13">
        <f>VLOOKUP(D1124,Products!A:E,5,FALSE)</f>
        <v>105</v>
      </c>
      <c r="P1124" s="13" t="str">
        <f>VLOOKUP(C1124,Customers!A:C,3,FALSE)</f>
        <v>Small Business</v>
      </c>
      <c r="Q1124" s="13">
        <f t="shared" si="68"/>
        <v>333</v>
      </c>
      <c r="R1124" s="13">
        <f t="shared" si="69"/>
        <v>210</v>
      </c>
      <c r="S1124" s="13">
        <f t="shared" si="70"/>
        <v>123</v>
      </c>
      <c r="T1124" s="14">
        <f t="shared" si="71"/>
        <v>0.36936936936936937</v>
      </c>
    </row>
    <row r="1125" spans="1:20">
      <c r="A1125" t="s">
        <v>1829</v>
      </c>
      <c r="B1125" s="8">
        <v>45878</v>
      </c>
      <c r="C1125" t="s">
        <v>533</v>
      </c>
      <c r="D1125" t="s">
        <v>63</v>
      </c>
      <c r="E1125" t="s">
        <v>701</v>
      </c>
      <c r="F1125" t="s">
        <v>698</v>
      </c>
      <c r="G1125">
        <v>1</v>
      </c>
      <c r="H1125" s="9">
        <v>0.1</v>
      </c>
      <c r="I1125" t="s">
        <v>699</v>
      </c>
      <c r="J1125">
        <v>5</v>
      </c>
      <c r="K1125">
        <v>3</v>
      </c>
      <c r="L1125" t="str">
        <f>VLOOKUP(D1125,Products!A:E,2,FALSE)</f>
        <v>Bookshelf</v>
      </c>
      <c r="M1125" t="str">
        <f>VLOOKUP(D1125,Products!A:E,3,FALSE)</f>
        <v>Furniture</v>
      </c>
      <c r="N1125">
        <f>VLOOKUP(D1125,Products!A:E,4,FALSE)</f>
        <v>185</v>
      </c>
      <c r="O1125" s="13">
        <f>VLOOKUP(D1125,Products!A:E,5,FALSE)</f>
        <v>105</v>
      </c>
      <c r="P1125" s="13" t="str">
        <f>VLOOKUP(C1125,Customers!A:C,3,FALSE)</f>
        <v>Corporate</v>
      </c>
      <c r="Q1125" s="13">
        <f t="shared" si="68"/>
        <v>166.5</v>
      </c>
      <c r="R1125" s="13">
        <f t="shared" si="69"/>
        <v>105</v>
      </c>
      <c r="S1125" s="13">
        <f t="shared" si="70"/>
        <v>61.5</v>
      </c>
      <c r="T1125" s="14">
        <f t="shared" si="71"/>
        <v>0.36936936936936937</v>
      </c>
    </row>
    <row r="1126" spans="1:20">
      <c r="A1126" t="s">
        <v>1830</v>
      </c>
      <c r="B1126" s="8">
        <v>45937</v>
      </c>
      <c r="C1126" t="s">
        <v>90</v>
      </c>
      <c r="D1126" t="s">
        <v>74</v>
      </c>
      <c r="E1126" t="s">
        <v>705</v>
      </c>
      <c r="F1126" t="s">
        <v>698</v>
      </c>
      <c r="G1126">
        <v>3</v>
      </c>
      <c r="H1126" s="9">
        <v>0</v>
      </c>
      <c r="I1126" t="s">
        <v>699</v>
      </c>
      <c r="J1126">
        <v>5</v>
      </c>
      <c r="K1126">
        <v>3</v>
      </c>
      <c r="L1126" t="str">
        <f>VLOOKUP(D1126,Products!A:E,2,FALSE)</f>
        <v>Printer Paper</v>
      </c>
      <c r="M1126" t="str">
        <f>VLOOKUP(D1126,Products!A:E,3,FALSE)</f>
        <v>Office Supplies</v>
      </c>
      <c r="N1126">
        <f>VLOOKUP(D1126,Products!A:E,4,FALSE)</f>
        <v>17</v>
      </c>
      <c r="O1126" s="13">
        <f>VLOOKUP(D1126,Products!A:E,5,FALSE)</f>
        <v>8</v>
      </c>
      <c r="P1126" s="13" t="str">
        <f>VLOOKUP(C1126,Customers!A:C,3,FALSE)</f>
        <v>Consumer</v>
      </c>
      <c r="Q1126" s="13">
        <f t="shared" si="68"/>
        <v>51</v>
      </c>
      <c r="R1126" s="13">
        <f t="shared" si="69"/>
        <v>24</v>
      </c>
      <c r="S1126" s="13">
        <f t="shared" si="70"/>
        <v>27</v>
      </c>
      <c r="T1126" s="14">
        <f t="shared" si="71"/>
        <v>0.52941176470588236</v>
      </c>
    </row>
    <row r="1127" spans="1:20">
      <c r="A1127" t="s">
        <v>1831</v>
      </c>
      <c r="B1127" s="8">
        <v>45757</v>
      </c>
      <c r="C1127" t="s">
        <v>313</v>
      </c>
      <c r="D1127" t="s">
        <v>61</v>
      </c>
      <c r="E1127" t="s">
        <v>705</v>
      </c>
      <c r="F1127" t="s">
        <v>702</v>
      </c>
      <c r="G1127">
        <v>1</v>
      </c>
      <c r="H1127" s="9">
        <v>0</v>
      </c>
      <c r="I1127" t="s">
        <v>699</v>
      </c>
      <c r="J1127">
        <v>5</v>
      </c>
      <c r="K1127">
        <v>5</v>
      </c>
      <c r="L1127" t="str">
        <f>VLOOKUP(D1127,Products!A:E,2,FALSE)</f>
        <v>Office Chair</v>
      </c>
      <c r="M1127" t="str">
        <f>VLOOKUP(D1127,Products!A:E,3,FALSE)</f>
        <v>Furniture</v>
      </c>
      <c r="N1127">
        <f>VLOOKUP(D1127,Products!A:E,4,FALSE)</f>
        <v>255</v>
      </c>
      <c r="O1127" s="13">
        <f>VLOOKUP(D1127,Products!A:E,5,FALSE)</f>
        <v>145</v>
      </c>
      <c r="P1127" s="13" t="str">
        <f>VLOOKUP(C1127,Customers!A:C,3,FALSE)</f>
        <v>Consumer</v>
      </c>
      <c r="Q1127" s="13">
        <f t="shared" si="68"/>
        <v>255</v>
      </c>
      <c r="R1127" s="13">
        <f t="shared" si="69"/>
        <v>145</v>
      </c>
      <c r="S1127" s="13">
        <f t="shared" si="70"/>
        <v>110</v>
      </c>
      <c r="T1127" s="14">
        <f t="shared" si="71"/>
        <v>0.43137254901960786</v>
      </c>
    </row>
    <row r="1128" spans="1:20">
      <c r="A1128" t="s">
        <v>1832</v>
      </c>
      <c r="B1128" s="8">
        <v>46088</v>
      </c>
      <c r="C1128" t="s">
        <v>423</v>
      </c>
      <c r="D1128" t="s">
        <v>72</v>
      </c>
      <c r="E1128" t="s">
        <v>715</v>
      </c>
      <c r="F1128" t="s">
        <v>698</v>
      </c>
      <c r="G1128">
        <v>2</v>
      </c>
      <c r="H1128" s="9">
        <v>0</v>
      </c>
      <c r="I1128" t="s">
        <v>699</v>
      </c>
      <c r="J1128">
        <v>3</v>
      </c>
      <c r="K1128">
        <v>4</v>
      </c>
      <c r="L1128" t="str">
        <f>VLOOKUP(D1128,Products!A:E,2,FALSE)</f>
        <v>Phone Charger</v>
      </c>
      <c r="M1128" t="str">
        <f>VLOOKUP(D1128,Products!A:E,3,FALSE)</f>
        <v>Accessories</v>
      </c>
      <c r="N1128">
        <f>VLOOKUP(D1128,Products!A:E,4,FALSE)</f>
        <v>32</v>
      </c>
      <c r="O1128" s="13">
        <f>VLOOKUP(D1128,Products!A:E,5,FALSE)</f>
        <v>13</v>
      </c>
      <c r="P1128" s="13" t="str">
        <f>VLOOKUP(C1128,Customers!A:C,3,FALSE)</f>
        <v>Consumer</v>
      </c>
      <c r="Q1128" s="13">
        <f t="shared" si="68"/>
        <v>64</v>
      </c>
      <c r="R1128" s="13">
        <f t="shared" si="69"/>
        <v>26</v>
      </c>
      <c r="S1128" s="13">
        <f t="shared" si="70"/>
        <v>38</v>
      </c>
      <c r="T1128" s="14">
        <f t="shared" si="71"/>
        <v>0.59375</v>
      </c>
    </row>
    <row r="1129" spans="1:20">
      <c r="A1129" t="s">
        <v>1833</v>
      </c>
      <c r="B1129" s="8">
        <v>45873</v>
      </c>
      <c r="C1129" t="s">
        <v>631</v>
      </c>
      <c r="D1129" t="s">
        <v>56</v>
      </c>
      <c r="E1129" t="s">
        <v>701</v>
      </c>
      <c r="F1129" t="s">
        <v>702</v>
      </c>
      <c r="G1129">
        <v>1</v>
      </c>
      <c r="H1129" s="9">
        <v>0.15</v>
      </c>
      <c r="I1129" t="s">
        <v>703</v>
      </c>
      <c r="J1129">
        <v>5</v>
      </c>
      <c r="K1129">
        <v>8</v>
      </c>
      <c r="L1129" t="str">
        <f>VLOOKUP(D1129,Products!A:E,2,FALSE)</f>
        <v>Headset</v>
      </c>
      <c r="M1129" t="str">
        <f>VLOOKUP(D1129,Products!A:E,3,FALSE)</f>
        <v>Technology</v>
      </c>
      <c r="N1129">
        <f>VLOOKUP(D1129,Products!A:E,4,FALSE)</f>
        <v>98</v>
      </c>
      <c r="O1129" s="13">
        <f>VLOOKUP(D1129,Products!A:E,5,FALSE)</f>
        <v>46</v>
      </c>
      <c r="P1129" s="13" t="str">
        <f>VLOOKUP(C1129,Customers!A:C,3,FALSE)</f>
        <v>Corporate</v>
      </c>
      <c r="Q1129" s="13">
        <f t="shared" si="68"/>
        <v>83.3</v>
      </c>
      <c r="R1129" s="13">
        <f t="shared" si="69"/>
        <v>46</v>
      </c>
      <c r="S1129" s="13">
        <f t="shared" si="70"/>
        <v>37.299999999999997</v>
      </c>
      <c r="T1129" s="14">
        <f t="shared" si="71"/>
        <v>0.44777911164465783</v>
      </c>
    </row>
    <row r="1130" spans="1:20">
      <c r="A1130" t="s">
        <v>1834</v>
      </c>
      <c r="B1130" s="8">
        <v>45743</v>
      </c>
      <c r="C1130" t="s">
        <v>299</v>
      </c>
      <c r="D1130" t="s">
        <v>70</v>
      </c>
      <c r="E1130" t="s">
        <v>708</v>
      </c>
      <c r="F1130" t="s">
        <v>698</v>
      </c>
      <c r="G1130">
        <v>2</v>
      </c>
      <c r="H1130" s="9">
        <v>0.05</v>
      </c>
      <c r="I1130" t="s">
        <v>699</v>
      </c>
      <c r="J1130">
        <v>4</v>
      </c>
      <c r="K1130">
        <v>5</v>
      </c>
      <c r="L1130" t="str">
        <f>VLOOKUP(D1130,Products!A:E,2,FALSE)</f>
        <v>USB-C Hub</v>
      </c>
      <c r="M1130" t="str">
        <f>VLOOKUP(D1130,Products!A:E,3,FALSE)</f>
        <v>Accessories</v>
      </c>
      <c r="N1130">
        <f>VLOOKUP(D1130,Products!A:E,4,FALSE)</f>
        <v>68</v>
      </c>
      <c r="O1130" s="13">
        <f>VLOOKUP(D1130,Products!A:E,5,FALSE)</f>
        <v>31</v>
      </c>
      <c r="P1130" s="13" t="str">
        <f>VLOOKUP(C1130,Customers!A:C,3,FALSE)</f>
        <v>Consumer</v>
      </c>
      <c r="Q1130" s="13">
        <f t="shared" si="68"/>
        <v>129.19999999999999</v>
      </c>
      <c r="R1130" s="13">
        <f t="shared" si="69"/>
        <v>62</v>
      </c>
      <c r="S1130" s="13">
        <f t="shared" si="70"/>
        <v>67.199999999999989</v>
      </c>
      <c r="T1130" s="14">
        <f t="shared" si="71"/>
        <v>0.52012383900928794</v>
      </c>
    </row>
    <row r="1131" spans="1:20">
      <c r="A1131" t="s">
        <v>1835</v>
      </c>
      <c r="B1131" s="8">
        <v>46018</v>
      </c>
      <c r="C1131" t="s">
        <v>665</v>
      </c>
      <c r="D1131" t="s">
        <v>74</v>
      </c>
      <c r="E1131" t="s">
        <v>708</v>
      </c>
      <c r="F1131" t="s">
        <v>698</v>
      </c>
      <c r="G1131">
        <v>4</v>
      </c>
      <c r="H1131" s="9">
        <v>0</v>
      </c>
      <c r="I1131" t="s">
        <v>699</v>
      </c>
      <c r="J1131">
        <v>5</v>
      </c>
      <c r="K1131">
        <v>4</v>
      </c>
      <c r="L1131" t="str">
        <f>VLOOKUP(D1131,Products!A:E,2,FALSE)</f>
        <v>Printer Paper</v>
      </c>
      <c r="M1131" t="str">
        <f>VLOOKUP(D1131,Products!A:E,3,FALSE)</f>
        <v>Office Supplies</v>
      </c>
      <c r="N1131">
        <f>VLOOKUP(D1131,Products!A:E,4,FALSE)</f>
        <v>17</v>
      </c>
      <c r="O1131" s="13">
        <f>VLOOKUP(D1131,Products!A:E,5,FALSE)</f>
        <v>8</v>
      </c>
      <c r="P1131" s="13" t="str">
        <f>VLOOKUP(C1131,Customers!A:C,3,FALSE)</f>
        <v>Consumer</v>
      </c>
      <c r="Q1131" s="13">
        <f t="shared" si="68"/>
        <v>68</v>
      </c>
      <c r="R1131" s="13">
        <f t="shared" si="69"/>
        <v>32</v>
      </c>
      <c r="S1131" s="13">
        <f t="shared" si="70"/>
        <v>36</v>
      </c>
      <c r="T1131" s="14">
        <f t="shared" si="71"/>
        <v>0.52941176470588236</v>
      </c>
    </row>
    <row r="1132" spans="1:20">
      <c r="A1132" t="s">
        <v>1836</v>
      </c>
      <c r="B1132" s="8">
        <v>46208</v>
      </c>
      <c r="C1132" t="s">
        <v>221</v>
      </c>
      <c r="D1132" t="s">
        <v>72</v>
      </c>
      <c r="E1132" t="s">
        <v>701</v>
      </c>
      <c r="F1132" t="s">
        <v>706</v>
      </c>
      <c r="G1132">
        <v>1</v>
      </c>
      <c r="H1132" s="9">
        <v>0</v>
      </c>
      <c r="I1132" t="s">
        <v>703</v>
      </c>
      <c r="J1132">
        <v>4</v>
      </c>
      <c r="K1132">
        <v>4</v>
      </c>
      <c r="L1132" t="str">
        <f>VLOOKUP(D1132,Products!A:E,2,FALSE)</f>
        <v>Phone Charger</v>
      </c>
      <c r="M1132" t="str">
        <f>VLOOKUP(D1132,Products!A:E,3,FALSE)</f>
        <v>Accessories</v>
      </c>
      <c r="N1132">
        <f>VLOOKUP(D1132,Products!A:E,4,FALSE)</f>
        <v>32</v>
      </c>
      <c r="O1132" s="13">
        <f>VLOOKUP(D1132,Products!A:E,5,FALSE)</f>
        <v>13</v>
      </c>
      <c r="P1132" s="13" t="str">
        <f>VLOOKUP(C1132,Customers!A:C,3,FALSE)</f>
        <v>Consumer</v>
      </c>
      <c r="Q1132" s="13">
        <f t="shared" si="68"/>
        <v>32</v>
      </c>
      <c r="R1132" s="13">
        <f t="shared" si="69"/>
        <v>13</v>
      </c>
      <c r="S1132" s="13">
        <f t="shared" si="70"/>
        <v>19</v>
      </c>
      <c r="T1132" s="14">
        <f t="shared" si="71"/>
        <v>0.59375</v>
      </c>
    </row>
    <row r="1133" spans="1:20">
      <c r="A1133" t="s">
        <v>1837</v>
      </c>
      <c r="B1133" s="8">
        <v>46068</v>
      </c>
      <c r="C1133" t="s">
        <v>649</v>
      </c>
      <c r="D1133" t="s">
        <v>74</v>
      </c>
      <c r="E1133" t="s">
        <v>708</v>
      </c>
      <c r="F1133" t="s">
        <v>702</v>
      </c>
      <c r="G1133">
        <v>6</v>
      </c>
      <c r="H1133" s="9">
        <v>0</v>
      </c>
      <c r="I1133" t="s">
        <v>699</v>
      </c>
      <c r="J1133">
        <v>5</v>
      </c>
      <c r="K1133">
        <v>3</v>
      </c>
      <c r="L1133" t="str">
        <f>VLOOKUP(D1133,Products!A:E,2,FALSE)</f>
        <v>Printer Paper</v>
      </c>
      <c r="M1133" t="str">
        <f>VLOOKUP(D1133,Products!A:E,3,FALSE)</f>
        <v>Office Supplies</v>
      </c>
      <c r="N1133">
        <f>VLOOKUP(D1133,Products!A:E,4,FALSE)</f>
        <v>17</v>
      </c>
      <c r="O1133" s="13">
        <f>VLOOKUP(D1133,Products!A:E,5,FALSE)</f>
        <v>8</v>
      </c>
      <c r="P1133" s="13" t="str">
        <f>VLOOKUP(C1133,Customers!A:C,3,FALSE)</f>
        <v>Consumer</v>
      </c>
      <c r="Q1133" s="13">
        <f t="shared" si="68"/>
        <v>102</v>
      </c>
      <c r="R1133" s="13">
        <f t="shared" si="69"/>
        <v>48</v>
      </c>
      <c r="S1133" s="13">
        <f t="shared" si="70"/>
        <v>54</v>
      </c>
      <c r="T1133" s="14">
        <f t="shared" si="71"/>
        <v>0.52941176470588236</v>
      </c>
    </row>
    <row r="1134" spans="1:20">
      <c r="A1134" t="s">
        <v>1838</v>
      </c>
      <c r="B1134" s="8">
        <v>46172</v>
      </c>
      <c r="C1134" t="s">
        <v>635</v>
      </c>
      <c r="D1134" t="s">
        <v>72</v>
      </c>
      <c r="E1134" t="s">
        <v>708</v>
      </c>
      <c r="F1134" t="s">
        <v>702</v>
      </c>
      <c r="G1134">
        <v>4</v>
      </c>
      <c r="H1134" s="9">
        <v>0</v>
      </c>
      <c r="I1134" t="s">
        <v>703</v>
      </c>
      <c r="J1134">
        <v>3</v>
      </c>
      <c r="K1134">
        <v>6</v>
      </c>
      <c r="L1134" t="str">
        <f>VLOOKUP(D1134,Products!A:E,2,FALSE)</f>
        <v>Phone Charger</v>
      </c>
      <c r="M1134" t="str">
        <f>VLOOKUP(D1134,Products!A:E,3,FALSE)</f>
        <v>Accessories</v>
      </c>
      <c r="N1134">
        <f>VLOOKUP(D1134,Products!A:E,4,FALSE)</f>
        <v>32</v>
      </c>
      <c r="O1134" s="13">
        <f>VLOOKUP(D1134,Products!A:E,5,FALSE)</f>
        <v>13</v>
      </c>
      <c r="P1134" s="13" t="str">
        <f>VLOOKUP(C1134,Customers!A:C,3,FALSE)</f>
        <v>Consumer</v>
      </c>
      <c r="Q1134" s="13">
        <f t="shared" si="68"/>
        <v>128</v>
      </c>
      <c r="R1134" s="13">
        <f t="shared" si="69"/>
        <v>52</v>
      </c>
      <c r="S1134" s="13">
        <f t="shared" si="70"/>
        <v>76</v>
      </c>
      <c r="T1134" s="14">
        <f t="shared" si="71"/>
        <v>0.59375</v>
      </c>
    </row>
    <row r="1135" spans="1:20">
      <c r="A1135" t="s">
        <v>1839</v>
      </c>
      <c r="B1135" s="8">
        <v>45953</v>
      </c>
      <c r="C1135" t="s">
        <v>87</v>
      </c>
      <c r="D1135" t="s">
        <v>68</v>
      </c>
      <c r="E1135" t="s">
        <v>701</v>
      </c>
      <c r="F1135" t="s">
        <v>698</v>
      </c>
      <c r="G1135">
        <v>3</v>
      </c>
      <c r="H1135" s="9">
        <v>0</v>
      </c>
      <c r="I1135" t="s">
        <v>699</v>
      </c>
      <c r="J1135">
        <v>4</v>
      </c>
      <c r="K1135">
        <v>4</v>
      </c>
      <c r="L1135" t="str">
        <f>VLOOKUP(D1135,Products!A:E,2,FALSE)</f>
        <v>Backpack</v>
      </c>
      <c r="M1135" t="str">
        <f>VLOOKUP(D1135,Products!A:E,3,FALSE)</f>
        <v>Accessories</v>
      </c>
      <c r="N1135">
        <f>VLOOKUP(D1135,Products!A:E,4,FALSE)</f>
        <v>85</v>
      </c>
      <c r="O1135" s="13">
        <f>VLOOKUP(D1135,Products!A:E,5,FALSE)</f>
        <v>39</v>
      </c>
      <c r="P1135" s="13" t="str">
        <f>VLOOKUP(C1135,Customers!A:C,3,FALSE)</f>
        <v>Consumer</v>
      </c>
      <c r="Q1135" s="13">
        <f t="shared" si="68"/>
        <v>255</v>
      </c>
      <c r="R1135" s="13">
        <f t="shared" si="69"/>
        <v>117</v>
      </c>
      <c r="S1135" s="13">
        <f t="shared" si="70"/>
        <v>138</v>
      </c>
      <c r="T1135" s="14">
        <f t="shared" si="71"/>
        <v>0.54117647058823526</v>
      </c>
    </row>
    <row r="1136" spans="1:20">
      <c r="A1136" t="s">
        <v>1840</v>
      </c>
      <c r="B1136" s="8">
        <v>46078</v>
      </c>
      <c r="C1136" t="s">
        <v>279</v>
      </c>
      <c r="D1136" t="s">
        <v>45</v>
      </c>
      <c r="E1136" t="s">
        <v>701</v>
      </c>
      <c r="F1136" t="s">
        <v>702</v>
      </c>
      <c r="G1136">
        <v>3</v>
      </c>
      <c r="H1136" s="9">
        <v>0.2</v>
      </c>
      <c r="I1136" t="s">
        <v>699</v>
      </c>
      <c r="J1136">
        <v>5</v>
      </c>
      <c r="K1136">
        <v>1</v>
      </c>
      <c r="L1136" t="str">
        <f>VLOOKUP(D1136,Products!A:E,2,FALSE)</f>
        <v>Laptop</v>
      </c>
      <c r="M1136" t="str">
        <f>VLOOKUP(D1136,Products!A:E,3,FALSE)</f>
        <v>Technology</v>
      </c>
      <c r="N1136">
        <f>VLOOKUP(D1136,Products!A:E,4,FALSE)</f>
        <v>1100</v>
      </c>
      <c r="O1136" s="13">
        <f>VLOOKUP(D1136,Products!A:E,5,FALSE)</f>
        <v>720</v>
      </c>
      <c r="P1136" s="13" t="str">
        <f>VLOOKUP(C1136,Customers!A:C,3,FALSE)</f>
        <v>Small Business</v>
      </c>
      <c r="Q1136" s="13">
        <f t="shared" si="68"/>
        <v>2640</v>
      </c>
      <c r="R1136" s="13">
        <f t="shared" si="69"/>
        <v>2160</v>
      </c>
      <c r="S1136" s="13">
        <f t="shared" si="70"/>
        <v>480</v>
      </c>
      <c r="T1136" s="14">
        <f t="shared" si="71"/>
        <v>0.18181818181818182</v>
      </c>
    </row>
    <row r="1137" spans="1:20">
      <c r="A1137" t="s">
        <v>1841</v>
      </c>
      <c r="B1137" s="8">
        <v>45990</v>
      </c>
      <c r="C1137" t="s">
        <v>341</v>
      </c>
      <c r="D1137" t="s">
        <v>56</v>
      </c>
      <c r="E1137" t="s">
        <v>715</v>
      </c>
      <c r="F1137" t="s">
        <v>702</v>
      </c>
      <c r="G1137">
        <v>1</v>
      </c>
      <c r="H1137" s="9">
        <v>0</v>
      </c>
      <c r="I1137" t="s">
        <v>699</v>
      </c>
      <c r="J1137">
        <v>5</v>
      </c>
      <c r="K1137">
        <v>4</v>
      </c>
      <c r="L1137" t="str">
        <f>VLOOKUP(D1137,Products!A:E,2,FALSE)</f>
        <v>Headset</v>
      </c>
      <c r="M1137" t="str">
        <f>VLOOKUP(D1137,Products!A:E,3,FALSE)</f>
        <v>Technology</v>
      </c>
      <c r="N1137">
        <f>VLOOKUP(D1137,Products!A:E,4,FALSE)</f>
        <v>98</v>
      </c>
      <c r="O1137" s="13">
        <f>VLOOKUP(D1137,Products!A:E,5,FALSE)</f>
        <v>46</v>
      </c>
      <c r="P1137" s="13" t="str">
        <f>VLOOKUP(C1137,Customers!A:C,3,FALSE)</f>
        <v>Small Business</v>
      </c>
      <c r="Q1137" s="13">
        <f t="shared" si="68"/>
        <v>98</v>
      </c>
      <c r="R1137" s="13">
        <f t="shared" si="69"/>
        <v>46</v>
      </c>
      <c r="S1137" s="13">
        <f t="shared" si="70"/>
        <v>52</v>
      </c>
      <c r="T1137" s="14">
        <f t="shared" si="71"/>
        <v>0.53061224489795922</v>
      </c>
    </row>
    <row r="1138" spans="1:20">
      <c r="A1138" t="s">
        <v>1842</v>
      </c>
      <c r="B1138" s="8">
        <v>46223</v>
      </c>
      <c r="C1138" t="s">
        <v>609</v>
      </c>
      <c r="D1138" t="s">
        <v>58</v>
      </c>
      <c r="E1138" t="s">
        <v>697</v>
      </c>
      <c r="F1138" t="s">
        <v>702</v>
      </c>
      <c r="G1138">
        <v>2</v>
      </c>
      <c r="H1138" s="9">
        <v>0.15</v>
      </c>
      <c r="I1138" t="s">
        <v>699</v>
      </c>
      <c r="J1138">
        <v>5</v>
      </c>
      <c r="K1138">
        <v>2</v>
      </c>
      <c r="L1138" t="str">
        <f>VLOOKUP(D1138,Products!A:E,2,FALSE)</f>
        <v>Standing Desk</v>
      </c>
      <c r="M1138" t="str">
        <f>VLOOKUP(D1138,Products!A:E,3,FALSE)</f>
        <v>Furniture</v>
      </c>
      <c r="N1138">
        <f>VLOOKUP(D1138,Products!A:E,4,FALSE)</f>
        <v>540</v>
      </c>
      <c r="O1138" s="13">
        <f>VLOOKUP(D1138,Products!A:E,5,FALSE)</f>
        <v>320</v>
      </c>
      <c r="P1138" s="13" t="str">
        <f>VLOOKUP(C1138,Customers!A:C,3,FALSE)</f>
        <v>Small Business</v>
      </c>
      <c r="Q1138" s="13">
        <f t="shared" si="68"/>
        <v>918</v>
      </c>
      <c r="R1138" s="13">
        <f t="shared" si="69"/>
        <v>640</v>
      </c>
      <c r="S1138" s="13">
        <f t="shared" si="70"/>
        <v>278</v>
      </c>
      <c r="T1138" s="14">
        <f t="shared" si="71"/>
        <v>0.30283224400871461</v>
      </c>
    </row>
    <row r="1139" spans="1:20">
      <c r="A1139" t="s">
        <v>1843</v>
      </c>
      <c r="B1139" s="8">
        <v>45988</v>
      </c>
      <c r="C1139" t="s">
        <v>221</v>
      </c>
      <c r="D1139" t="s">
        <v>65</v>
      </c>
      <c r="E1139" t="s">
        <v>705</v>
      </c>
      <c r="F1139" t="s">
        <v>702</v>
      </c>
      <c r="G1139">
        <v>3</v>
      </c>
      <c r="H1139" s="9">
        <v>0</v>
      </c>
      <c r="I1139" t="s">
        <v>699</v>
      </c>
      <c r="J1139">
        <v>4</v>
      </c>
      <c r="K1139">
        <v>2</v>
      </c>
      <c r="L1139" t="str">
        <f>VLOOKUP(D1139,Products!A:E,2,FALSE)</f>
        <v>Laptop Stand</v>
      </c>
      <c r="M1139" t="str">
        <f>VLOOKUP(D1139,Products!A:E,3,FALSE)</f>
        <v>Accessories</v>
      </c>
      <c r="N1139">
        <f>VLOOKUP(D1139,Products!A:E,4,FALSE)</f>
        <v>48</v>
      </c>
      <c r="O1139" s="13">
        <f>VLOOKUP(D1139,Products!A:E,5,FALSE)</f>
        <v>22</v>
      </c>
      <c r="P1139" s="13" t="str">
        <f>VLOOKUP(C1139,Customers!A:C,3,FALSE)</f>
        <v>Consumer</v>
      </c>
      <c r="Q1139" s="13">
        <f t="shared" si="68"/>
        <v>144</v>
      </c>
      <c r="R1139" s="13">
        <f t="shared" si="69"/>
        <v>66</v>
      </c>
      <c r="S1139" s="13">
        <f t="shared" si="70"/>
        <v>78</v>
      </c>
      <c r="T1139" s="14">
        <f t="shared" si="71"/>
        <v>0.54166666666666663</v>
      </c>
    </row>
    <row r="1140" spans="1:20">
      <c r="A1140" t="s">
        <v>1844</v>
      </c>
      <c r="B1140" s="8">
        <v>45839</v>
      </c>
      <c r="C1140" t="s">
        <v>559</v>
      </c>
      <c r="D1140" t="s">
        <v>52</v>
      </c>
      <c r="E1140" t="s">
        <v>697</v>
      </c>
      <c r="F1140" t="s">
        <v>706</v>
      </c>
      <c r="G1140">
        <v>5</v>
      </c>
      <c r="H1140" s="9">
        <v>0.15</v>
      </c>
      <c r="I1140" t="s">
        <v>699</v>
      </c>
      <c r="J1140">
        <v>5</v>
      </c>
      <c r="K1140">
        <v>1</v>
      </c>
      <c r="L1140" t="str">
        <f>VLOOKUP(D1140,Products!A:E,2,FALSE)</f>
        <v>Mouse</v>
      </c>
      <c r="M1140" t="str">
        <f>VLOOKUP(D1140,Products!A:E,3,FALSE)</f>
        <v>Technology</v>
      </c>
      <c r="N1140">
        <f>VLOOKUP(D1140,Products!A:E,4,FALSE)</f>
        <v>42</v>
      </c>
      <c r="O1140" s="13">
        <f>VLOOKUP(D1140,Products!A:E,5,FALSE)</f>
        <v>19</v>
      </c>
      <c r="P1140" s="13" t="str">
        <f>VLOOKUP(C1140,Customers!A:C,3,FALSE)</f>
        <v>Small Business</v>
      </c>
      <c r="Q1140" s="13">
        <f t="shared" si="68"/>
        <v>178.5</v>
      </c>
      <c r="R1140" s="13">
        <f t="shared" si="69"/>
        <v>95</v>
      </c>
      <c r="S1140" s="13">
        <f t="shared" si="70"/>
        <v>83.5</v>
      </c>
      <c r="T1140" s="14">
        <f t="shared" si="71"/>
        <v>0.46778711484593838</v>
      </c>
    </row>
    <row r="1141" spans="1:20">
      <c r="A1141" t="s">
        <v>1845</v>
      </c>
      <c r="B1141" s="8">
        <v>45665</v>
      </c>
      <c r="C1141" t="s">
        <v>119</v>
      </c>
      <c r="D1141" t="s">
        <v>74</v>
      </c>
      <c r="E1141" t="s">
        <v>697</v>
      </c>
      <c r="F1141" t="s">
        <v>706</v>
      </c>
      <c r="G1141">
        <v>5</v>
      </c>
      <c r="H1141" s="9">
        <v>0</v>
      </c>
      <c r="I1141" t="s">
        <v>699</v>
      </c>
      <c r="J1141">
        <v>4</v>
      </c>
      <c r="K1141">
        <v>5</v>
      </c>
      <c r="L1141" t="str">
        <f>VLOOKUP(D1141,Products!A:E,2,FALSE)</f>
        <v>Printer Paper</v>
      </c>
      <c r="M1141" t="str">
        <f>VLOOKUP(D1141,Products!A:E,3,FALSE)</f>
        <v>Office Supplies</v>
      </c>
      <c r="N1141">
        <f>VLOOKUP(D1141,Products!A:E,4,FALSE)</f>
        <v>17</v>
      </c>
      <c r="O1141" s="13">
        <f>VLOOKUP(D1141,Products!A:E,5,FALSE)</f>
        <v>8</v>
      </c>
      <c r="P1141" s="13" t="str">
        <f>VLOOKUP(C1141,Customers!A:C,3,FALSE)</f>
        <v>Consumer</v>
      </c>
      <c r="Q1141" s="13">
        <f t="shared" si="68"/>
        <v>85</v>
      </c>
      <c r="R1141" s="13">
        <f t="shared" si="69"/>
        <v>40</v>
      </c>
      <c r="S1141" s="13">
        <f t="shared" si="70"/>
        <v>45</v>
      </c>
      <c r="T1141" s="14">
        <f t="shared" si="71"/>
        <v>0.52941176470588236</v>
      </c>
    </row>
    <row r="1142" spans="1:20">
      <c r="A1142" t="s">
        <v>1846</v>
      </c>
      <c r="B1142" s="8">
        <v>45781</v>
      </c>
      <c r="C1142" t="s">
        <v>633</v>
      </c>
      <c r="D1142" t="s">
        <v>45</v>
      </c>
      <c r="E1142" t="s">
        <v>715</v>
      </c>
      <c r="F1142" t="s">
        <v>698</v>
      </c>
      <c r="G1142">
        <v>1</v>
      </c>
      <c r="H1142" s="9">
        <v>0.1</v>
      </c>
      <c r="I1142" t="s">
        <v>699</v>
      </c>
      <c r="J1142">
        <v>5</v>
      </c>
      <c r="K1142">
        <v>1</v>
      </c>
      <c r="L1142" t="str">
        <f>VLOOKUP(D1142,Products!A:E,2,FALSE)</f>
        <v>Laptop</v>
      </c>
      <c r="M1142" t="str">
        <f>VLOOKUP(D1142,Products!A:E,3,FALSE)</f>
        <v>Technology</v>
      </c>
      <c r="N1142">
        <f>VLOOKUP(D1142,Products!A:E,4,FALSE)</f>
        <v>1100</v>
      </c>
      <c r="O1142" s="13">
        <f>VLOOKUP(D1142,Products!A:E,5,FALSE)</f>
        <v>720</v>
      </c>
      <c r="P1142" s="13" t="str">
        <f>VLOOKUP(C1142,Customers!A:C,3,FALSE)</f>
        <v>Small Business</v>
      </c>
      <c r="Q1142" s="13">
        <f t="shared" si="68"/>
        <v>990</v>
      </c>
      <c r="R1142" s="13">
        <f t="shared" si="69"/>
        <v>720</v>
      </c>
      <c r="S1142" s="13">
        <f t="shared" si="70"/>
        <v>270</v>
      </c>
      <c r="T1142" s="14">
        <f t="shared" si="71"/>
        <v>0.27272727272727271</v>
      </c>
    </row>
    <row r="1143" spans="1:20">
      <c r="A1143" t="s">
        <v>1847</v>
      </c>
      <c r="B1143" s="8">
        <v>46030</v>
      </c>
      <c r="C1143" t="s">
        <v>495</v>
      </c>
      <c r="D1143" t="s">
        <v>77</v>
      </c>
      <c r="E1143" t="s">
        <v>715</v>
      </c>
      <c r="F1143" t="s">
        <v>702</v>
      </c>
      <c r="G1143">
        <v>1</v>
      </c>
      <c r="H1143" s="9">
        <v>0</v>
      </c>
      <c r="I1143" t="s">
        <v>699</v>
      </c>
      <c r="J1143">
        <v>5</v>
      </c>
      <c r="K1143">
        <v>1</v>
      </c>
      <c r="L1143" t="str">
        <f>VLOOKUP(D1143,Products!A:E,2,FALSE)</f>
        <v>File Folder Pack</v>
      </c>
      <c r="M1143" t="str">
        <f>VLOOKUP(D1143,Products!A:E,3,FALSE)</f>
        <v>Office Supplies</v>
      </c>
      <c r="N1143">
        <f>VLOOKUP(D1143,Products!A:E,4,FALSE)</f>
        <v>23</v>
      </c>
      <c r="O1143" s="13">
        <f>VLOOKUP(D1143,Products!A:E,5,FALSE)</f>
        <v>10</v>
      </c>
      <c r="P1143" s="13" t="str">
        <f>VLOOKUP(C1143,Customers!A:C,3,FALSE)</f>
        <v>Consumer</v>
      </c>
      <c r="Q1143" s="13">
        <f t="shared" si="68"/>
        <v>23</v>
      </c>
      <c r="R1143" s="13">
        <f t="shared" si="69"/>
        <v>10</v>
      </c>
      <c r="S1143" s="13">
        <f t="shared" si="70"/>
        <v>13</v>
      </c>
      <c r="T1143" s="14">
        <f t="shared" si="71"/>
        <v>0.56521739130434778</v>
      </c>
    </row>
    <row r="1144" spans="1:20">
      <c r="A1144" t="s">
        <v>1848</v>
      </c>
      <c r="B1144" s="8">
        <v>45831</v>
      </c>
      <c r="C1144" t="s">
        <v>461</v>
      </c>
      <c r="D1144" t="s">
        <v>74</v>
      </c>
      <c r="E1144" t="s">
        <v>701</v>
      </c>
      <c r="F1144" t="s">
        <v>702</v>
      </c>
      <c r="G1144">
        <v>1</v>
      </c>
      <c r="H1144" s="9">
        <v>0.05</v>
      </c>
      <c r="I1144" t="s">
        <v>699</v>
      </c>
      <c r="J1144">
        <v>4</v>
      </c>
      <c r="K1144">
        <v>1</v>
      </c>
      <c r="L1144" t="str">
        <f>VLOOKUP(D1144,Products!A:E,2,FALSE)</f>
        <v>Printer Paper</v>
      </c>
      <c r="M1144" t="str">
        <f>VLOOKUP(D1144,Products!A:E,3,FALSE)</f>
        <v>Office Supplies</v>
      </c>
      <c r="N1144">
        <f>VLOOKUP(D1144,Products!A:E,4,FALSE)</f>
        <v>17</v>
      </c>
      <c r="O1144" s="13">
        <f>VLOOKUP(D1144,Products!A:E,5,FALSE)</f>
        <v>8</v>
      </c>
      <c r="P1144" s="13" t="str">
        <f>VLOOKUP(C1144,Customers!A:C,3,FALSE)</f>
        <v>Consumer</v>
      </c>
      <c r="Q1144" s="13">
        <f t="shared" si="68"/>
        <v>16.149999999999999</v>
      </c>
      <c r="R1144" s="13">
        <f t="shared" si="69"/>
        <v>8</v>
      </c>
      <c r="S1144" s="13">
        <f t="shared" si="70"/>
        <v>8.1499999999999986</v>
      </c>
      <c r="T1144" s="14">
        <f t="shared" si="71"/>
        <v>0.50464396284829716</v>
      </c>
    </row>
    <row r="1145" spans="1:20">
      <c r="A1145" t="s">
        <v>1849</v>
      </c>
      <c r="B1145" s="8">
        <v>46127</v>
      </c>
      <c r="C1145" t="s">
        <v>589</v>
      </c>
      <c r="D1145" t="s">
        <v>61</v>
      </c>
      <c r="E1145" t="s">
        <v>701</v>
      </c>
      <c r="F1145" t="s">
        <v>702</v>
      </c>
      <c r="G1145">
        <v>3</v>
      </c>
      <c r="H1145" s="9">
        <v>0</v>
      </c>
      <c r="I1145" t="s">
        <v>699</v>
      </c>
      <c r="J1145">
        <v>4</v>
      </c>
      <c r="K1145">
        <v>3</v>
      </c>
      <c r="L1145" t="str">
        <f>VLOOKUP(D1145,Products!A:E,2,FALSE)</f>
        <v>Office Chair</v>
      </c>
      <c r="M1145" t="str">
        <f>VLOOKUP(D1145,Products!A:E,3,FALSE)</f>
        <v>Furniture</v>
      </c>
      <c r="N1145">
        <f>VLOOKUP(D1145,Products!A:E,4,FALSE)</f>
        <v>255</v>
      </c>
      <c r="O1145" s="13">
        <f>VLOOKUP(D1145,Products!A:E,5,FALSE)</f>
        <v>145</v>
      </c>
      <c r="P1145" s="13" t="str">
        <f>VLOOKUP(C1145,Customers!A:C,3,FALSE)</f>
        <v>Corporate</v>
      </c>
      <c r="Q1145" s="13">
        <f t="shared" si="68"/>
        <v>765</v>
      </c>
      <c r="R1145" s="13">
        <f t="shared" si="69"/>
        <v>435</v>
      </c>
      <c r="S1145" s="13">
        <f t="shared" si="70"/>
        <v>330</v>
      </c>
      <c r="T1145" s="14">
        <f t="shared" si="71"/>
        <v>0.43137254901960786</v>
      </c>
    </row>
    <row r="1146" spans="1:20">
      <c r="A1146" t="s">
        <v>1850</v>
      </c>
      <c r="B1146" s="8">
        <v>45694</v>
      </c>
      <c r="C1146" t="s">
        <v>229</v>
      </c>
      <c r="D1146" t="s">
        <v>54</v>
      </c>
      <c r="E1146" t="s">
        <v>715</v>
      </c>
      <c r="F1146" t="s">
        <v>702</v>
      </c>
      <c r="G1146">
        <v>5</v>
      </c>
      <c r="H1146" s="9">
        <v>0.05</v>
      </c>
      <c r="I1146" t="s">
        <v>699</v>
      </c>
      <c r="J1146">
        <v>4</v>
      </c>
      <c r="K1146">
        <v>2</v>
      </c>
      <c r="L1146" t="str">
        <f>VLOOKUP(D1146,Products!A:E,2,FALSE)</f>
        <v>Webcam</v>
      </c>
      <c r="M1146" t="str">
        <f>VLOOKUP(D1146,Products!A:E,3,FALSE)</f>
        <v>Technology</v>
      </c>
      <c r="N1146">
        <f>VLOOKUP(D1146,Products!A:E,4,FALSE)</f>
        <v>115</v>
      </c>
      <c r="O1146" s="13">
        <f>VLOOKUP(D1146,Products!A:E,5,FALSE)</f>
        <v>58</v>
      </c>
      <c r="P1146" s="13" t="str">
        <f>VLOOKUP(C1146,Customers!A:C,3,FALSE)</f>
        <v>Small Business</v>
      </c>
      <c r="Q1146" s="13">
        <f t="shared" si="68"/>
        <v>546.25</v>
      </c>
      <c r="R1146" s="13">
        <f t="shared" si="69"/>
        <v>290</v>
      </c>
      <c r="S1146" s="13">
        <f t="shared" si="70"/>
        <v>256.25</v>
      </c>
      <c r="T1146" s="14">
        <f t="shared" si="71"/>
        <v>0.46910755148741418</v>
      </c>
    </row>
    <row r="1147" spans="1:20">
      <c r="A1147" t="s">
        <v>1851</v>
      </c>
      <c r="B1147" s="8">
        <v>46239</v>
      </c>
      <c r="C1147" t="s">
        <v>399</v>
      </c>
      <c r="D1147" t="s">
        <v>79</v>
      </c>
      <c r="E1147" t="s">
        <v>701</v>
      </c>
      <c r="F1147" t="s">
        <v>698</v>
      </c>
      <c r="G1147">
        <v>1</v>
      </c>
      <c r="H1147" s="9">
        <v>0.1</v>
      </c>
      <c r="I1147" t="s">
        <v>699</v>
      </c>
      <c r="J1147">
        <v>4</v>
      </c>
      <c r="K1147">
        <v>4</v>
      </c>
      <c r="L1147" t="str">
        <f>VLOOKUP(D1147,Products!A:E,2,FALSE)</f>
        <v>Desk Organiser</v>
      </c>
      <c r="M1147" t="str">
        <f>VLOOKUP(D1147,Products!A:E,3,FALSE)</f>
        <v>Office Supplies</v>
      </c>
      <c r="N1147">
        <f>VLOOKUP(D1147,Products!A:E,4,FALSE)</f>
        <v>28</v>
      </c>
      <c r="O1147" s="13">
        <f>VLOOKUP(D1147,Products!A:E,5,FALSE)</f>
        <v>12</v>
      </c>
      <c r="P1147" s="13" t="str">
        <f>VLOOKUP(C1147,Customers!A:C,3,FALSE)</f>
        <v>Consumer</v>
      </c>
      <c r="Q1147" s="13">
        <f t="shared" si="68"/>
        <v>25.2</v>
      </c>
      <c r="R1147" s="13">
        <f t="shared" si="69"/>
        <v>12</v>
      </c>
      <c r="S1147" s="13">
        <f t="shared" si="70"/>
        <v>13.2</v>
      </c>
      <c r="T1147" s="14">
        <f t="shared" si="71"/>
        <v>0.52380952380952384</v>
      </c>
    </row>
    <row r="1148" spans="1:20">
      <c r="A1148" t="s">
        <v>1852</v>
      </c>
      <c r="B1148" s="8">
        <v>45921</v>
      </c>
      <c r="C1148" t="s">
        <v>319</v>
      </c>
      <c r="D1148" t="s">
        <v>45</v>
      </c>
      <c r="E1148" t="s">
        <v>697</v>
      </c>
      <c r="F1148" t="s">
        <v>698</v>
      </c>
      <c r="G1148">
        <v>1</v>
      </c>
      <c r="H1148" s="9">
        <v>0</v>
      </c>
      <c r="I1148" t="s">
        <v>699</v>
      </c>
      <c r="J1148">
        <v>4</v>
      </c>
      <c r="K1148">
        <v>5</v>
      </c>
      <c r="L1148" t="str">
        <f>VLOOKUP(D1148,Products!A:E,2,FALSE)</f>
        <v>Laptop</v>
      </c>
      <c r="M1148" t="str">
        <f>VLOOKUP(D1148,Products!A:E,3,FALSE)</f>
        <v>Technology</v>
      </c>
      <c r="N1148">
        <f>VLOOKUP(D1148,Products!A:E,4,FALSE)</f>
        <v>1100</v>
      </c>
      <c r="O1148" s="13">
        <f>VLOOKUP(D1148,Products!A:E,5,FALSE)</f>
        <v>720</v>
      </c>
      <c r="P1148" s="13" t="str">
        <f>VLOOKUP(C1148,Customers!A:C,3,FALSE)</f>
        <v>Consumer</v>
      </c>
      <c r="Q1148" s="13">
        <f t="shared" si="68"/>
        <v>1100</v>
      </c>
      <c r="R1148" s="13">
        <f t="shared" si="69"/>
        <v>720</v>
      </c>
      <c r="S1148" s="13">
        <f t="shared" si="70"/>
        <v>380</v>
      </c>
      <c r="T1148" s="14">
        <f t="shared" si="71"/>
        <v>0.34545454545454546</v>
      </c>
    </row>
    <row r="1149" spans="1:20">
      <c r="A1149" t="s">
        <v>1853</v>
      </c>
      <c r="B1149" s="8">
        <v>46073</v>
      </c>
      <c r="C1149" t="s">
        <v>575</v>
      </c>
      <c r="D1149" t="s">
        <v>56</v>
      </c>
      <c r="E1149" t="s">
        <v>697</v>
      </c>
      <c r="F1149" t="s">
        <v>698</v>
      </c>
      <c r="G1149">
        <v>3</v>
      </c>
      <c r="H1149" s="9">
        <v>0.05</v>
      </c>
      <c r="I1149" t="s">
        <v>699</v>
      </c>
      <c r="J1149">
        <v>4</v>
      </c>
      <c r="K1149">
        <v>4</v>
      </c>
      <c r="L1149" t="str">
        <f>VLOOKUP(D1149,Products!A:E,2,FALSE)</f>
        <v>Headset</v>
      </c>
      <c r="M1149" t="str">
        <f>VLOOKUP(D1149,Products!A:E,3,FALSE)</f>
        <v>Technology</v>
      </c>
      <c r="N1149">
        <f>VLOOKUP(D1149,Products!A:E,4,FALSE)</f>
        <v>98</v>
      </c>
      <c r="O1149" s="13">
        <f>VLOOKUP(D1149,Products!A:E,5,FALSE)</f>
        <v>46</v>
      </c>
      <c r="P1149" s="13" t="str">
        <f>VLOOKUP(C1149,Customers!A:C,3,FALSE)</f>
        <v>Consumer</v>
      </c>
      <c r="Q1149" s="13">
        <f t="shared" si="68"/>
        <v>279.3</v>
      </c>
      <c r="R1149" s="13">
        <f t="shared" si="69"/>
        <v>138</v>
      </c>
      <c r="S1149" s="13">
        <f t="shared" si="70"/>
        <v>141.30000000000001</v>
      </c>
      <c r="T1149" s="14">
        <f t="shared" si="71"/>
        <v>0.50590762620837815</v>
      </c>
    </row>
    <row r="1150" spans="1:20">
      <c r="A1150" t="s">
        <v>1854</v>
      </c>
      <c r="B1150" s="8">
        <v>45831</v>
      </c>
      <c r="C1150" t="s">
        <v>623</v>
      </c>
      <c r="D1150" t="s">
        <v>79</v>
      </c>
      <c r="E1150" t="s">
        <v>705</v>
      </c>
      <c r="F1150" t="s">
        <v>706</v>
      </c>
      <c r="G1150">
        <v>1</v>
      </c>
      <c r="H1150" s="9">
        <v>0.2</v>
      </c>
      <c r="I1150" t="s">
        <v>699</v>
      </c>
      <c r="J1150">
        <v>4</v>
      </c>
      <c r="K1150">
        <v>2</v>
      </c>
      <c r="L1150" t="str">
        <f>VLOOKUP(D1150,Products!A:E,2,FALSE)</f>
        <v>Desk Organiser</v>
      </c>
      <c r="M1150" t="str">
        <f>VLOOKUP(D1150,Products!A:E,3,FALSE)</f>
        <v>Office Supplies</v>
      </c>
      <c r="N1150">
        <f>VLOOKUP(D1150,Products!A:E,4,FALSE)</f>
        <v>28</v>
      </c>
      <c r="O1150" s="13">
        <f>VLOOKUP(D1150,Products!A:E,5,FALSE)</f>
        <v>12</v>
      </c>
      <c r="P1150" s="13" t="str">
        <f>VLOOKUP(C1150,Customers!A:C,3,FALSE)</f>
        <v>Corporate</v>
      </c>
      <c r="Q1150" s="13">
        <f t="shared" si="68"/>
        <v>22.400000000000002</v>
      </c>
      <c r="R1150" s="13">
        <f t="shared" si="69"/>
        <v>12</v>
      </c>
      <c r="S1150" s="13">
        <f t="shared" si="70"/>
        <v>10.400000000000002</v>
      </c>
      <c r="T1150" s="14">
        <f t="shared" si="71"/>
        <v>0.46428571428571436</v>
      </c>
    </row>
    <row r="1151" spans="1:20">
      <c r="A1151" t="s">
        <v>1855</v>
      </c>
      <c r="B1151" s="8">
        <v>45811</v>
      </c>
      <c r="C1151" t="s">
        <v>371</v>
      </c>
      <c r="D1151" t="s">
        <v>52</v>
      </c>
      <c r="E1151" t="s">
        <v>701</v>
      </c>
      <c r="F1151" t="s">
        <v>702</v>
      </c>
      <c r="G1151">
        <v>2</v>
      </c>
      <c r="H1151" s="9">
        <v>0.15</v>
      </c>
      <c r="I1151" t="s">
        <v>699</v>
      </c>
      <c r="J1151">
        <v>5</v>
      </c>
      <c r="K1151">
        <v>5</v>
      </c>
      <c r="L1151" t="str">
        <f>VLOOKUP(D1151,Products!A:E,2,FALSE)</f>
        <v>Mouse</v>
      </c>
      <c r="M1151" t="str">
        <f>VLOOKUP(D1151,Products!A:E,3,FALSE)</f>
        <v>Technology</v>
      </c>
      <c r="N1151">
        <f>VLOOKUP(D1151,Products!A:E,4,FALSE)</f>
        <v>42</v>
      </c>
      <c r="O1151" s="13">
        <f>VLOOKUP(D1151,Products!A:E,5,FALSE)</f>
        <v>19</v>
      </c>
      <c r="P1151" s="13" t="str">
        <f>VLOOKUP(C1151,Customers!A:C,3,FALSE)</f>
        <v>Consumer</v>
      </c>
      <c r="Q1151" s="13">
        <f t="shared" si="68"/>
        <v>71.399999999999991</v>
      </c>
      <c r="R1151" s="13">
        <f t="shared" si="69"/>
        <v>38</v>
      </c>
      <c r="S1151" s="13">
        <f t="shared" si="70"/>
        <v>33.399999999999991</v>
      </c>
      <c r="T1151" s="14">
        <f t="shared" si="71"/>
        <v>0.46778711484593832</v>
      </c>
    </row>
    <row r="1152" spans="1:20">
      <c r="A1152" t="s">
        <v>1856</v>
      </c>
      <c r="B1152" s="8">
        <v>45891</v>
      </c>
      <c r="C1152" t="s">
        <v>293</v>
      </c>
      <c r="D1152" t="s">
        <v>70</v>
      </c>
      <c r="E1152" t="s">
        <v>701</v>
      </c>
      <c r="F1152" t="s">
        <v>702</v>
      </c>
      <c r="G1152">
        <v>1</v>
      </c>
      <c r="H1152" s="9">
        <v>0</v>
      </c>
      <c r="I1152" t="s">
        <v>699</v>
      </c>
      <c r="J1152">
        <v>4</v>
      </c>
      <c r="K1152">
        <v>5</v>
      </c>
      <c r="L1152" t="str">
        <f>VLOOKUP(D1152,Products!A:E,2,FALSE)</f>
        <v>USB-C Hub</v>
      </c>
      <c r="M1152" t="str">
        <f>VLOOKUP(D1152,Products!A:E,3,FALSE)</f>
        <v>Accessories</v>
      </c>
      <c r="N1152">
        <f>VLOOKUP(D1152,Products!A:E,4,FALSE)</f>
        <v>68</v>
      </c>
      <c r="O1152" s="13">
        <f>VLOOKUP(D1152,Products!A:E,5,FALSE)</f>
        <v>31</v>
      </c>
      <c r="P1152" s="13" t="str">
        <f>VLOOKUP(C1152,Customers!A:C,3,FALSE)</f>
        <v>Corporate</v>
      </c>
      <c r="Q1152" s="13">
        <f t="shared" si="68"/>
        <v>68</v>
      </c>
      <c r="R1152" s="13">
        <f t="shared" si="69"/>
        <v>31</v>
      </c>
      <c r="S1152" s="13">
        <f t="shared" si="70"/>
        <v>37</v>
      </c>
      <c r="T1152" s="14">
        <f t="shared" si="71"/>
        <v>0.54411764705882348</v>
      </c>
    </row>
    <row r="1153" spans="1:20">
      <c r="A1153" t="s">
        <v>1857</v>
      </c>
      <c r="B1153" s="8">
        <v>46208</v>
      </c>
      <c r="C1153" t="s">
        <v>167</v>
      </c>
      <c r="D1153" t="s">
        <v>48</v>
      </c>
      <c r="E1153" t="s">
        <v>715</v>
      </c>
      <c r="F1153" t="s">
        <v>698</v>
      </c>
      <c r="G1153">
        <v>1</v>
      </c>
      <c r="H1153" s="9">
        <v>0.1</v>
      </c>
      <c r="I1153" t="s">
        <v>699</v>
      </c>
      <c r="J1153">
        <v>5</v>
      </c>
      <c r="K1153">
        <v>2</v>
      </c>
      <c r="L1153" t="str">
        <f>VLOOKUP(D1153,Products!A:E,2,FALSE)</f>
        <v>Monitor</v>
      </c>
      <c r="M1153" t="str">
        <f>VLOOKUP(D1153,Products!A:E,3,FALSE)</f>
        <v>Technology</v>
      </c>
      <c r="N1153">
        <f>VLOOKUP(D1153,Products!A:E,4,FALSE)</f>
        <v>310</v>
      </c>
      <c r="O1153" s="13">
        <f>VLOOKUP(D1153,Products!A:E,5,FALSE)</f>
        <v>190</v>
      </c>
      <c r="P1153" s="13" t="str">
        <f>VLOOKUP(C1153,Customers!A:C,3,FALSE)</f>
        <v>Corporate</v>
      </c>
      <c r="Q1153" s="13">
        <f t="shared" si="68"/>
        <v>279</v>
      </c>
      <c r="R1153" s="13">
        <f t="shared" si="69"/>
        <v>190</v>
      </c>
      <c r="S1153" s="13">
        <f t="shared" si="70"/>
        <v>89</v>
      </c>
      <c r="T1153" s="14">
        <f t="shared" si="71"/>
        <v>0.31899641577060933</v>
      </c>
    </row>
    <row r="1154" spans="1:20">
      <c r="A1154" t="s">
        <v>1858</v>
      </c>
      <c r="B1154" s="8">
        <v>45891</v>
      </c>
      <c r="C1154" t="s">
        <v>553</v>
      </c>
      <c r="D1154" t="s">
        <v>56</v>
      </c>
      <c r="E1154" t="s">
        <v>705</v>
      </c>
      <c r="F1154" t="s">
        <v>698</v>
      </c>
      <c r="G1154">
        <v>3</v>
      </c>
      <c r="H1154" s="9">
        <v>0</v>
      </c>
      <c r="I1154" t="s">
        <v>699</v>
      </c>
      <c r="J1154">
        <v>5</v>
      </c>
      <c r="K1154">
        <v>1</v>
      </c>
      <c r="L1154" t="str">
        <f>VLOOKUP(D1154,Products!A:E,2,FALSE)</f>
        <v>Headset</v>
      </c>
      <c r="M1154" t="str">
        <f>VLOOKUP(D1154,Products!A:E,3,FALSE)</f>
        <v>Technology</v>
      </c>
      <c r="N1154">
        <f>VLOOKUP(D1154,Products!A:E,4,FALSE)</f>
        <v>98</v>
      </c>
      <c r="O1154" s="13">
        <f>VLOOKUP(D1154,Products!A:E,5,FALSE)</f>
        <v>46</v>
      </c>
      <c r="P1154" s="13" t="str">
        <f>VLOOKUP(C1154,Customers!A:C,3,FALSE)</f>
        <v>Corporate</v>
      </c>
      <c r="Q1154" s="13">
        <f t="shared" ref="Q1154:Q1201" si="72">G1154*N1154*(1-H1154)</f>
        <v>294</v>
      </c>
      <c r="R1154" s="13">
        <f t="shared" ref="R1154:R1201" si="73">G1154*O1154</f>
        <v>138</v>
      </c>
      <c r="S1154" s="13">
        <f t="shared" ref="S1154:S1217" si="74">Q1154-R1154</f>
        <v>156</v>
      </c>
      <c r="T1154" s="14">
        <f t="shared" ref="T1154:T1217" si="75">IFERROR(S1154/Q1154,0)</f>
        <v>0.53061224489795922</v>
      </c>
    </row>
    <row r="1155" spans="1:20">
      <c r="A1155" t="s">
        <v>1859</v>
      </c>
      <c r="B1155" s="8">
        <v>45793</v>
      </c>
      <c r="C1155" t="s">
        <v>621</v>
      </c>
      <c r="D1155" t="s">
        <v>65</v>
      </c>
      <c r="E1155" t="s">
        <v>705</v>
      </c>
      <c r="F1155" t="s">
        <v>702</v>
      </c>
      <c r="G1155">
        <v>3</v>
      </c>
      <c r="H1155" s="9">
        <v>0.05</v>
      </c>
      <c r="I1155" t="s">
        <v>699</v>
      </c>
      <c r="J1155">
        <v>4</v>
      </c>
      <c r="K1155">
        <v>1</v>
      </c>
      <c r="L1155" t="str">
        <f>VLOOKUP(D1155,Products!A:E,2,FALSE)</f>
        <v>Laptop Stand</v>
      </c>
      <c r="M1155" t="str">
        <f>VLOOKUP(D1155,Products!A:E,3,FALSE)</f>
        <v>Accessories</v>
      </c>
      <c r="N1155">
        <f>VLOOKUP(D1155,Products!A:E,4,FALSE)</f>
        <v>48</v>
      </c>
      <c r="O1155" s="13">
        <f>VLOOKUP(D1155,Products!A:E,5,FALSE)</f>
        <v>22</v>
      </c>
      <c r="P1155" s="13" t="str">
        <f>VLOOKUP(C1155,Customers!A:C,3,FALSE)</f>
        <v>Small Business</v>
      </c>
      <c r="Q1155" s="13">
        <f t="shared" si="72"/>
        <v>136.79999999999998</v>
      </c>
      <c r="R1155" s="13">
        <f t="shared" si="73"/>
        <v>66</v>
      </c>
      <c r="S1155" s="13">
        <f t="shared" si="74"/>
        <v>70.799999999999983</v>
      </c>
      <c r="T1155" s="14">
        <f t="shared" si="75"/>
        <v>0.51754385964912275</v>
      </c>
    </row>
    <row r="1156" spans="1:20">
      <c r="A1156" t="s">
        <v>1860</v>
      </c>
      <c r="B1156" s="8">
        <v>45984</v>
      </c>
      <c r="C1156" t="s">
        <v>161</v>
      </c>
      <c r="D1156" t="s">
        <v>58</v>
      </c>
      <c r="E1156" t="s">
        <v>715</v>
      </c>
      <c r="F1156" t="s">
        <v>702</v>
      </c>
      <c r="G1156">
        <v>2</v>
      </c>
      <c r="H1156" s="9">
        <v>0</v>
      </c>
      <c r="I1156" t="s">
        <v>699</v>
      </c>
      <c r="J1156">
        <v>4</v>
      </c>
      <c r="K1156">
        <v>3</v>
      </c>
      <c r="L1156" t="str">
        <f>VLOOKUP(D1156,Products!A:E,2,FALSE)</f>
        <v>Standing Desk</v>
      </c>
      <c r="M1156" t="str">
        <f>VLOOKUP(D1156,Products!A:E,3,FALSE)</f>
        <v>Furniture</v>
      </c>
      <c r="N1156">
        <f>VLOOKUP(D1156,Products!A:E,4,FALSE)</f>
        <v>540</v>
      </c>
      <c r="O1156" s="13">
        <f>VLOOKUP(D1156,Products!A:E,5,FALSE)</f>
        <v>320</v>
      </c>
      <c r="P1156" s="13" t="str">
        <f>VLOOKUP(C1156,Customers!A:C,3,FALSE)</f>
        <v>Corporate</v>
      </c>
      <c r="Q1156" s="13">
        <f t="shared" si="72"/>
        <v>1080</v>
      </c>
      <c r="R1156" s="13">
        <f t="shared" si="73"/>
        <v>640</v>
      </c>
      <c r="S1156" s="13">
        <f t="shared" si="74"/>
        <v>440</v>
      </c>
      <c r="T1156" s="14">
        <f t="shared" si="75"/>
        <v>0.40740740740740738</v>
      </c>
    </row>
    <row r="1157" spans="1:20">
      <c r="A1157" t="s">
        <v>1861</v>
      </c>
      <c r="B1157" s="8">
        <v>46240</v>
      </c>
      <c r="C1157" t="s">
        <v>94</v>
      </c>
      <c r="D1157" t="s">
        <v>74</v>
      </c>
      <c r="E1157" t="s">
        <v>697</v>
      </c>
      <c r="F1157" t="s">
        <v>702</v>
      </c>
      <c r="G1157">
        <v>5</v>
      </c>
      <c r="H1157" s="9">
        <v>0.1</v>
      </c>
      <c r="I1157" t="s">
        <v>699</v>
      </c>
      <c r="J1157">
        <v>5</v>
      </c>
      <c r="K1157">
        <v>5</v>
      </c>
      <c r="L1157" t="str">
        <f>VLOOKUP(D1157,Products!A:E,2,FALSE)</f>
        <v>Printer Paper</v>
      </c>
      <c r="M1157" t="str">
        <f>VLOOKUP(D1157,Products!A:E,3,FALSE)</f>
        <v>Office Supplies</v>
      </c>
      <c r="N1157">
        <f>VLOOKUP(D1157,Products!A:E,4,FALSE)</f>
        <v>17</v>
      </c>
      <c r="O1157" s="13">
        <f>VLOOKUP(D1157,Products!A:E,5,FALSE)</f>
        <v>8</v>
      </c>
      <c r="P1157" s="13" t="str">
        <f>VLOOKUP(C1157,Customers!A:C,3,FALSE)</f>
        <v>Corporate</v>
      </c>
      <c r="Q1157" s="13">
        <f t="shared" si="72"/>
        <v>76.5</v>
      </c>
      <c r="R1157" s="13">
        <f t="shared" si="73"/>
        <v>40</v>
      </c>
      <c r="S1157" s="13">
        <f t="shared" si="74"/>
        <v>36.5</v>
      </c>
      <c r="T1157" s="14">
        <f t="shared" si="75"/>
        <v>0.47712418300653597</v>
      </c>
    </row>
    <row r="1158" spans="1:20">
      <c r="A1158" t="s">
        <v>1862</v>
      </c>
      <c r="B1158" s="8">
        <v>46125</v>
      </c>
      <c r="C1158" t="s">
        <v>84</v>
      </c>
      <c r="D1158" t="s">
        <v>63</v>
      </c>
      <c r="E1158" t="s">
        <v>701</v>
      </c>
      <c r="F1158" t="s">
        <v>698</v>
      </c>
      <c r="G1158">
        <v>2</v>
      </c>
      <c r="H1158" s="9">
        <v>0</v>
      </c>
      <c r="I1158" t="s">
        <v>699</v>
      </c>
      <c r="J1158">
        <v>4</v>
      </c>
      <c r="K1158">
        <v>3</v>
      </c>
      <c r="L1158" t="str">
        <f>VLOOKUP(D1158,Products!A:E,2,FALSE)</f>
        <v>Bookshelf</v>
      </c>
      <c r="M1158" t="str">
        <f>VLOOKUP(D1158,Products!A:E,3,FALSE)</f>
        <v>Furniture</v>
      </c>
      <c r="N1158">
        <f>VLOOKUP(D1158,Products!A:E,4,FALSE)</f>
        <v>185</v>
      </c>
      <c r="O1158" s="13">
        <f>VLOOKUP(D1158,Products!A:E,5,FALSE)</f>
        <v>105</v>
      </c>
      <c r="P1158" s="13" t="str">
        <f>VLOOKUP(C1158,Customers!A:C,3,FALSE)</f>
        <v>Corporate</v>
      </c>
      <c r="Q1158" s="13">
        <f t="shared" si="72"/>
        <v>370</v>
      </c>
      <c r="R1158" s="13">
        <f t="shared" si="73"/>
        <v>210</v>
      </c>
      <c r="S1158" s="13">
        <f t="shared" si="74"/>
        <v>160</v>
      </c>
      <c r="T1158" s="14">
        <f t="shared" si="75"/>
        <v>0.43243243243243246</v>
      </c>
    </row>
    <row r="1159" spans="1:20">
      <c r="A1159" t="s">
        <v>1863</v>
      </c>
      <c r="B1159" s="8">
        <v>45928</v>
      </c>
      <c r="C1159" t="s">
        <v>631</v>
      </c>
      <c r="D1159" t="s">
        <v>61</v>
      </c>
      <c r="E1159" t="s">
        <v>708</v>
      </c>
      <c r="F1159" t="s">
        <v>698</v>
      </c>
      <c r="G1159">
        <v>2</v>
      </c>
      <c r="H1159" s="9">
        <v>0.05</v>
      </c>
      <c r="I1159" t="s">
        <v>699</v>
      </c>
      <c r="J1159">
        <v>5</v>
      </c>
      <c r="K1159">
        <v>2</v>
      </c>
      <c r="L1159" t="str">
        <f>VLOOKUP(D1159,Products!A:E,2,FALSE)</f>
        <v>Office Chair</v>
      </c>
      <c r="M1159" t="str">
        <f>VLOOKUP(D1159,Products!A:E,3,FALSE)</f>
        <v>Furniture</v>
      </c>
      <c r="N1159">
        <f>VLOOKUP(D1159,Products!A:E,4,FALSE)</f>
        <v>255</v>
      </c>
      <c r="O1159" s="13">
        <f>VLOOKUP(D1159,Products!A:E,5,FALSE)</f>
        <v>145</v>
      </c>
      <c r="P1159" s="13" t="str">
        <f>VLOOKUP(C1159,Customers!A:C,3,FALSE)</f>
        <v>Corporate</v>
      </c>
      <c r="Q1159" s="13">
        <f t="shared" si="72"/>
        <v>484.5</v>
      </c>
      <c r="R1159" s="13">
        <f t="shared" si="73"/>
        <v>290</v>
      </c>
      <c r="S1159" s="13">
        <f t="shared" si="74"/>
        <v>194.5</v>
      </c>
      <c r="T1159" s="14">
        <f t="shared" si="75"/>
        <v>0.40144478844169246</v>
      </c>
    </row>
    <row r="1160" spans="1:20">
      <c r="A1160" t="s">
        <v>1864</v>
      </c>
      <c r="B1160" s="8">
        <v>46157</v>
      </c>
      <c r="C1160" t="s">
        <v>92</v>
      </c>
      <c r="D1160" t="s">
        <v>68</v>
      </c>
      <c r="E1160" t="s">
        <v>697</v>
      </c>
      <c r="F1160" t="s">
        <v>698</v>
      </c>
      <c r="G1160">
        <v>2</v>
      </c>
      <c r="H1160" s="9">
        <v>0</v>
      </c>
      <c r="I1160" t="s">
        <v>699</v>
      </c>
      <c r="J1160">
        <v>5</v>
      </c>
      <c r="K1160">
        <v>1</v>
      </c>
      <c r="L1160" t="str">
        <f>VLOOKUP(D1160,Products!A:E,2,FALSE)</f>
        <v>Backpack</v>
      </c>
      <c r="M1160" t="str">
        <f>VLOOKUP(D1160,Products!A:E,3,FALSE)</f>
        <v>Accessories</v>
      </c>
      <c r="N1160">
        <f>VLOOKUP(D1160,Products!A:E,4,FALSE)</f>
        <v>85</v>
      </c>
      <c r="O1160" s="13">
        <f>VLOOKUP(D1160,Products!A:E,5,FALSE)</f>
        <v>39</v>
      </c>
      <c r="P1160" s="13" t="str">
        <f>VLOOKUP(C1160,Customers!A:C,3,FALSE)</f>
        <v>Consumer</v>
      </c>
      <c r="Q1160" s="13">
        <f t="shared" si="72"/>
        <v>170</v>
      </c>
      <c r="R1160" s="13">
        <f t="shared" si="73"/>
        <v>78</v>
      </c>
      <c r="S1160" s="13">
        <f t="shared" si="74"/>
        <v>92</v>
      </c>
      <c r="T1160" s="14">
        <f t="shared" si="75"/>
        <v>0.54117647058823526</v>
      </c>
    </row>
    <row r="1161" spans="1:20">
      <c r="A1161" t="s">
        <v>1865</v>
      </c>
      <c r="B1161" s="8">
        <v>46111</v>
      </c>
      <c r="C1161" t="s">
        <v>437</v>
      </c>
      <c r="D1161" t="s">
        <v>56</v>
      </c>
      <c r="E1161" t="s">
        <v>705</v>
      </c>
      <c r="F1161" t="s">
        <v>702</v>
      </c>
      <c r="G1161">
        <v>1</v>
      </c>
      <c r="H1161" s="9">
        <v>0</v>
      </c>
      <c r="I1161" t="s">
        <v>699</v>
      </c>
      <c r="J1161">
        <v>5</v>
      </c>
      <c r="K1161">
        <v>4</v>
      </c>
      <c r="L1161" t="str">
        <f>VLOOKUP(D1161,Products!A:E,2,FALSE)</f>
        <v>Headset</v>
      </c>
      <c r="M1161" t="str">
        <f>VLOOKUP(D1161,Products!A:E,3,FALSE)</f>
        <v>Technology</v>
      </c>
      <c r="N1161">
        <f>VLOOKUP(D1161,Products!A:E,4,FALSE)</f>
        <v>98</v>
      </c>
      <c r="O1161" s="13">
        <f>VLOOKUP(D1161,Products!A:E,5,FALSE)</f>
        <v>46</v>
      </c>
      <c r="P1161" s="13" t="str">
        <f>VLOOKUP(C1161,Customers!A:C,3,FALSE)</f>
        <v>Consumer</v>
      </c>
      <c r="Q1161" s="13">
        <f t="shared" si="72"/>
        <v>98</v>
      </c>
      <c r="R1161" s="13">
        <f t="shared" si="73"/>
        <v>46</v>
      </c>
      <c r="S1161" s="13">
        <f t="shared" si="74"/>
        <v>52</v>
      </c>
      <c r="T1161" s="14">
        <f t="shared" si="75"/>
        <v>0.53061224489795922</v>
      </c>
    </row>
    <row r="1162" spans="1:20">
      <c r="A1162" t="s">
        <v>1866</v>
      </c>
      <c r="B1162" s="8">
        <v>45763</v>
      </c>
      <c r="C1162" t="s">
        <v>393</v>
      </c>
      <c r="D1162" t="s">
        <v>58</v>
      </c>
      <c r="E1162" t="s">
        <v>715</v>
      </c>
      <c r="F1162" t="s">
        <v>702</v>
      </c>
      <c r="G1162">
        <v>1</v>
      </c>
      <c r="H1162" s="9">
        <v>0.1</v>
      </c>
      <c r="I1162" t="s">
        <v>699</v>
      </c>
      <c r="J1162">
        <v>5</v>
      </c>
      <c r="K1162">
        <v>5</v>
      </c>
      <c r="L1162" t="str">
        <f>VLOOKUP(D1162,Products!A:E,2,FALSE)</f>
        <v>Standing Desk</v>
      </c>
      <c r="M1162" t="str">
        <f>VLOOKUP(D1162,Products!A:E,3,FALSE)</f>
        <v>Furniture</v>
      </c>
      <c r="N1162">
        <f>VLOOKUP(D1162,Products!A:E,4,FALSE)</f>
        <v>540</v>
      </c>
      <c r="O1162" s="13">
        <f>VLOOKUP(D1162,Products!A:E,5,FALSE)</f>
        <v>320</v>
      </c>
      <c r="P1162" s="13" t="str">
        <f>VLOOKUP(C1162,Customers!A:C,3,FALSE)</f>
        <v>Corporate</v>
      </c>
      <c r="Q1162" s="13">
        <f t="shared" si="72"/>
        <v>486</v>
      </c>
      <c r="R1162" s="13">
        <f t="shared" si="73"/>
        <v>320</v>
      </c>
      <c r="S1162" s="13">
        <f t="shared" si="74"/>
        <v>166</v>
      </c>
      <c r="T1162" s="14">
        <f t="shared" si="75"/>
        <v>0.34156378600823045</v>
      </c>
    </row>
    <row r="1163" spans="1:20">
      <c r="A1163" t="s">
        <v>1867</v>
      </c>
      <c r="B1163" s="8">
        <v>45818</v>
      </c>
      <c r="C1163" t="s">
        <v>419</v>
      </c>
      <c r="D1163" t="s">
        <v>79</v>
      </c>
      <c r="E1163" t="s">
        <v>701</v>
      </c>
      <c r="F1163" t="s">
        <v>698</v>
      </c>
      <c r="G1163">
        <v>4</v>
      </c>
      <c r="H1163" s="9">
        <v>0</v>
      </c>
      <c r="I1163" t="s">
        <v>703</v>
      </c>
      <c r="J1163">
        <v>4</v>
      </c>
      <c r="K1163">
        <v>6</v>
      </c>
      <c r="L1163" t="str">
        <f>VLOOKUP(D1163,Products!A:E,2,FALSE)</f>
        <v>Desk Organiser</v>
      </c>
      <c r="M1163" t="str">
        <f>VLOOKUP(D1163,Products!A:E,3,FALSE)</f>
        <v>Office Supplies</v>
      </c>
      <c r="N1163">
        <f>VLOOKUP(D1163,Products!A:E,4,FALSE)</f>
        <v>28</v>
      </c>
      <c r="O1163" s="13">
        <f>VLOOKUP(D1163,Products!A:E,5,FALSE)</f>
        <v>12</v>
      </c>
      <c r="P1163" s="13" t="str">
        <f>VLOOKUP(C1163,Customers!A:C,3,FALSE)</f>
        <v>Consumer</v>
      </c>
      <c r="Q1163" s="13">
        <f t="shared" si="72"/>
        <v>112</v>
      </c>
      <c r="R1163" s="13">
        <f t="shared" si="73"/>
        <v>48</v>
      </c>
      <c r="S1163" s="13">
        <f t="shared" si="74"/>
        <v>64</v>
      </c>
      <c r="T1163" s="14">
        <f t="shared" si="75"/>
        <v>0.5714285714285714</v>
      </c>
    </row>
    <row r="1164" spans="1:20">
      <c r="A1164" t="s">
        <v>1868</v>
      </c>
      <c r="B1164" s="8">
        <v>45806</v>
      </c>
      <c r="C1164" t="s">
        <v>399</v>
      </c>
      <c r="D1164" t="s">
        <v>68</v>
      </c>
      <c r="E1164" t="s">
        <v>701</v>
      </c>
      <c r="F1164" t="s">
        <v>698</v>
      </c>
      <c r="G1164">
        <v>1</v>
      </c>
      <c r="H1164" s="9">
        <v>0</v>
      </c>
      <c r="I1164" t="s">
        <v>699</v>
      </c>
      <c r="J1164">
        <v>5</v>
      </c>
      <c r="K1164">
        <v>1</v>
      </c>
      <c r="L1164" t="str">
        <f>VLOOKUP(D1164,Products!A:E,2,FALSE)</f>
        <v>Backpack</v>
      </c>
      <c r="M1164" t="str">
        <f>VLOOKUP(D1164,Products!A:E,3,FALSE)</f>
        <v>Accessories</v>
      </c>
      <c r="N1164">
        <f>VLOOKUP(D1164,Products!A:E,4,FALSE)</f>
        <v>85</v>
      </c>
      <c r="O1164" s="13">
        <f>VLOOKUP(D1164,Products!A:E,5,FALSE)</f>
        <v>39</v>
      </c>
      <c r="P1164" s="13" t="str">
        <f>VLOOKUP(C1164,Customers!A:C,3,FALSE)</f>
        <v>Consumer</v>
      </c>
      <c r="Q1164" s="13">
        <f t="shared" si="72"/>
        <v>85</v>
      </c>
      <c r="R1164" s="13">
        <f t="shared" si="73"/>
        <v>39</v>
      </c>
      <c r="S1164" s="13">
        <f t="shared" si="74"/>
        <v>46</v>
      </c>
      <c r="T1164" s="14">
        <f t="shared" si="75"/>
        <v>0.54117647058823526</v>
      </c>
    </row>
    <row r="1165" spans="1:20">
      <c r="A1165" t="s">
        <v>1869</v>
      </c>
      <c r="B1165" s="8">
        <v>46071</v>
      </c>
      <c r="C1165" t="s">
        <v>143</v>
      </c>
      <c r="D1165" t="s">
        <v>74</v>
      </c>
      <c r="E1165" t="s">
        <v>708</v>
      </c>
      <c r="F1165" t="s">
        <v>698</v>
      </c>
      <c r="G1165">
        <v>8</v>
      </c>
      <c r="H1165" s="9">
        <v>0.1</v>
      </c>
      <c r="I1165" t="s">
        <v>699</v>
      </c>
      <c r="J1165">
        <v>5</v>
      </c>
      <c r="K1165">
        <v>2</v>
      </c>
      <c r="L1165" t="str">
        <f>VLOOKUP(D1165,Products!A:E,2,FALSE)</f>
        <v>Printer Paper</v>
      </c>
      <c r="M1165" t="str">
        <f>VLOOKUP(D1165,Products!A:E,3,FALSE)</f>
        <v>Office Supplies</v>
      </c>
      <c r="N1165">
        <f>VLOOKUP(D1165,Products!A:E,4,FALSE)</f>
        <v>17</v>
      </c>
      <c r="O1165" s="13">
        <f>VLOOKUP(D1165,Products!A:E,5,FALSE)</f>
        <v>8</v>
      </c>
      <c r="P1165" s="13" t="str">
        <f>VLOOKUP(C1165,Customers!A:C,3,FALSE)</f>
        <v>Small Business</v>
      </c>
      <c r="Q1165" s="13">
        <f t="shared" si="72"/>
        <v>122.4</v>
      </c>
      <c r="R1165" s="13">
        <f t="shared" si="73"/>
        <v>64</v>
      </c>
      <c r="S1165" s="13">
        <f t="shared" si="74"/>
        <v>58.400000000000006</v>
      </c>
      <c r="T1165" s="14">
        <f t="shared" si="75"/>
        <v>0.47712418300653597</v>
      </c>
    </row>
    <row r="1166" spans="1:20">
      <c r="A1166" t="s">
        <v>1870</v>
      </c>
      <c r="B1166" s="8">
        <v>45920</v>
      </c>
      <c r="C1166" t="s">
        <v>387</v>
      </c>
      <c r="D1166" t="s">
        <v>70</v>
      </c>
      <c r="E1166" t="s">
        <v>705</v>
      </c>
      <c r="F1166" t="s">
        <v>702</v>
      </c>
      <c r="G1166">
        <v>2</v>
      </c>
      <c r="H1166" s="9">
        <v>0.05</v>
      </c>
      <c r="I1166" t="s">
        <v>699</v>
      </c>
      <c r="J1166">
        <v>5</v>
      </c>
      <c r="K1166">
        <v>5</v>
      </c>
      <c r="L1166" t="str">
        <f>VLOOKUP(D1166,Products!A:E,2,FALSE)</f>
        <v>USB-C Hub</v>
      </c>
      <c r="M1166" t="str">
        <f>VLOOKUP(D1166,Products!A:E,3,FALSE)</f>
        <v>Accessories</v>
      </c>
      <c r="N1166">
        <f>VLOOKUP(D1166,Products!A:E,4,FALSE)</f>
        <v>68</v>
      </c>
      <c r="O1166" s="13">
        <f>VLOOKUP(D1166,Products!A:E,5,FALSE)</f>
        <v>31</v>
      </c>
      <c r="P1166" s="13" t="str">
        <f>VLOOKUP(C1166,Customers!A:C,3,FALSE)</f>
        <v>Small Business</v>
      </c>
      <c r="Q1166" s="13">
        <f t="shared" si="72"/>
        <v>129.19999999999999</v>
      </c>
      <c r="R1166" s="13">
        <f t="shared" si="73"/>
        <v>62</v>
      </c>
      <c r="S1166" s="13">
        <f t="shared" si="74"/>
        <v>67.199999999999989</v>
      </c>
      <c r="T1166" s="14">
        <f t="shared" si="75"/>
        <v>0.52012383900928794</v>
      </c>
    </row>
    <row r="1167" spans="1:20">
      <c r="A1167" t="s">
        <v>1871</v>
      </c>
      <c r="B1167" s="8">
        <v>46173</v>
      </c>
      <c r="C1167" t="s">
        <v>537</v>
      </c>
      <c r="D1167" t="s">
        <v>63</v>
      </c>
      <c r="E1167" t="s">
        <v>705</v>
      </c>
      <c r="F1167" t="s">
        <v>702</v>
      </c>
      <c r="G1167">
        <v>2</v>
      </c>
      <c r="H1167" s="9">
        <v>0.05</v>
      </c>
      <c r="I1167" t="s">
        <v>699</v>
      </c>
      <c r="J1167">
        <v>4</v>
      </c>
      <c r="K1167">
        <v>1</v>
      </c>
      <c r="L1167" t="str">
        <f>VLOOKUP(D1167,Products!A:E,2,FALSE)</f>
        <v>Bookshelf</v>
      </c>
      <c r="M1167" t="str">
        <f>VLOOKUP(D1167,Products!A:E,3,FALSE)</f>
        <v>Furniture</v>
      </c>
      <c r="N1167">
        <f>VLOOKUP(D1167,Products!A:E,4,FALSE)</f>
        <v>185</v>
      </c>
      <c r="O1167" s="13">
        <f>VLOOKUP(D1167,Products!A:E,5,FALSE)</f>
        <v>105</v>
      </c>
      <c r="P1167" s="13" t="str">
        <f>VLOOKUP(C1167,Customers!A:C,3,FALSE)</f>
        <v>Corporate</v>
      </c>
      <c r="Q1167" s="13">
        <f t="shared" si="72"/>
        <v>351.5</v>
      </c>
      <c r="R1167" s="13">
        <f t="shared" si="73"/>
        <v>210</v>
      </c>
      <c r="S1167" s="13">
        <f t="shared" si="74"/>
        <v>141.5</v>
      </c>
      <c r="T1167" s="14">
        <f t="shared" si="75"/>
        <v>0.40256045519203415</v>
      </c>
    </row>
    <row r="1168" spans="1:20">
      <c r="A1168" t="s">
        <v>1872</v>
      </c>
      <c r="B1168" s="8">
        <v>46057</v>
      </c>
      <c r="C1168" t="s">
        <v>585</v>
      </c>
      <c r="D1168" t="s">
        <v>61</v>
      </c>
      <c r="E1168" t="s">
        <v>708</v>
      </c>
      <c r="F1168" t="s">
        <v>698</v>
      </c>
      <c r="G1168">
        <v>2</v>
      </c>
      <c r="H1168" s="9">
        <v>0</v>
      </c>
      <c r="I1168" t="s">
        <v>699</v>
      </c>
      <c r="J1168">
        <v>4</v>
      </c>
      <c r="K1168">
        <v>3</v>
      </c>
      <c r="L1168" t="str">
        <f>VLOOKUP(D1168,Products!A:E,2,FALSE)</f>
        <v>Office Chair</v>
      </c>
      <c r="M1168" t="str">
        <f>VLOOKUP(D1168,Products!A:E,3,FALSE)</f>
        <v>Furniture</v>
      </c>
      <c r="N1168">
        <f>VLOOKUP(D1168,Products!A:E,4,FALSE)</f>
        <v>255</v>
      </c>
      <c r="O1168" s="13">
        <f>VLOOKUP(D1168,Products!A:E,5,FALSE)</f>
        <v>145</v>
      </c>
      <c r="P1168" s="13" t="str">
        <f>VLOOKUP(C1168,Customers!A:C,3,FALSE)</f>
        <v>Consumer</v>
      </c>
      <c r="Q1168" s="13">
        <f t="shared" si="72"/>
        <v>510</v>
      </c>
      <c r="R1168" s="13">
        <f t="shared" si="73"/>
        <v>290</v>
      </c>
      <c r="S1168" s="13">
        <f t="shared" si="74"/>
        <v>220</v>
      </c>
      <c r="T1168" s="14">
        <f t="shared" si="75"/>
        <v>0.43137254901960786</v>
      </c>
    </row>
    <row r="1169" spans="1:20">
      <c r="A1169" t="s">
        <v>1873</v>
      </c>
      <c r="B1169" s="8">
        <v>46106</v>
      </c>
      <c r="C1169" t="s">
        <v>377</v>
      </c>
      <c r="D1169" t="s">
        <v>52</v>
      </c>
      <c r="E1169" t="s">
        <v>715</v>
      </c>
      <c r="F1169" t="s">
        <v>706</v>
      </c>
      <c r="G1169">
        <v>1</v>
      </c>
      <c r="H1169" s="9">
        <v>0.2</v>
      </c>
      <c r="I1169" t="s">
        <v>699</v>
      </c>
      <c r="J1169">
        <v>5</v>
      </c>
      <c r="K1169">
        <v>2</v>
      </c>
      <c r="L1169" t="str">
        <f>VLOOKUP(D1169,Products!A:E,2,FALSE)</f>
        <v>Mouse</v>
      </c>
      <c r="M1169" t="str">
        <f>VLOOKUP(D1169,Products!A:E,3,FALSE)</f>
        <v>Technology</v>
      </c>
      <c r="N1169">
        <f>VLOOKUP(D1169,Products!A:E,4,FALSE)</f>
        <v>42</v>
      </c>
      <c r="O1169" s="13">
        <f>VLOOKUP(D1169,Products!A:E,5,FALSE)</f>
        <v>19</v>
      </c>
      <c r="P1169" s="13" t="str">
        <f>VLOOKUP(C1169,Customers!A:C,3,FALSE)</f>
        <v>Consumer</v>
      </c>
      <c r="Q1169" s="13">
        <f t="shared" si="72"/>
        <v>33.6</v>
      </c>
      <c r="R1169" s="13">
        <f t="shared" si="73"/>
        <v>19</v>
      </c>
      <c r="S1169" s="13">
        <f t="shared" si="74"/>
        <v>14.600000000000001</v>
      </c>
      <c r="T1169" s="14">
        <f t="shared" si="75"/>
        <v>0.43452380952380953</v>
      </c>
    </row>
    <row r="1170" spans="1:20">
      <c r="A1170" t="s">
        <v>1874</v>
      </c>
      <c r="B1170" s="8">
        <v>46261</v>
      </c>
      <c r="C1170" t="s">
        <v>393</v>
      </c>
      <c r="D1170" t="s">
        <v>58</v>
      </c>
      <c r="E1170" t="s">
        <v>715</v>
      </c>
      <c r="F1170" t="s">
        <v>702</v>
      </c>
      <c r="G1170">
        <v>2</v>
      </c>
      <c r="H1170" s="9">
        <v>0.05</v>
      </c>
      <c r="I1170" t="s">
        <v>699</v>
      </c>
      <c r="J1170">
        <v>4</v>
      </c>
      <c r="K1170">
        <v>3</v>
      </c>
      <c r="L1170" t="str">
        <f>VLOOKUP(D1170,Products!A:E,2,FALSE)</f>
        <v>Standing Desk</v>
      </c>
      <c r="M1170" t="str">
        <f>VLOOKUP(D1170,Products!A:E,3,FALSE)</f>
        <v>Furniture</v>
      </c>
      <c r="N1170">
        <f>VLOOKUP(D1170,Products!A:E,4,FALSE)</f>
        <v>540</v>
      </c>
      <c r="O1170" s="13">
        <f>VLOOKUP(D1170,Products!A:E,5,FALSE)</f>
        <v>320</v>
      </c>
      <c r="P1170" s="13" t="str">
        <f>VLOOKUP(C1170,Customers!A:C,3,FALSE)</f>
        <v>Corporate</v>
      </c>
      <c r="Q1170" s="13">
        <f t="shared" si="72"/>
        <v>1026</v>
      </c>
      <c r="R1170" s="13">
        <f t="shared" si="73"/>
        <v>640</v>
      </c>
      <c r="S1170" s="13">
        <f t="shared" si="74"/>
        <v>386</v>
      </c>
      <c r="T1170" s="14">
        <f t="shared" si="75"/>
        <v>0.37621832358674462</v>
      </c>
    </row>
    <row r="1171" spans="1:20">
      <c r="A1171" t="s">
        <v>1875</v>
      </c>
      <c r="B1171" s="8">
        <v>45680</v>
      </c>
      <c r="C1171" t="s">
        <v>229</v>
      </c>
      <c r="D1171" t="s">
        <v>50</v>
      </c>
      <c r="E1171" t="s">
        <v>697</v>
      </c>
      <c r="F1171" t="s">
        <v>698</v>
      </c>
      <c r="G1171">
        <v>4</v>
      </c>
      <c r="H1171" s="9">
        <v>0.2</v>
      </c>
      <c r="I1171" t="s">
        <v>699</v>
      </c>
      <c r="J1171">
        <v>5</v>
      </c>
      <c r="K1171">
        <v>2</v>
      </c>
      <c r="L1171" t="str">
        <f>VLOOKUP(D1171,Products!A:E,2,FALSE)</f>
        <v>Keyboard</v>
      </c>
      <c r="M1171" t="str">
        <f>VLOOKUP(D1171,Products!A:E,3,FALSE)</f>
        <v>Technology</v>
      </c>
      <c r="N1171">
        <f>VLOOKUP(D1171,Products!A:E,4,FALSE)</f>
        <v>75</v>
      </c>
      <c r="O1171" s="13">
        <f>VLOOKUP(D1171,Products!A:E,5,FALSE)</f>
        <v>38</v>
      </c>
      <c r="P1171" s="13" t="str">
        <f>VLOOKUP(C1171,Customers!A:C,3,FALSE)</f>
        <v>Small Business</v>
      </c>
      <c r="Q1171" s="13">
        <f t="shared" si="72"/>
        <v>240</v>
      </c>
      <c r="R1171" s="13">
        <f t="shared" si="73"/>
        <v>152</v>
      </c>
      <c r="S1171" s="13">
        <f t="shared" si="74"/>
        <v>88</v>
      </c>
      <c r="T1171" s="14">
        <f t="shared" si="75"/>
        <v>0.36666666666666664</v>
      </c>
    </row>
    <row r="1172" spans="1:20">
      <c r="A1172" t="s">
        <v>1876</v>
      </c>
      <c r="B1172" s="8">
        <v>45846</v>
      </c>
      <c r="C1172" t="s">
        <v>415</v>
      </c>
      <c r="D1172" t="s">
        <v>77</v>
      </c>
      <c r="E1172" t="s">
        <v>708</v>
      </c>
      <c r="F1172" t="s">
        <v>702</v>
      </c>
      <c r="G1172">
        <v>1</v>
      </c>
      <c r="H1172" s="9">
        <v>0.2</v>
      </c>
      <c r="I1172" t="s">
        <v>699</v>
      </c>
      <c r="J1172">
        <v>4</v>
      </c>
      <c r="K1172">
        <v>1</v>
      </c>
      <c r="L1172" t="str">
        <f>VLOOKUP(D1172,Products!A:E,2,FALSE)</f>
        <v>File Folder Pack</v>
      </c>
      <c r="M1172" t="str">
        <f>VLOOKUP(D1172,Products!A:E,3,FALSE)</f>
        <v>Office Supplies</v>
      </c>
      <c r="N1172">
        <f>VLOOKUP(D1172,Products!A:E,4,FALSE)</f>
        <v>23</v>
      </c>
      <c r="O1172" s="13">
        <f>VLOOKUP(D1172,Products!A:E,5,FALSE)</f>
        <v>10</v>
      </c>
      <c r="P1172" s="13" t="str">
        <f>VLOOKUP(C1172,Customers!A:C,3,FALSE)</f>
        <v>Small Business</v>
      </c>
      <c r="Q1172" s="13">
        <f t="shared" si="72"/>
        <v>18.400000000000002</v>
      </c>
      <c r="R1172" s="13">
        <f t="shared" si="73"/>
        <v>10</v>
      </c>
      <c r="S1172" s="13">
        <f t="shared" si="74"/>
        <v>8.4000000000000021</v>
      </c>
      <c r="T1172" s="14">
        <f t="shared" si="75"/>
        <v>0.45652173913043487</v>
      </c>
    </row>
    <row r="1173" spans="1:20">
      <c r="A1173" t="s">
        <v>1877</v>
      </c>
      <c r="B1173" s="8">
        <v>45801</v>
      </c>
      <c r="C1173" t="s">
        <v>209</v>
      </c>
      <c r="D1173" t="s">
        <v>74</v>
      </c>
      <c r="E1173" t="s">
        <v>715</v>
      </c>
      <c r="F1173" t="s">
        <v>698</v>
      </c>
      <c r="G1173">
        <v>4</v>
      </c>
      <c r="H1173" s="9">
        <v>0.15</v>
      </c>
      <c r="I1173" t="s">
        <v>699</v>
      </c>
      <c r="J1173">
        <v>5</v>
      </c>
      <c r="K1173">
        <v>3</v>
      </c>
      <c r="L1173" t="str">
        <f>VLOOKUP(D1173,Products!A:E,2,FALSE)</f>
        <v>Printer Paper</v>
      </c>
      <c r="M1173" t="str">
        <f>VLOOKUP(D1173,Products!A:E,3,FALSE)</f>
        <v>Office Supplies</v>
      </c>
      <c r="N1173">
        <f>VLOOKUP(D1173,Products!A:E,4,FALSE)</f>
        <v>17</v>
      </c>
      <c r="O1173" s="13">
        <f>VLOOKUP(D1173,Products!A:E,5,FALSE)</f>
        <v>8</v>
      </c>
      <c r="P1173" s="13" t="str">
        <f>VLOOKUP(C1173,Customers!A:C,3,FALSE)</f>
        <v>Corporate</v>
      </c>
      <c r="Q1173" s="13">
        <f t="shared" si="72"/>
        <v>57.8</v>
      </c>
      <c r="R1173" s="13">
        <f t="shared" si="73"/>
        <v>32</v>
      </c>
      <c r="S1173" s="13">
        <f t="shared" si="74"/>
        <v>25.799999999999997</v>
      </c>
      <c r="T1173" s="14">
        <f t="shared" si="75"/>
        <v>0.44636678200692037</v>
      </c>
    </row>
    <row r="1174" spans="1:20">
      <c r="A1174" t="s">
        <v>1878</v>
      </c>
      <c r="B1174" s="8">
        <v>45674</v>
      </c>
      <c r="C1174" t="s">
        <v>665</v>
      </c>
      <c r="D1174" t="s">
        <v>74</v>
      </c>
      <c r="E1174" t="s">
        <v>697</v>
      </c>
      <c r="F1174" t="s">
        <v>706</v>
      </c>
      <c r="G1174">
        <v>5</v>
      </c>
      <c r="H1174" s="9">
        <v>0</v>
      </c>
      <c r="I1174" t="s">
        <v>699</v>
      </c>
      <c r="J1174">
        <v>4</v>
      </c>
      <c r="K1174">
        <v>3</v>
      </c>
      <c r="L1174" t="str">
        <f>VLOOKUP(D1174,Products!A:E,2,FALSE)</f>
        <v>Printer Paper</v>
      </c>
      <c r="M1174" t="str">
        <f>VLOOKUP(D1174,Products!A:E,3,FALSE)</f>
        <v>Office Supplies</v>
      </c>
      <c r="N1174">
        <f>VLOOKUP(D1174,Products!A:E,4,FALSE)</f>
        <v>17</v>
      </c>
      <c r="O1174" s="13">
        <f>VLOOKUP(D1174,Products!A:E,5,FALSE)</f>
        <v>8</v>
      </c>
      <c r="P1174" s="13" t="str">
        <f>VLOOKUP(C1174,Customers!A:C,3,FALSE)</f>
        <v>Consumer</v>
      </c>
      <c r="Q1174" s="13">
        <f t="shared" si="72"/>
        <v>85</v>
      </c>
      <c r="R1174" s="13">
        <f t="shared" si="73"/>
        <v>40</v>
      </c>
      <c r="S1174" s="13">
        <f t="shared" si="74"/>
        <v>45</v>
      </c>
      <c r="T1174" s="14">
        <f t="shared" si="75"/>
        <v>0.52941176470588236</v>
      </c>
    </row>
    <row r="1175" spans="1:20">
      <c r="A1175" t="s">
        <v>1879</v>
      </c>
      <c r="B1175" s="8">
        <v>45726</v>
      </c>
      <c r="C1175" t="s">
        <v>163</v>
      </c>
      <c r="D1175" t="s">
        <v>50</v>
      </c>
      <c r="E1175" t="s">
        <v>697</v>
      </c>
      <c r="F1175" t="s">
        <v>698</v>
      </c>
      <c r="G1175">
        <v>2</v>
      </c>
      <c r="H1175" s="9">
        <v>0.1</v>
      </c>
      <c r="I1175" t="s">
        <v>699</v>
      </c>
      <c r="J1175">
        <v>2</v>
      </c>
      <c r="K1175">
        <v>6</v>
      </c>
      <c r="L1175" t="str">
        <f>VLOOKUP(D1175,Products!A:E,2,FALSE)</f>
        <v>Keyboard</v>
      </c>
      <c r="M1175" t="str">
        <f>VLOOKUP(D1175,Products!A:E,3,FALSE)</f>
        <v>Technology</v>
      </c>
      <c r="N1175">
        <f>VLOOKUP(D1175,Products!A:E,4,FALSE)</f>
        <v>75</v>
      </c>
      <c r="O1175" s="13">
        <f>VLOOKUP(D1175,Products!A:E,5,FALSE)</f>
        <v>38</v>
      </c>
      <c r="P1175" s="13" t="str">
        <f>VLOOKUP(C1175,Customers!A:C,3,FALSE)</f>
        <v>Small Business</v>
      </c>
      <c r="Q1175" s="13">
        <f t="shared" si="72"/>
        <v>135</v>
      </c>
      <c r="R1175" s="13">
        <f t="shared" si="73"/>
        <v>76</v>
      </c>
      <c r="S1175" s="13">
        <f t="shared" si="74"/>
        <v>59</v>
      </c>
      <c r="T1175" s="14">
        <f t="shared" si="75"/>
        <v>0.43703703703703706</v>
      </c>
    </row>
    <row r="1176" spans="1:20">
      <c r="A1176" t="s">
        <v>1880</v>
      </c>
      <c r="B1176" s="8">
        <v>45732</v>
      </c>
      <c r="C1176" t="s">
        <v>527</v>
      </c>
      <c r="D1176" t="s">
        <v>63</v>
      </c>
      <c r="E1176" t="s">
        <v>715</v>
      </c>
      <c r="F1176" t="s">
        <v>706</v>
      </c>
      <c r="G1176">
        <v>8</v>
      </c>
      <c r="H1176" s="9">
        <v>0</v>
      </c>
      <c r="I1176" t="s">
        <v>699</v>
      </c>
      <c r="J1176">
        <v>3</v>
      </c>
      <c r="K1176">
        <v>5</v>
      </c>
      <c r="L1176" t="str">
        <f>VLOOKUP(D1176,Products!A:E,2,FALSE)</f>
        <v>Bookshelf</v>
      </c>
      <c r="M1176" t="str">
        <f>VLOOKUP(D1176,Products!A:E,3,FALSE)</f>
        <v>Furniture</v>
      </c>
      <c r="N1176">
        <f>VLOOKUP(D1176,Products!A:E,4,FALSE)</f>
        <v>185</v>
      </c>
      <c r="O1176" s="13">
        <f>VLOOKUP(D1176,Products!A:E,5,FALSE)</f>
        <v>105</v>
      </c>
      <c r="P1176" s="13" t="str">
        <f>VLOOKUP(C1176,Customers!A:C,3,FALSE)</f>
        <v>Small Business</v>
      </c>
      <c r="Q1176" s="13">
        <f t="shared" si="72"/>
        <v>1480</v>
      </c>
      <c r="R1176" s="13">
        <f t="shared" si="73"/>
        <v>840</v>
      </c>
      <c r="S1176" s="13">
        <f t="shared" si="74"/>
        <v>640</v>
      </c>
      <c r="T1176" s="14">
        <f t="shared" si="75"/>
        <v>0.43243243243243246</v>
      </c>
    </row>
    <row r="1177" spans="1:20">
      <c r="A1177" t="s">
        <v>1881</v>
      </c>
      <c r="B1177" s="8">
        <v>46005</v>
      </c>
      <c r="C1177" t="s">
        <v>551</v>
      </c>
      <c r="D1177" t="s">
        <v>74</v>
      </c>
      <c r="E1177" t="s">
        <v>697</v>
      </c>
      <c r="F1177" t="s">
        <v>702</v>
      </c>
      <c r="G1177">
        <v>1</v>
      </c>
      <c r="H1177" s="9">
        <v>0.05</v>
      </c>
      <c r="I1177" t="s">
        <v>699</v>
      </c>
      <c r="J1177">
        <v>1</v>
      </c>
      <c r="K1177">
        <v>7</v>
      </c>
      <c r="L1177" t="str">
        <f>VLOOKUP(D1177,Products!A:E,2,FALSE)</f>
        <v>Printer Paper</v>
      </c>
      <c r="M1177" t="str">
        <f>VLOOKUP(D1177,Products!A:E,3,FALSE)</f>
        <v>Office Supplies</v>
      </c>
      <c r="N1177">
        <f>VLOOKUP(D1177,Products!A:E,4,FALSE)</f>
        <v>17</v>
      </c>
      <c r="O1177" s="13">
        <f>VLOOKUP(D1177,Products!A:E,5,FALSE)</f>
        <v>8</v>
      </c>
      <c r="P1177" s="13" t="str">
        <f>VLOOKUP(C1177,Customers!A:C,3,FALSE)</f>
        <v>Corporate</v>
      </c>
      <c r="Q1177" s="13">
        <f t="shared" si="72"/>
        <v>16.149999999999999</v>
      </c>
      <c r="R1177" s="13">
        <f t="shared" si="73"/>
        <v>8</v>
      </c>
      <c r="S1177" s="13">
        <f t="shared" si="74"/>
        <v>8.1499999999999986</v>
      </c>
      <c r="T1177" s="14">
        <f t="shared" si="75"/>
        <v>0.50464396284829716</v>
      </c>
    </row>
    <row r="1178" spans="1:20">
      <c r="A1178" t="s">
        <v>1882</v>
      </c>
      <c r="B1178" s="8">
        <v>45812</v>
      </c>
      <c r="C1178" t="s">
        <v>351</v>
      </c>
      <c r="D1178" t="s">
        <v>61</v>
      </c>
      <c r="E1178" t="s">
        <v>715</v>
      </c>
      <c r="F1178" t="s">
        <v>698</v>
      </c>
      <c r="G1178">
        <v>2</v>
      </c>
      <c r="H1178" s="9">
        <v>0.05</v>
      </c>
      <c r="I1178" t="s">
        <v>699</v>
      </c>
      <c r="J1178">
        <v>5</v>
      </c>
      <c r="K1178">
        <v>3</v>
      </c>
      <c r="L1178" t="str">
        <f>VLOOKUP(D1178,Products!A:E,2,FALSE)</f>
        <v>Office Chair</v>
      </c>
      <c r="M1178" t="str">
        <f>VLOOKUP(D1178,Products!A:E,3,FALSE)</f>
        <v>Furniture</v>
      </c>
      <c r="N1178">
        <f>VLOOKUP(D1178,Products!A:E,4,FALSE)</f>
        <v>255</v>
      </c>
      <c r="O1178" s="13">
        <f>VLOOKUP(D1178,Products!A:E,5,FALSE)</f>
        <v>145</v>
      </c>
      <c r="P1178" s="13" t="str">
        <f>VLOOKUP(C1178,Customers!A:C,3,FALSE)</f>
        <v>Small Business</v>
      </c>
      <c r="Q1178" s="13">
        <f t="shared" si="72"/>
        <v>484.5</v>
      </c>
      <c r="R1178" s="13">
        <f t="shared" si="73"/>
        <v>290</v>
      </c>
      <c r="S1178" s="13">
        <f t="shared" si="74"/>
        <v>194.5</v>
      </c>
      <c r="T1178" s="14">
        <f t="shared" si="75"/>
        <v>0.40144478844169246</v>
      </c>
    </row>
    <row r="1179" spans="1:20">
      <c r="A1179" t="s">
        <v>1883</v>
      </c>
      <c r="B1179" s="8">
        <v>46248</v>
      </c>
      <c r="C1179" t="s">
        <v>243</v>
      </c>
      <c r="D1179" t="s">
        <v>58</v>
      </c>
      <c r="E1179" t="s">
        <v>697</v>
      </c>
      <c r="F1179" t="s">
        <v>702</v>
      </c>
      <c r="G1179">
        <v>1</v>
      </c>
      <c r="H1179" s="9">
        <v>0</v>
      </c>
      <c r="I1179" t="s">
        <v>699</v>
      </c>
      <c r="J1179">
        <v>5</v>
      </c>
      <c r="K1179">
        <v>2</v>
      </c>
      <c r="L1179" t="str">
        <f>VLOOKUP(D1179,Products!A:E,2,FALSE)</f>
        <v>Standing Desk</v>
      </c>
      <c r="M1179" t="str">
        <f>VLOOKUP(D1179,Products!A:E,3,FALSE)</f>
        <v>Furniture</v>
      </c>
      <c r="N1179">
        <f>VLOOKUP(D1179,Products!A:E,4,FALSE)</f>
        <v>540</v>
      </c>
      <c r="O1179" s="13">
        <f>VLOOKUP(D1179,Products!A:E,5,FALSE)</f>
        <v>320</v>
      </c>
      <c r="P1179" s="13" t="str">
        <f>VLOOKUP(C1179,Customers!A:C,3,FALSE)</f>
        <v>Consumer</v>
      </c>
      <c r="Q1179" s="13">
        <f t="shared" si="72"/>
        <v>540</v>
      </c>
      <c r="R1179" s="13">
        <f t="shared" si="73"/>
        <v>320</v>
      </c>
      <c r="S1179" s="13">
        <f t="shared" si="74"/>
        <v>220</v>
      </c>
      <c r="T1179" s="14">
        <f t="shared" si="75"/>
        <v>0.40740740740740738</v>
      </c>
    </row>
    <row r="1180" spans="1:20">
      <c r="A1180" t="s">
        <v>1884</v>
      </c>
      <c r="B1180" s="8">
        <v>46211</v>
      </c>
      <c r="C1180" t="s">
        <v>443</v>
      </c>
      <c r="D1180" t="s">
        <v>50</v>
      </c>
      <c r="E1180" t="s">
        <v>708</v>
      </c>
      <c r="F1180" t="s">
        <v>702</v>
      </c>
      <c r="G1180">
        <v>1</v>
      </c>
      <c r="H1180" s="9">
        <v>0</v>
      </c>
      <c r="I1180" t="s">
        <v>699</v>
      </c>
      <c r="J1180">
        <v>4</v>
      </c>
      <c r="K1180">
        <v>3</v>
      </c>
      <c r="L1180" t="str">
        <f>VLOOKUP(D1180,Products!A:E,2,FALSE)</f>
        <v>Keyboard</v>
      </c>
      <c r="M1180" t="str">
        <f>VLOOKUP(D1180,Products!A:E,3,FALSE)</f>
        <v>Technology</v>
      </c>
      <c r="N1180">
        <f>VLOOKUP(D1180,Products!A:E,4,FALSE)</f>
        <v>75</v>
      </c>
      <c r="O1180" s="13">
        <f>VLOOKUP(D1180,Products!A:E,5,FALSE)</f>
        <v>38</v>
      </c>
      <c r="P1180" s="13" t="str">
        <f>VLOOKUP(C1180,Customers!A:C,3,FALSE)</f>
        <v>Consumer</v>
      </c>
      <c r="Q1180" s="13">
        <f t="shared" si="72"/>
        <v>75</v>
      </c>
      <c r="R1180" s="13">
        <f t="shared" si="73"/>
        <v>38</v>
      </c>
      <c r="S1180" s="13">
        <f t="shared" si="74"/>
        <v>37</v>
      </c>
      <c r="T1180" s="14">
        <f t="shared" si="75"/>
        <v>0.49333333333333335</v>
      </c>
    </row>
    <row r="1181" spans="1:20">
      <c r="A1181" t="s">
        <v>1885</v>
      </c>
      <c r="B1181" s="8">
        <v>45896</v>
      </c>
      <c r="C1181" t="s">
        <v>309</v>
      </c>
      <c r="D1181" t="s">
        <v>70</v>
      </c>
      <c r="E1181" t="s">
        <v>705</v>
      </c>
      <c r="F1181" t="s">
        <v>706</v>
      </c>
      <c r="G1181">
        <v>7</v>
      </c>
      <c r="H1181" s="9">
        <v>0</v>
      </c>
      <c r="I1181" t="s">
        <v>703</v>
      </c>
      <c r="J1181">
        <v>1</v>
      </c>
      <c r="K1181">
        <v>6</v>
      </c>
      <c r="L1181" t="str">
        <f>VLOOKUP(D1181,Products!A:E,2,FALSE)</f>
        <v>USB-C Hub</v>
      </c>
      <c r="M1181" t="str">
        <f>VLOOKUP(D1181,Products!A:E,3,FALSE)</f>
        <v>Accessories</v>
      </c>
      <c r="N1181">
        <f>VLOOKUP(D1181,Products!A:E,4,FALSE)</f>
        <v>68</v>
      </c>
      <c r="O1181" s="13">
        <f>VLOOKUP(D1181,Products!A:E,5,FALSE)</f>
        <v>31</v>
      </c>
      <c r="P1181" s="13" t="str">
        <f>VLOOKUP(C1181,Customers!A:C,3,FALSE)</f>
        <v>Consumer</v>
      </c>
      <c r="Q1181" s="13">
        <f t="shared" si="72"/>
        <v>476</v>
      </c>
      <c r="R1181" s="13">
        <f t="shared" si="73"/>
        <v>217</v>
      </c>
      <c r="S1181" s="13">
        <f t="shared" si="74"/>
        <v>259</v>
      </c>
      <c r="T1181" s="14">
        <f t="shared" si="75"/>
        <v>0.54411764705882348</v>
      </c>
    </row>
    <row r="1182" spans="1:20">
      <c r="A1182" t="s">
        <v>1886</v>
      </c>
      <c r="B1182" s="8">
        <v>45708</v>
      </c>
      <c r="C1182" t="s">
        <v>543</v>
      </c>
      <c r="D1182" t="s">
        <v>77</v>
      </c>
      <c r="E1182" t="s">
        <v>708</v>
      </c>
      <c r="F1182" t="s">
        <v>702</v>
      </c>
      <c r="G1182">
        <v>2</v>
      </c>
      <c r="H1182" s="9">
        <v>0.1</v>
      </c>
      <c r="I1182" t="s">
        <v>699</v>
      </c>
      <c r="J1182">
        <v>3</v>
      </c>
      <c r="K1182">
        <v>5</v>
      </c>
      <c r="L1182" t="str">
        <f>VLOOKUP(D1182,Products!A:E,2,FALSE)</f>
        <v>File Folder Pack</v>
      </c>
      <c r="M1182" t="str">
        <f>VLOOKUP(D1182,Products!A:E,3,FALSE)</f>
        <v>Office Supplies</v>
      </c>
      <c r="N1182">
        <f>VLOOKUP(D1182,Products!A:E,4,FALSE)</f>
        <v>23</v>
      </c>
      <c r="O1182" s="13">
        <f>VLOOKUP(D1182,Products!A:E,5,FALSE)</f>
        <v>10</v>
      </c>
      <c r="P1182" s="13" t="str">
        <f>VLOOKUP(C1182,Customers!A:C,3,FALSE)</f>
        <v>Consumer</v>
      </c>
      <c r="Q1182" s="13">
        <f t="shared" si="72"/>
        <v>41.4</v>
      </c>
      <c r="R1182" s="13">
        <f t="shared" si="73"/>
        <v>20</v>
      </c>
      <c r="S1182" s="13">
        <f t="shared" si="74"/>
        <v>21.4</v>
      </c>
      <c r="T1182" s="14">
        <f t="shared" si="75"/>
        <v>0.51690821256038644</v>
      </c>
    </row>
    <row r="1183" spans="1:20">
      <c r="A1183" t="s">
        <v>1887</v>
      </c>
      <c r="B1183" s="8">
        <v>46186</v>
      </c>
      <c r="C1183" t="s">
        <v>211</v>
      </c>
      <c r="D1183" t="s">
        <v>56</v>
      </c>
      <c r="E1183" t="s">
        <v>701</v>
      </c>
      <c r="F1183" t="s">
        <v>702</v>
      </c>
      <c r="G1183">
        <v>2</v>
      </c>
      <c r="H1183" s="9">
        <v>0.05</v>
      </c>
      <c r="I1183" t="s">
        <v>699</v>
      </c>
      <c r="J1183">
        <v>4</v>
      </c>
      <c r="K1183">
        <v>2</v>
      </c>
      <c r="L1183" t="str">
        <f>VLOOKUP(D1183,Products!A:E,2,FALSE)</f>
        <v>Headset</v>
      </c>
      <c r="M1183" t="str">
        <f>VLOOKUP(D1183,Products!A:E,3,FALSE)</f>
        <v>Technology</v>
      </c>
      <c r="N1183">
        <f>VLOOKUP(D1183,Products!A:E,4,FALSE)</f>
        <v>98</v>
      </c>
      <c r="O1183" s="13">
        <f>VLOOKUP(D1183,Products!A:E,5,FALSE)</f>
        <v>46</v>
      </c>
      <c r="P1183" s="13" t="str">
        <f>VLOOKUP(C1183,Customers!A:C,3,FALSE)</f>
        <v>Corporate</v>
      </c>
      <c r="Q1183" s="13">
        <f t="shared" si="72"/>
        <v>186.2</v>
      </c>
      <c r="R1183" s="13">
        <f t="shared" si="73"/>
        <v>92</v>
      </c>
      <c r="S1183" s="13">
        <f t="shared" si="74"/>
        <v>94.199999999999989</v>
      </c>
      <c r="T1183" s="14">
        <f t="shared" si="75"/>
        <v>0.50590762620837804</v>
      </c>
    </row>
    <row r="1184" spans="1:20">
      <c r="A1184" t="s">
        <v>1888</v>
      </c>
      <c r="B1184" s="8">
        <v>45873</v>
      </c>
      <c r="C1184" t="s">
        <v>179</v>
      </c>
      <c r="D1184" t="s">
        <v>70</v>
      </c>
      <c r="E1184" t="s">
        <v>715</v>
      </c>
      <c r="F1184" t="s">
        <v>698</v>
      </c>
      <c r="G1184">
        <v>7</v>
      </c>
      <c r="H1184" s="9">
        <v>0</v>
      </c>
      <c r="I1184" t="s">
        <v>699</v>
      </c>
      <c r="J1184">
        <v>4</v>
      </c>
      <c r="K1184">
        <v>1</v>
      </c>
      <c r="L1184" t="str">
        <f>VLOOKUP(D1184,Products!A:E,2,FALSE)</f>
        <v>USB-C Hub</v>
      </c>
      <c r="M1184" t="str">
        <f>VLOOKUP(D1184,Products!A:E,3,FALSE)</f>
        <v>Accessories</v>
      </c>
      <c r="N1184">
        <f>VLOOKUP(D1184,Products!A:E,4,FALSE)</f>
        <v>68</v>
      </c>
      <c r="O1184" s="13">
        <f>VLOOKUP(D1184,Products!A:E,5,FALSE)</f>
        <v>31</v>
      </c>
      <c r="P1184" s="13" t="str">
        <f>VLOOKUP(C1184,Customers!A:C,3,FALSE)</f>
        <v>Consumer</v>
      </c>
      <c r="Q1184" s="13">
        <f t="shared" si="72"/>
        <v>476</v>
      </c>
      <c r="R1184" s="13">
        <f t="shared" si="73"/>
        <v>217</v>
      </c>
      <c r="S1184" s="13">
        <f t="shared" si="74"/>
        <v>259</v>
      </c>
      <c r="T1184" s="14">
        <f t="shared" si="75"/>
        <v>0.54411764705882348</v>
      </c>
    </row>
    <row r="1185" spans="1:20">
      <c r="A1185" t="s">
        <v>1889</v>
      </c>
      <c r="B1185" s="8">
        <v>46021</v>
      </c>
      <c r="C1185" t="s">
        <v>455</v>
      </c>
      <c r="D1185" t="s">
        <v>65</v>
      </c>
      <c r="E1185" t="s">
        <v>697</v>
      </c>
      <c r="F1185" t="s">
        <v>702</v>
      </c>
      <c r="G1185">
        <v>5</v>
      </c>
      <c r="H1185" s="9">
        <v>0</v>
      </c>
      <c r="I1185" t="s">
        <v>703</v>
      </c>
      <c r="J1185">
        <v>2</v>
      </c>
      <c r="K1185">
        <v>8</v>
      </c>
      <c r="L1185" t="str">
        <f>VLOOKUP(D1185,Products!A:E,2,FALSE)</f>
        <v>Laptop Stand</v>
      </c>
      <c r="M1185" t="str">
        <f>VLOOKUP(D1185,Products!A:E,3,FALSE)</f>
        <v>Accessories</v>
      </c>
      <c r="N1185">
        <f>VLOOKUP(D1185,Products!A:E,4,FALSE)</f>
        <v>48</v>
      </c>
      <c r="O1185" s="13">
        <f>VLOOKUP(D1185,Products!A:E,5,FALSE)</f>
        <v>22</v>
      </c>
      <c r="P1185" s="13" t="str">
        <f>VLOOKUP(C1185,Customers!A:C,3,FALSE)</f>
        <v>Consumer</v>
      </c>
      <c r="Q1185" s="13">
        <f t="shared" si="72"/>
        <v>240</v>
      </c>
      <c r="R1185" s="13">
        <f t="shared" si="73"/>
        <v>110</v>
      </c>
      <c r="S1185" s="13">
        <f t="shared" si="74"/>
        <v>130</v>
      </c>
      <c r="T1185" s="14">
        <f t="shared" si="75"/>
        <v>0.54166666666666663</v>
      </c>
    </row>
    <row r="1186" spans="1:20">
      <c r="A1186" t="s">
        <v>1890</v>
      </c>
      <c r="B1186" s="8">
        <v>45674</v>
      </c>
      <c r="C1186" t="s">
        <v>367</v>
      </c>
      <c r="D1186" t="s">
        <v>68</v>
      </c>
      <c r="E1186" t="s">
        <v>705</v>
      </c>
      <c r="F1186" t="s">
        <v>706</v>
      </c>
      <c r="G1186">
        <v>1</v>
      </c>
      <c r="H1186" s="9">
        <v>0</v>
      </c>
      <c r="I1186" t="s">
        <v>699</v>
      </c>
      <c r="J1186">
        <v>3</v>
      </c>
      <c r="K1186">
        <v>4</v>
      </c>
      <c r="L1186" t="str">
        <f>VLOOKUP(D1186,Products!A:E,2,FALSE)</f>
        <v>Backpack</v>
      </c>
      <c r="M1186" t="str">
        <f>VLOOKUP(D1186,Products!A:E,3,FALSE)</f>
        <v>Accessories</v>
      </c>
      <c r="N1186">
        <f>VLOOKUP(D1186,Products!A:E,4,FALSE)</f>
        <v>85</v>
      </c>
      <c r="O1186" s="13">
        <f>VLOOKUP(D1186,Products!A:E,5,FALSE)</f>
        <v>39</v>
      </c>
      <c r="P1186" s="13" t="str">
        <f>VLOOKUP(C1186,Customers!A:C,3,FALSE)</f>
        <v>Consumer</v>
      </c>
      <c r="Q1186" s="13">
        <f t="shared" si="72"/>
        <v>85</v>
      </c>
      <c r="R1186" s="13">
        <f t="shared" si="73"/>
        <v>39</v>
      </c>
      <c r="S1186" s="13">
        <f t="shared" si="74"/>
        <v>46</v>
      </c>
      <c r="T1186" s="14">
        <f t="shared" si="75"/>
        <v>0.54117647058823526</v>
      </c>
    </row>
    <row r="1187" spans="1:20">
      <c r="A1187" t="s">
        <v>1891</v>
      </c>
      <c r="B1187" s="8">
        <v>45697</v>
      </c>
      <c r="C1187" t="s">
        <v>149</v>
      </c>
      <c r="D1187" t="s">
        <v>58</v>
      </c>
      <c r="E1187" t="s">
        <v>697</v>
      </c>
      <c r="F1187" t="s">
        <v>698</v>
      </c>
      <c r="G1187">
        <v>2</v>
      </c>
      <c r="H1187" s="9">
        <v>0</v>
      </c>
      <c r="I1187" t="s">
        <v>699</v>
      </c>
      <c r="J1187">
        <v>3</v>
      </c>
      <c r="K1187">
        <v>5</v>
      </c>
      <c r="L1187" t="str">
        <f>VLOOKUP(D1187,Products!A:E,2,FALSE)</f>
        <v>Standing Desk</v>
      </c>
      <c r="M1187" t="str">
        <f>VLOOKUP(D1187,Products!A:E,3,FALSE)</f>
        <v>Furniture</v>
      </c>
      <c r="N1187">
        <f>VLOOKUP(D1187,Products!A:E,4,FALSE)</f>
        <v>540</v>
      </c>
      <c r="O1187" s="13">
        <f>VLOOKUP(D1187,Products!A:E,5,FALSE)</f>
        <v>320</v>
      </c>
      <c r="P1187" s="13" t="str">
        <f>VLOOKUP(C1187,Customers!A:C,3,FALSE)</f>
        <v>Corporate</v>
      </c>
      <c r="Q1187" s="13">
        <f t="shared" si="72"/>
        <v>1080</v>
      </c>
      <c r="R1187" s="13">
        <f t="shared" si="73"/>
        <v>640</v>
      </c>
      <c r="S1187" s="13">
        <f t="shared" si="74"/>
        <v>440</v>
      </c>
      <c r="T1187" s="14">
        <f t="shared" si="75"/>
        <v>0.40740740740740738</v>
      </c>
    </row>
    <row r="1188" spans="1:20">
      <c r="A1188" t="s">
        <v>1892</v>
      </c>
      <c r="B1188" s="8">
        <v>45813</v>
      </c>
      <c r="C1188" t="s">
        <v>271</v>
      </c>
      <c r="D1188" t="s">
        <v>70</v>
      </c>
      <c r="E1188" t="s">
        <v>697</v>
      </c>
      <c r="F1188" t="s">
        <v>702</v>
      </c>
      <c r="G1188">
        <v>1</v>
      </c>
      <c r="H1188" s="9">
        <v>0.05</v>
      </c>
      <c r="I1188" t="s">
        <v>699</v>
      </c>
      <c r="J1188">
        <v>5</v>
      </c>
      <c r="K1188">
        <v>3</v>
      </c>
      <c r="L1188" t="str">
        <f>VLOOKUP(D1188,Products!A:E,2,FALSE)</f>
        <v>USB-C Hub</v>
      </c>
      <c r="M1188" t="str">
        <f>VLOOKUP(D1188,Products!A:E,3,FALSE)</f>
        <v>Accessories</v>
      </c>
      <c r="N1188">
        <f>VLOOKUP(D1188,Products!A:E,4,FALSE)</f>
        <v>68</v>
      </c>
      <c r="O1188" s="13">
        <f>VLOOKUP(D1188,Products!A:E,5,FALSE)</f>
        <v>31</v>
      </c>
      <c r="P1188" s="13" t="str">
        <f>VLOOKUP(C1188,Customers!A:C,3,FALSE)</f>
        <v>Corporate</v>
      </c>
      <c r="Q1188" s="13">
        <f t="shared" si="72"/>
        <v>64.599999999999994</v>
      </c>
      <c r="R1188" s="13">
        <f t="shared" si="73"/>
        <v>31</v>
      </c>
      <c r="S1188" s="13">
        <f t="shared" si="74"/>
        <v>33.599999999999994</v>
      </c>
      <c r="T1188" s="14">
        <f t="shared" si="75"/>
        <v>0.52012383900928794</v>
      </c>
    </row>
    <row r="1189" spans="1:20">
      <c r="A1189" t="s">
        <v>1893</v>
      </c>
      <c r="B1189" s="8">
        <v>45986</v>
      </c>
      <c r="C1189" t="s">
        <v>115</v>
      </c>
      <c r="D1189" t="s">
        <v>45</v>
      </c>
      <c r="E1189" t="s">
        <v>708</v>
      </c>
      <c r="F1189" t="s">
        <v>706</v>
      </c>
      <c r="G1189">
        <v>1</v>
      </c>
      <c r="H1189" s="9">
        <v>0.15</v>
      </c>
      <c r="I1189" t="s">
        <v>703</v>
      </c>
      <c r="J1189">
        <v>2</v>
      </c>
      <c r="K1189">
        <v>6</v>
      </c>
      <c r="L1189" t="str">
        <f>VLOOKUP(D1189,Products!A:E,2,FALSE)</f>
        <v>Laptop</v>
      </c>
      <c r="M1189" t="str">
        <f>VLOOKUP(D1189,Products!A:E,3,FALSE)</f>
        <v>Technology</v>
      </c>
      <c r="N1189">
        <f>VLOOKUP(D1189,Products!A:E,4,FALSE)</f>
        <v>1100</v>
      </c>
      <c r="O1189" s="13">
        <f>VLOOKUP(D1189,Products!A:E,5,FALSE)</f>
        <v>720</v>
      </c>
      <c r="P1189" s="13" t="str">
        <f>VLOOKUP(C1189,Customers!A:C,3,FALSE)</f>
        <v>Corporate</v>
      </c>
      <c r="Q1189" s="13">
        <f t="shared" si="72"/>
        <v>935</v>
      </c>
      <c r="R1189" s="13">
        <f t="shared" si="73"/>
        <v>720</v>
      </c>
      <c r="S1189" s="13">
        <f t="shared" si="74"/>
        <v>215</v>
      </c>
      <c r="T1189" s="14">
        <f t="shared" si="75"/>
        <v>0.22994652406417113</v>
      </c>
    </row>
    <row r="1190" spans="1:20">
      <c r="A1190" t="s">
        <v>1894</v>
      </c>
      <c r="B1190" s="8">
        <v>45819</v>
      </c>
      <c r="C1190" t="s">
        <v>189</v>
      </c>
      <c r="D1190" t="s">
        <v>45</v>
      </c>
      <c r="E1190" t="s">
        <v>708</v>
      </c>
      <c r="F1190" t="s">
        <v>702</v>
      </c>
      <c r="G1190">
        <v>2</v>
      </c>
      <c r="H1190" s="9">
        <v>0</v>
      </c>
      <c r="I1190" t="s">
        <v>703</v>
      </c>
      <c r="J1190">
        <v>4</v>
      </c>
      <c r="K1190">
        <v>8</v>
      </c>
      <c r="L1190" t="str">
        <f>VLOOKUP(D1190,Products!A:E,2,FALSE)</f>
        <v>Laptop</v>
      </c>
      <c r="M1190" t="str">
        <f>VLOOKUP(D1190,Products!A:E,3,FALSE)</f>
        <v>Technology</v>
      </c>
      <c r="N1190">
        <f>VLOOKUP(D1190,Products!A:E,4,FALSE)</f>
        <v>1100</v>
      </c>
      <c r="O1190" s="13">
        <f>VLOOKUP(D1190,Products!A:E,5,FALSE)</f>
        <v>720</v>
      </c>
      <c r="P1190" s="13" t="str">
        <f>VLOOKUP(C1190,Customers!A:C,3,FALSE)</f>
        <v>Consumer</v>
      </c>
      <c r="Q1190" s="13">
        <f t="shared" si="72"/>
        <v>2200</v>
      </c>
      <c r="R1190" s="13">
        <f t="shared" si="73"/>
        <v>1440</v>
      </c>
      <c r="S1190" s="13">
        <f t="shared" si="74"/>
        <v>760</v>
      </c>
      <c r="T1190" s="14">
        <f t="shared" si="75"/>
        <v>0.34545454545454546</v>
      </c>
    </row>
    <row r="1191" spans="1:20">
      <c r="A1191" t="s">
        <v>1895</v>
      </c>
      <c r="B1191" s="8">
        <v>45795</v>
      </c>
      <c r="C1191" t="s">
        <v>84</v>
      </c>
      <c r="D1191" t="s">
        <v>65</v>
      </c>
      <c r="E1191" t="s">
        <v>715</v>
      </c>
      <c r="F1191" t="s">
        <v>706</v>
      </c>
      <c r="G1191">
        <v>1</v>
      </c>
      <c r="H1191" s="9">
        <v>0</v>
      </c>
      <c r="I1191" t="s">
        <v>699</v>
      </c>
      <c r="J1191">
        <v>5</v>
      </c>
      <c r="K1191">
        <v>1</v>
      </c>
      <c r="L1191" t="str">
        <f>VLOOKUP(D1191,Products!A:E,2,FALSE)</f>
        <v>Laptop Stand</v>
      </c>
      <c r="M1191" t="str">
        <f>VLOOKUP(D1191,Products!A:E,3,FALSE)</f>
        <v>Accessories</v>
      </c>
      <c r="N1191">
        <f>VLOOKUP(D1191,Products!A:E,4,FALSE)</f>
        <v>48</v>
      </c>
      <c r="O1191" s="13">
        <f>VLOOKUP(D1191,Products!A:E,5,FALSE)</f>
        <v>22</v>
      </c>
      <c r="P1191" s="13" t="str">
        <f>VLOOKUP(C1191,Customers!A:C,3,FALSE)</f>
        <v>Corporate</v>
      </c>
      <c r="Q1191" s="13">
        <f t="shared" si="72"/>
        <v>48</v>
      </c>
      <c r="R1191" s="13">
        <f t="shared" si="73"/>
        <v>22</v>
      </c>
      <c r="S1191" s="13">
        <f t="shared" si="74"/>
        <v>26</v>
      </c>
      <c r="T1191" s="14">
        <f t="shared" si="75"/>
        <v>0.54166666666666663</v>
      </c>
    </row>
    <row r="1192" spans="1:20">
      <c r="A1192" t="s">
        <v>1896</v>
      </c>
      <c r="B1192" s="8">
        <v>46147</v>
      </c>
      <c r="C1192" t="s">
        <v>591</v>
      </c>
      <c r="D1192" t="s">
        <v>58</v>
      </c>
      <c r="E1192" t="s">
        <v>705</v>
      </c>
      <c r="F1192" t="s">
        <v>698</v>
      </c>
      <c r="G1192">
        <v>4</v>
      </c>
      <c r="H1192" s="9">
        <v>0</v>
      </c>
      <c r="I1192" t="s">
        <v>699</v>
      </c>
      <c r="J1192">
        <v>5</v>
      </c>
      <c r="K1192">
        <v>4</v>
      </c>
      <c r="L1192" t="str">
        <f>VLOOKUP(D1192,Products!A:E,2,FALSE)</f>
        <v>Standing Desk</v>
      </c>
      <c r="M1192" t="str">
        <f>VLOOKUP(D1192,Products!A:E,3,FALSE)</f>
        <v>Furniture</v>
      </c>
      <c r="N1192">
        <f>VLOOKUP(D1192,Products!A:E,4,FALSE)</f>
        <v>540</v>
      </c>
      <c r="O1192" s="13">
        <f>VLOOKUP(D1192,Products!A:E,5,FALSE)</f>
        <v>320</v>
      </c>
      <c r="P1192" s="13" t="str">
        <f>VLOOKUP(C1192,Customers!A:C,3,FALSE)</f>
        <v>Consumer</v>
      </c>
      <c r="Q1192" s="13">
        <f t="shared" si="72"/>
        <v>2160</v>
      </c>
      <c r="R1192" s="13">
        <f t="shared" si="73"/>
        <v>1280</v>
      </c>
      <c r="S1192" s="13">
        <f t="shared" si="74"/>
        <v>880</v>
      </c>
      <c r="T1192" s="14">
        <f t="shared" si="75"/>
        <v>0.40740740740740738</v>
      </c>
    </row>
    <row r="1193" spans="1:20">
      <c r="A1193" t="s">
        <v>1897</v>
      </c>
      <c r="B1193" s="8">
        <v>45947</v>
      </c>
      <c r="C1193" t="s">
        <v>193</v>
      </c>
      <c r="D1193" t="s">
        <v>61</v>
      </c>
      <c r="E1193" t="s">
        <v>708</v>
      </c>
      <c r="F1193" t="s">
        <v>702</v>
      </c>
      <c r="G1193">
        <v>3</v>
      </c>
      <c r="H1193" s="9">
        <v>0</v>
      </c>
      <c r="I1193" t="s">
        <v>703</v>
      </c>
      <c r="J1193">
        <v>5</v>
      </c>
      <c r="K1193">
        <v>8</v>
      </c>
      <c r="L1193" t="str">
        <f>VLOOKUP(D1193,Products!A:E,2,FALSE)</f>
        <v>Office Chair</v>
      </c>
      <c r="M1193" t="str">
        <f>VLOOKUP(D1193,Products!A:E,3,FALSE)</f>
        <v>Furniture</v>
      </c>
      <c r="N1193">
        <f>VLOOKUP(D1193,Products!A:E,4,FALSE)</f>
        <v>255</v>
      </c>
      <c r="O1193" s="13">
        <f>VLOOKUP(D1193,Products!A:E,5,FALSE)</f>
        <v>145</v>
      </c>
      <c r="P1193" s="13" t="str">
        <f>VLOOKUP(C1193,Customers!A:C,3,FALSE)</f>
        <v>Small Business</v>
      </c>
      <c r="Q1193" s="13">
        <f t="shared" si="72"/>
        <v>765</v>
      </c>
      <c r="R1193" s="13">
        <f t="shared" si="73"/>
        <v>435</v>
      </c>
      <c r="S1193" s="13">
        <f t="shared" si="74"/>
        <v>330</v>
      </c>
      <c r="T1193" s="14">
        <f t="shared" si="75"/>
        <v>0.43137254901960786</v>
      </c>
    </row>
    <row r="1194" spans="1:20">
      <c r="A1194" t="s">
        <v>1898</v>
      </c>
      <c r="B1194" s="8">
        <v>45792</v>
      </c>
      <c r="C1194" t="s">
        <v>421</v>
      </c>
      <c r="D1194" t="s">
        <v>74</v>
      </c>
      <c r="E1194" t="s">
        <v>708</v>
      </c>
      <c r="F1194" t="s">
        <v>702</v>
      </c>
      <c r="G1194">
        <v>4</v>
      </c>
      <c r="H1194" s="9">
        <v>0.15</v>
      </c>
      <c r="I1194" t="s">
        <v>699</v>
      </c>
      <c r="J1194">
        <v>5</v>
      </c>
      <c r="K1194">
        <v>1</v>
      </c>
      <c r="L1194" t="str">
        <f>VLOOKUP(D1194,Products!A:E,2,FALSE)</f>
        <v>Printer Paper</v>
      </c>
      <c r="M1194" t="str">
        <f>VLOOKUP(D1194,Products!A:E,3,FALSE)</f>
        <v>Office Supplies</v>
      </c>
      <c r="N1194">
        <f>VLOOKUP(D1194,Products!A:E,4,FALSE)</f>
        <v>17</v>
      </c>
      <c r="O1194" s="13">
        <f>VLOOKUP(D1194,Products!A:E,5,FALSE)</f>
        <v>8</v>
      </c>
      <c r="P1194" s="13" t="str">
        <f>VLOOKUP(C1194,Customers!A:C,3,FALSE)</f>
        <v>Corporate</v>
      </c>
      <c r="Q1194" s="13">
        <f t="shared" si="72"/>
        <v>57.8</v>
      </c>
      <c r="R1194" s="13">
        <f t="shared" si="73"/>
        <v>32</v>
      </c>
      <c r="S1194" s="13">
        <f t="shared" si="74"/>
        <v>25.799999999999997</v>
      </c>
      <c r="T1194" s="14">
        <f t="shared" si="75"/>
        <v>0.44636678200692037</v>
      </c>
    </row>
    <row r="1195" spans="1:20">
      <c r="A1195" t="s">
        <v>1899</v>
      </c>
      <c r="B1195" s="8">
        <v>45860</v>
      </c>
      <c r="C1195" t="s">
        <v>273</v>
      </c>
      <c r="D1195" t="s">
        <v>45</v>
      </c>
      <c r="E1195" t="s">
        <v>705</v>
      </c>
      <c r="F1195" t="s">
        <v>702</v>
      </c>
      <c r="G1195">
        <v>4</v>
      </c>
      <c r="H1195" s="9">
        <v>0</v>
      </c>
      <c r="I1195" t="s">
        <v>699</v>
      </c>
      <c r="J1195">
        <v>4</v>
      </c>
      <c r="K1195">
        <v>4</v>
      </c>
      <c r="L1195" t="str">
        <f>VLOOKUP(D1195,Products!A:E,2,FALSE)</f>
        <v>Laptop</v>
      </c>
      <c r="M1195" t="str">
        <f>VLOOKUP(D1195,Products!A:E,3,FALSE)</f>
        <v>Technology</v>
      </c>
      <c r="N1195">
        <f>VLOOKUP(D1195,Products!A:E,4,FALSE)</f>
        <v>1100</v>
      </c>
      <c r="O1195" s="13">
        <f>VLOOKUP(D1195,Products!A:E,5,FALSE)</f>
        <v>720</v>
      </c>
      <c r="P1195" s="13" t="str">
        <f>VLOOKUP(C1195,Customers!A:C,3,FALSE)</f>
        <v>Consumer</v>
      </c>
      <c r="Q1195" s="13">
        <f t="shared" si="72"/>
        <v>4400</v>
      </c>
      <c r="R1195" s="13">
        <f t="shared" si="73"/>
        <v>2880</v>
      </c>
      <c r="S1195" s="13">
        <f t="shared" si="74"/>
        <v>1520</v>
      </c>
      <c r="T1195" s="14">
        <f t="shared" si="75"/>
        <v>0.34545454545454546</v>
      </c>
    </row>
    <row r="1196" spans="1:20">
      <c r="A1196" t="s">
        <v>1900</v>
      </c>
      <c r="B1196" s="8">
        <v>46010</v>
      </c>
      <c r="C1196" t="s">
        <v>279</v>
      </c>
      <c r="D1196" t="s">
        <v>72</v>
      </c>
      <c r="E1196" t="s">
        <v>715</v>
      </c>
      <c r="F1196" t="s">
        <v>702</v>
      </c>
      <c r="G1196">
        <v>3</v>
      </c>
      <c r="H1196" s="9">
        <v>0.05</v>
      </c>
      <c r="I1196" t="s">
        <v>699</v>
      </c>
      <c r="J1196">
        <v>4</v>
      </c>
      <c r="K1196">
        <v>5</v>
      </c>
      <c r="L1196" t="str">
        <f>VLOOKUP(D1196,Products!A:E,2,FALSE)</f>
        <v>Phone Charger</v>
      </c>
      <c r="M1196" t="str">
        <f>VLOOKUP(D1196,Products!A:E,3,FALSE)</f>
        <v>Accessories</v>
      </c>
      <c r="N1196">
        <f>VLOOKUP(D1196,Products!A:E,4,FALSE)</f>
        <v>32</v>
      </c>
      <c r="O1196" s="13">
        <f>VLOOKUP(D1196,Products!A:E,5,FALSE)</f>
        <v>13</v>
      </c>
      <c r="P1196" s="13" t="str">
        <f>VLOOKUP(C1196,Customers!A:C,3,FALSE)</f>
        <v>Small Business</v>
      </c>
      <c r="Q1196" s="13">
        <f t="shared" si="72"/>
        <v>91.199999999999989</v>
      </c>
      <c r="R1196" s="13">
        <f t="shared" si="73"/>
        <v>39</v>
      </c>
      <c r="S1196" s="13">
        <f t="shared" si="74"/>
        <v>52.199999999999989</v>
      </c>
      <c r="T1196" s="14">
        <f t="shared" si="75"/>
        <v>0.57236842105263153</v>
      </c>
    </row>
    <row r="1197" spans="1:20">
      <c r="A1197" t="s">
        <v>1901</v>
      </c>
      <c r="B1197" s="8">
        <v>46003</v>
      </c>
      <c r="C1197" t="s">
        <v>431</v>
      </c>
      <c r="D1197" t="s">
        <v>56</v>
      </c>
      <c r="E1197" t="s">
        <v>708</v>
      </c>
      <c r="F1197" t="s">
        <v>698</v>
      </c>
      <c r="G1197">
        <v>2</v>
      </c>
      <c r="H1197" s="9">
        <v>0.05</v>
      </c>
      <c r="I1197" t="s">
        <v>699</v>
      </c>
      <c r="J1197">
        <v>5</v>
      </c>
      <c r="K1197">
        <v>3</v>
      </c>
      <c r="L1197" t="str">
        <f>VLOOKUP(D1197,Products!A:E,2,FALSE)</f>
        <v>Headset</v>
      </c>
      <c r="M1197" t="str">
        <f>VLOOKUP(D1197,Products!A:E,3,FALSE)</f>
        <v>Technology</v>
      </c>
      <c r="N1197">
        <f>VLOOKUP(D1197,Products!A:E,4,FALSE)</f>
        <v>98</v>
      </c>
      <c r="O1197" s="13">
        <f>VLOOKUP(D1197,Products!A:E,5,FALSE)</f>
        <v>46</v>
      </c>
      <c r="P1197" s="13" t="str">
        <f>VLOOKUP(C1197,Customers!A:C,3,FALSE)</f>
        <v>Consumer</v>
      </c>
      <c r="Q1197" s="13">
        <f t="shared" si="72"/>
        <v>186.2</v>
      </c>
      <c r="R1197" s="13">
        <f t="shared" si="73"/>
        <v>92</v>
      </c>
      <c r="S1197" s="13">
        <f t="shared" si="74"/>
        <v>94.199999999999989</v>
      </c>
      <c r="T1197" s="14">
        <f t="shared" si="75"/>
        <v>0.50590762620837804</v>
      </c>
    </row>
    <row r="1198" spans="1:20">
      <c r="A1198" t="s">
        <v>1902</v>
      </c>
      <c r="B1198" s="8">
        <v>46189</v>
      </c>
      <c r="C1198" t="s">
        <v>355</v>
      </c>
      <c r="D1198" t="s">
        <v>50</v>
      </c>
      <c r="E1198" t="s">
        <v>697</v>
      </c>
      <c r="F1198" t="s">
        <v>702</v>
      </c>
      <c r="G1198">
        <v>1</v>
      </c>
      <c r="H1198" s="9">
        <v>0.05</v>
      </c>
      <c r="I1198" t="s">
        <v>699</v>
      </c>
      <c r="J1198">
        <v>5</v>
      </c>
      <c r="K1198">
        <v>1</v>
      </c>
      <c r="L1198" t="str">
        <f>VLOOKUP(D1198,Products!A:E,2,FALSE)</f>
        <v>Keyboard</v>
      </c>
      <c r="M1198" t="str">
        <f>VLOOKUP(D1198,Products!A:E,3,FALSE)</f>
        <v>Technology</v>
      </c>
      <c r="N1198">
        <f>VLOOKUP(D1198,Products!A:E,4,FALSE)</f>
        <v>75</v>
      </c>
      <c r="O1198" s="13">
        <f>VLOOKUP(D1198,Products!A:E,5,FALSE)</f>
        <v>38</v>
      </c>
      <c r="P1198" s="13" t="str">
        <f>VLOOKUP(C1198,Customers!A:C,3,FALSE)</f>
        <v>Consumer</v>
      </c>
      <c r="Q1198" s="13">
        <f t="shared" si="72"/>
        <v>71.25</v>
      </c>
      <c r="R1198" s="13">
        <f t="shared" si="73"/>
        <v>38</v>
      </c>
      <c r="S1198" s="13">
        <f t="shared" si="74"/>
        <v>33.25</v>
      </c>
      <c r="T1198" s="14">
        <f t="shared" si="75"/>
        <v>0.46666666666666667</v>
      </c>
    </row>
    <row r="1199" spans="1:20">
      <c r="A1199" t="s">
        <v>1903</v>
      </c>
      <c r="B1199" s="8">
        <v>45781</v>
      </c>
      <c r="C1199" t="s">
        <v>649</v>
      </c>
      <c r="D1199" t="s">
        <v>65</v>
      </c>
      <c r="E1199" t="s">
        <v>705</v>
      </c>
      <c r="F1199" t="s">
        <v>702</v>
      </c>
      <c r="G1199">
        <v>2</v>
      </c>
      <c r="H1199" s="9">
        <v>0.05</v>
      </c>
      <c r="I1199" t="s">
        <v>703</v>
      </c>
      <c r="J1199">
        <v>5</v>
      </c>
      <c r="K1199">
        <v>7</v>
      </c>
      <c r="L1199" t="str">
        <f>VLOOKUP(D1199,Products!A:E,2,FALSE)</f>
        <v>Laptop Stand</v>
      </c>
      <c r="M1199" t="str">
        <f>VLOOKUP(D1199,Products!A:E,3,FALSE)</f>
        <v>Accessories</v>
      </c>
      <c r="N1199">
        <f>VLOOKUP(D1199,Products!A:E,4,FALSE)</f>
        <v>48</v>
      </c>
      <c r="O1199" s="13">
        <f>VLOOKUP(D1199,Products!A:E,5,FALSE)</f>
        <v>22</v>
      </c>
      <c r="P1199" s="13" t="str">
        <f>VLOOKUP(C1199,Customers!A:C,3,FALSE)</f>
        <v>Consumer</v>
      </c>
      <c r="Q1199" s="13">
        <f t="shared" si="72"/>
        <v>91.199999999999989</v>
      </c>
      <c r="R1199" s="13">
        <f t="shared" si="73"/>
        <v>44</v>
      </c>
      <c r="S1199" s="13">
        <f t="shared" si="74"/>
        <v>47.199999999999989</v>
      </c>
      <c r="T1199" s="14">
        <f t="shared" si="75"/>
        <v>0.51754385964912275</v>
      </c>
    </row>
    <row r="1200" spans="1:20">
      <c r="A1200" t="s">
        <v>1904</v>
      </c>
      <c r="B1200" s="8">
        <v>46065</v>
      </c>
      <c r="C1200" t="s">
        <v>609</v>
      </c>
      <c r="D1200" t="s">
        <v>58</v>
      </c>
      <c r="E1200" t="s">
        <v>705</v>
      </c>
      <c r="F1200" t="s">
        <v>698</v>
      </c>
      <c r="G1200">
        <v>4</v>
      </c>
      <c r="H1200" s="9">
        <v>0</v>
      </c>
      <c r="I1200" t="s">
        <v>699</v>
      </c>
      <c r="J1200">
        <v>4</v>
      </c>
      <c r="K1200">
        <v>2</v>
      </c>
      <c r="L1200" t="str">
        <f>VLOOKUP(D1200,Products!A:E,2,FALSE)</f>
        <v>Standing Desk</v>
      </c>
      <c r="M1200" t="str">
        <f>VLOOKUP(D1200,Products!A:E,3,FALSE)</f>
        <v>Furniture</v>
      </c>
      <c r="N1200">
        <f>VLOOKUP(D1200,Products!A:E,4,FALSE)</f>
        <v>540</v>
      </c>
      <c r="O1200" s="13">
        <f>VLOOKUP(D1200,Products!A:E,5,FALSE)</f>
        <v>320</v>
      </c>
      <c r="P1200" s="13" t="str">
        <f>VLOOKUP(C1200,Customers!A:C,3,FALSE)</f>
        <v>Small Business</v>
      </c>
      <c r="Q1200" s="13">
        <f t="shared" si="72"/>
        <v>2160</v>
      </c>
      <c r="R1200" s="13">
        <f t="shared" si="73"/>
        <v>1280</v>
      </c>
      <c r="S1200" s="13">
        <f t="shared" si="74"/>
        <v>880</v>
      </c>
      <c r="T1200" s="14">
        <f t="shared" si="75"/>
        <v>0.40740740740740738</v>
      </c>
    </row>
    <row r="1201" spans="1:20">
      <c r="A1201" t="s">
        <v>1905</v>
      </c>
      <c r="B1201" s="8">
        <v>46234</v>
      </c>
      <c r="C1201" t="s">
        <v>629</v>
      </c>
      <c r="D1201" t="s">
        <v>48</v>
      </c>
      <c r="E1201" t="s">
        <v>697</v>
      </c>
      <c r="F1201" t="s">
        <v>702</v>
      </c>
      <c r="G1201">
        <v>1</v>
      </c>
      <c r="H1201" s="9">
        <v>0.2</v>
      </c>
      <c r="I1201" t="s">
        <v>699</v>
      </c>
      <c r="J1201">
        <v>4</v>
      </c>
      <c r="K1201">
        <v>1</v>
      </c>
      <c r="L1201" t="str">
        <f>VLOOKUP(D1201,Products!A:E,2,FALSE)</f>
        <v>Monitor</v>
      </c>
      <c r="M1201" t="str">
        <f>VLOOKUP(D1201,Products!A:E,3,FALSE)</f>
        <v>Technology</v>
      </c>
      <c r="N1201">
        <f>VLOOKUP(D1201,Products!A:E,4,FALSE)</f>
        <v>310</v>
      </c>
      <c r="O1201" s="13">
        <f>VLOOKUP(D1201,Products!A:E,5,FALSE)</f>
        <v>190</v>
      </c>
      <c r="P1201" s="13" t="str">
        <f>VLOOKUP(C1201,Customers!A:C,3,FALSE)</f>
        <v>Consumer</v>
      </c>
      <c r="Q1201" s="13">
        <f t="shared" si="72"/>
        <v>248</v>
      </c>
      <c r="R1201" s="13">
        <f t="shared" si="73"/>
        <v>190</v>
      </c>
      <c r="S1201" s="13">
        <f t="shared" si="74"/>
        <v>58</v>
      </c>
      <c r="T1201" s="14">
        <f t="shared" si="75"/>
        <v>0.23387096774193547</v>
      </c>
    </row>
  </sheetData>
  <conditionalFormatting sqref="J2:J120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1201">
    <cfRule type="dataBar" priority="1">
      <dataBar>
        <cfvo type="min"/>
        <cfvo type="max"/>
        <color rgb="FFE97132"/>
      </dataBar>
    </cfRule>
    <cfRule type="dataBar" priority="3">
      <dataBar>
        <cfvo type="min"/>
        <cfvo type="max"/>
        <color rgb="FFE97132"/>
      </dataBar>
      <extLst>
        <ext xmlns:x14="http://schemas.microsoft.com/office/spreadsheetml/2009/9/main" uri="{B025F937-C7B1-47D3-B67F-A62EFF666E3E}">
          <x14:id>{91EB7349-280D-4752-8DB9-E527BE4EC323}</x14:id>
        </ext>
      </extLst>
    </cfRule>
  </conditionalFormatting>
  <dataValidations count="3">
    <dataValidation type="list" sqref="E2:E1201" xr:uid="{00000000-0002-0000-0300-000000000000}">
      <formula1>"Central,East,North,North-East,West"</formula1>
    </dataValidation>
    <dataValidation type="list" sqref="F2:F1201" xr:uid="{00000000-0002-0000-0300-000001000000}">
      <formula1>"Online,Retail Store,B2B Sales"</formula1>
    </dataValidation>
    <dataValidation type="list" sqref="I2:I1201" xr:uid="{00000000-0002-0000-0300-000002000000}">
      <formula1>"No,Yes"</formula1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EB7349-280D-4752-8DB9-E527BE4EC323}">
            <x14:dataBar>
              <x14:cfvo type="min"/>
              <x14:cfvo type="max"/>
              <x14:negativeFillColor auto="1"/>
              <x14:axisColor auto="1"/>
            </x14:dataBar>
          </x14:cfRule>
          <xm:sqref>K2:K1201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"/>
  <sheetViews>
    <sheetView workbookViewId="0"/>
  </sheetViews>
  <sheetFormatPr defaultRowHeight="13.8"/>
  <cols>
    <col min="1" max="1" width="10" customWidth="1"/>
    <col min="2" max="2" width="78" customWidth="1"/>
  </cols>
  <sheetData>
    <row r="1" spans="1:8" ht="19.2">
      <c r="A1" s="12" t="s">
        <v>1906</v>
      </c>
      <c r="B1" s="11"/>
      <c r="C1" s="11"/>
      <c r="D1" s="11"/>
      <c r="E1" s="11"/>
      <c r="F1" s="11"/>
      <c r="G1" s="11"/>
      <c r="H1" s="11"/>
    </row>
    <row r="3" spans="1:8">
      <c r="A3" s="4" t="s">
        <v>1907</v>
      </c>
      <c r="B3" s="4" t="s">
        <v>1908</v>
      </c>
    </row>
    <row r="4" spans="1:8">
      <c r="A4" s="2" t="s">
        <v>20</v>
      </c>
      <c r="B4" s="2" t="s">
        <v>1909</v>
      </c>
    </row>
    <row r="5" spans="1:8" ht="27.6">
      <c r="A5" s="2" t="s">
        <v>22</v>
      </c>
      <c r="B5" s="2" t="s">
        <v>1910</v>
      </c>
    </row>
    <row r="6" spans="1:8">
      <c r="A6" s="2" t="s">
        <v>24</v>
      </c>
      <c r="B6" s="2" t="s">
        <v>1911</v>
      </c>
    </row>
    <row r="7" spans="1:8">
      <c r="A7" s="2" t="s">
        <v>26</v>
      </c>
      <c r="B7" s="2" t="s">
        <v>1912</v>
      </c>
    </row>
    <row r="8" spans="1:8">
      <c r="A8" s="2" t="s">
        <v>28</v>
      </c>
      <c r="B8" s="2" t="s">
        <v>1913</v>
      </c>
    </row>
    <row r="9" spans="1:8">
      <c r="A9" s="2" t="s">
        <v>30</v>
      </c>
      <c r="B9" s="2" t="s">
        <v>1914</v>
      </c>
    </row>
    <row r="10" spans="1:8">
      <c r="A10" s="2" t="s">
        <v>32</v>
      </c>
      <c r="B10" s="2" t="s">
        <v>1915</v>
      </c>
    </row>
    <row r="11" spans="1:8">
      <c r="A11" s="2" t="s">
        <v>34</v>
      </c>
      <c r="B11" s="2" t="s">
        <v>1916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README</vt:lpstr>
      <vt:lpstr>Products</vt:lpstr>
      <vt:lpstr>Customers</vt:lpstr>
      <vt:lpstr>Monthly_Sales</vt:lpstr>
      <vt:lpstr>Sales_By_Region</vt:lpstr>
      <vt:lpstr>Sales_By_Category</vt:lpstr>
      <vt:lpstr>Top_5_Products</vt:lpstr>
      <vt:lpstr>Sales_By_Segment</vt:lpstr>
      <vt:lpstr>Sales by Sales Channel</vt:lpstr>
      <vt:lpstr>Return Rate</vt:lpstr>
      <vt:lpstr>Avg_Rating_By_Channel</vt:lpstr>
      <vt:lpstr>Dashboard</vt:lpstr>
      <vt:lpstr>Sales_Data</vt:lpstr>
      <vt:lpstr>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 Chan Myat Phyo</dc:creator>
  <cp:lastModifiedBy>Aye Chan Myat Phyo</cp:lastModifiedBy>
  <dcterms:created xsi:type="dcterms:W3CDTF">2026-09-17T04:09:14Z</dcterms:created>
  <dcterms:modified xsi:type="dcterms:W3CDTF">2026-09-17T04:09:14Z</dcterms:modified>
</cp:coreProperties>
</file>